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drawings/drawing5.xml" ContentType="application/vnd.openxmlformats-officedocument.drawing+xml"/>
  <Override PartName="/xl/comments9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grouperenault.sharepoint.com/sites/QMR-Materiais/Shared Documents/Dashboard/"/>
    </mc:Choice>
  </mc:AlternateContent>
  <xr:revisionPtr revIDLastSave="0" documentId="8_{E0E223D2-C08C-4097-BB66-F305588550AC}" xr6:coauthVersionLast="47" xr6:coauthVersionMax="47" xr10:uidLastSave="{00000000-0000-0000-0000-000000000000}"/>
  <bookViews>
    <workbookView xWindow="28680" yWindow="-120" windowWidth="29040" windowHeight="15720" firstSheet="2" activeTab="2" xr2:uid="{E9B752E7-3956-4438-A639-2506AB6F6A94}"/>
  </bookViews>
  <sheets>
    <sheet name="Lista Conc." sheetId="1" state="hidden" r:id="rId1"/>
    <sheet name="Lista Interna" sheetId="2" r:id="rId2"/>
    <sheet name="Informativo" sheetId="4" r:id="rId3"/>
    <sheet name="Regionalização" sheetId="5" state="hidden" r:id="rId4"/>
    <sheet name="Grupos" sheetId="6" state="hidden" r:id="rId5"/>
    <sheet name="Lista de Concessionárias" sheetId="7" r:id="rId6"/>
    <sheet name="BIR GRUPO" sheetId="16" r:id="rId7"/>
    <sheet name="POR SETOR" sheetId="12" r:id="rId8"/>
    <sheet name="SEPARAÇÃO DOS GRUPOS" sheetId="13" r:id="rId9"/>
    <sheet name="backup" sheetId="22" state="hidden" r:id="rId10"/>
    <sheet name="old lista" sheetId="17" state="hidden" r:id="rId11"/>
    <sheet name="Lista de Concessionárias (2 (3)" sheetId="20" state="hidden" r:id="rId12"/>
    <sheet name="Lista de Concessionárias (2)" sheetId="15" state="hidden" r:id="rId13"/>
  </sheets>
  <definedNames>
    <definedName name="\A">#REF!</definedName>
    <definedName name="\M">#REF!</definedName>
    <definedName name="\T">#REF!</definedName>
    <definedName name="_1__CONTRIB">#REF!</definedName>
    <definedName name="_2__CA">#REF!</definedName>
    <definedName name="_3__CA_par_segment">#REF!</definedName>
    <definedName name="_3EA__électricité___électrotechnique___électronique___automatique">#REF!</definedName>
    <definedName name="_4__CA_et_contrib_5_grands_pays">#REF!</definedName>
    <definedName name="_5__CA_et_contrib_autres_filiales_DCE">#REF!</definedName>
    <definedName name="_6__Analyse_d_effets_sur_la_marge">#REF!</definedName>
    <definedName name="_6__Compte_d_exploitation_DC">#REF!</definedName>
    <definedName name="_xlnm._FilterDatabase" localSheetId="6" hidden="1">'BIR GRUPO'!$A$2:$B$102</definedName>
    <definedName name="_xlnm._FilterDatabase" localSheetId="2" hidden="1">Informativo!$B$3:$N$266</definedName>
    <definedName name="_xlnm._FilterDatabase" localSheetId="0" hidden="1">'Lista Conc.'!$B$3:$E$263</definedName>
    <definedName name="_xlnm._FilterDatabase" localSheetId="5" hidden="1">'Lista de Concessionárias'!$B$3:$R$262</definedName>
    <definedName name="_xlnm._FilterDatabase" localSheetId="11" hidden="1">'Lista de Concessionárias (2 (3)'!$A$4:$BB$264</definedName>
    <definedName name="_xlnm._FilterDatabase" localSheetId="12" hidden="1">'Lista de Concessionárias (2)'!$A$4:$AZ$267</definedName>
    <definedName name="_xlnm._FilterDatabase" localSheetId="1" hidden="1">'Lista Interna'!$B$3:$O$3</definedName>
    <definedName name="_xlnm._FilterDatabase" localSheetId="10" hidden="1">'old lista'!$A$4:$AZ$265</definedName>
    <definedName name="_xlnm._FilterDatabase" localSheetId="7" hidden="1">'POR SETOR'!$I$2:$J$2</definedName>
    <definedName name="_xlnm._FilterDatabase" localSheetId="3" hidden="1">Regionalização!$A$1:$H$29</definedName>
    <definedName name="_xlnm._FilterDatabase" localSheetId="8" hidden="1">'SEPARAÇÃO DOS GRUPOS'!$G$1:$J$261</definedName>
    <definedName name="aaa">#REF!</definedName>
    <definedName name="Achats">#REF!</definedName>
    <definedName name="ALPHA">#N/A</definedName>
    <definedName name="Anglais">#REF!</definedName>
    <definedName name="APRINT">#REF!</definedName>
    <definedName name="Architecture_Montage">#REF!</definedName>
    <definedName name="Asjoabruot">#REF!</definedName>
    <definedName name="Atacado_Versão">#REF!</definedName>
    <definedName name="automatique___process_mécanique">#REF!</definedName>
    <definedName name="Avant_Projet_Véhicules__innovation">#REF!</definedName>
    <definedName name="B">#REF!</definedName>
    <definedName name="Basereg">#REF!</definedName>
    <definedName name="Bureautique">#REF!</definedName>
    <definedName name="Caisse_assemblée_peinte___Emboutissage">#REF!</definedName>
    <definedName name="Canada">#REF!</definedName>
    <definedName name="CDV">#N/A</definedName>
    <definedName name="CM">#REF!</definedName>
    <definedName name="Conditions_de_Travail___Sécurité___demandes_formations_validées_avec_le_GRH_et_le_correspondant_sécurité_DIESC">#REF!</definedName>
    <definedName name="Coût___Prix___Valeur_de_transformation">#REF!</definedName>
    <definedName name="CTFC102003">#REF!</definedName>
    <definedName name="DA">#REF!</definedName>
    <definedName name="DATA10">#REF!</definedName>
    <definedName name="DATA11">#REF!</definedName>
    <definedName name="DATA12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2">#REF!</definedName>
    <definedName name="DATA3">#REF!</definedName>
    <definedName name="DATA4">#REF!</definedName>
    <definedName name="DATA6">#REF!</definedName>
    <definedName name="DATA7">#REF!</definedName>
    <definedName name="DATA8">#REF!</definedName>
    <definedName name="DATA9">#REF!</definedName>
    <definedName name="Datum">#REF!</definedName>
    <definedName name="DCE">#REF!</definedName>
    <definedName name="Defnom">#REF!</definedName>
    <definedName name="Desg_e_Man">#REF!</definedName>
    <definedName name="DETAIL">#REF!</definedName>
    <definedName name="DM">#REF!</definedName>
    <definedName name="Efficacité_personnelle">#REF!</definedName>
    <definedName name="ersteWoche">#REF!</definedName>
    <definedName name="EssLatest">"y2000"</definedName>
    <definedName name="EssOptions">"A2100000000120000000001100000_01000"</definedName>
    <definedName name="EV__LASTREFTIME__" hidden="1">40815.776724537</definedName>
    <definedName name="EXPORT">#REF!</definedName>
    <definedName name="Exportar_para_Ixcell_Dados_p_Tableau_Mensal">#REF!</definedName>
    <definedName name="Fabrication___Stratégie_et_système_industriel">#REF!</definedName>
    <definedName name="fdfsd">#REF!</definedName>
    <definedName name="Fluxo_declarativo">#REF!</definedName>
    <definedName name="Fondamentaux_et_management_de_la_qualité">#REF!</definedName>
    <definedName name="Formations_spécifiques_aux_projets_véhicules_2006__X44___BK91__FR90___D91__B90___X95___X93___U90___K85____Master_Planning_Formation">#REF!</definedName>
    <definedName name="Formations_spécifiques_aux_projets_véhicules_2006__X44___BK91__FR90___D91__B90___X95___X93___U90___K85___Cette_offre_est_actualisée_en_continu_en_fonction_de_l_avancement">#REF!</definedName>
    <definedName name="GP_PVR">#N/A</definedName>
    <definedName name="ic">#REF!</definedName>
    <definedName name="Index">#REF!</definedName>
    <definedName name="Informatique__SQL___VISUAL_BASIC">#REF!</definedName>
    <definedName name="Ingenierie_Mécanique___développement_GMP__généraliste_moteur___fonctionnement_et_technologies___prestations">#REF!</definedName>
    <definedName name="Interculturel">#REF!</definedName>
    <definedName name="Journée_d_intégration_DIESC">#REF!</definedName>
    <definedName name="Julho">#REF!</definedName>
    <definedName name="Kalendertag">#REF!</definedName>
    <definedName name="KW">#REF!</definedName>
    <definedName name="letzteWoche">#REF!</definedName>
    <definedName name="LIMC">#REF!</definedName>
    <definedName name="LINHAS_DECLARATIVO">#REF!</definedName>
    <definedName name="linhas_fluxo_declarativo">#REF!</definedName>
    <definedName name="LINHAS_MOD_DECL">#REF!</definedName>
    <definedName name="LINHAS_MOD_DIA">#REF!</definedName>
    <definedName name="LINHAS_MOD_SFA">#REF!</definedName>
    <definedName name="LINHAS_PEDIDOS_DIA">#REF!</definedName>
    <definedName name="LINHAS_SFA">#REF!</definedName>
    <definedName name="Maio">#REF!</definedName>
    <definedName name="Management">#REF!</definedName>
    <definedName name="Management___demandes_formation_validées_avec_le_GRH">#REF!</definedName>
    <definedName name="Março">#REF!</definedName>
    <definedName name="Matériaux___Mesure___comportement_des_matériaux___analyse___métaux_et_procédés___polymères_et_transformation___mesure">#REF!</definedName>
    <definedName name="MDETAIL1">#REF!</definedName>
    <definedName name="MDETAIL3">#REF!</definedName>
    <definedName name="Menu">#REF!</definedName>
    <definedName name="Mes">#REF!</definedName>
    <definedName name="Méthodes_de_conception_véhicule">#REF!</definedName>
    <definedName name="Méthodes_de_conception_véhicule___processus_IV__E__MC_2">#REF!</definedName>
    <definedName name="Monat">#REF!</definedName>
    <definedName name="MRESUME1">#REF!</definedName>
    <definedName name="MRESUME3">#REF!</definedName>
    <definedName name="Nick">#REF!</definedName>
    <definedName name="NotaPag02">#REF!</definedName>
    <definedName name="NotaPag03">#REF!</definedName>
    <definedName name="OFFRE_FORMATION_DIESC_PLAN_FORMATION_2006">#REF!</definedName>
    <definedName name="passeport_IV">#REF!</definedName>
    <definedName name="PDETAIL1">#REF!</definedName>
    <definedName name="PDETAIL3">#REF!</definedName>
    <definedName name="PEDIDOS_DECLARATIVOS">#REF!</definedName>
    <definedName name="PEDIDOS_DIA">#REF!</definedName>
    <definedName name="PEDIDOS_MOD_DECL">#REF!</definedName>
    <definedName name="PEDIDOS_MOD_DIA">#REF!</definedName>
    <definedName name="PEDIDOS_MOD_SFA">#REF!</definedName>
    <definedName name="PEDIDOS_SFA">#REF!</definedName>
    <definedName name="plan_surveillance___ANPQP_..">#REF!</definedName>
    <definedName name="Prestations_Clients__acoustique___conduite_essai_validation_véhicule">#REF!</definedName>
    <definedName name="PRESUME1">#REF!</definedName>
    <definedName name="PRESUME3">#REF!</definedName>
    <definedName name="PRF_STD">#N/A</definedName>
    <definedName name="PRF00">#N/A</definedName>
    <definedName name="PRFGHI">#N/A</definedName>
    <definedName name="PRINT">#REF!</definedName>
    <definedName name="Print_Area_MI">#REF!</definedName>
    <definedName name="Priorite">#REF!</definedName>
    <definedName name="PROGRAMME_LANGUES">#REF!</definedName>
    <definedName name="Projets_Véhicules__Master_Planning_Formation">#REF!</definedName>
    <definedName name="Qualité__fondamentaux_de_management_de_la_qualité___méthodes_et_outils_de_maitrise_de_la_qualité">#REF!</definedName>
    <definedName name="RAA">#REF!</definedName>
    <definedName name="RAB">#REF!</definedName>
    <definedName name="RAP">#REF!</definedName>
    <definedName name="recadrage">#REF!</definedName>
    <definedName name="rede">#REF!</definedName>
    <definedName name="Reporting_DPA_intranet">#REF!</definedName>
    <definedName name="RESUME">#REF!</definedName>
    <definedName name="RMA">#REF!</definedName>
    <definedName name="RMB">#REF!</definedName>
    <definedName name="RMP">#REF!</definedName>
    <definedName name="rngFichierMonnaieLocale">#REF!</definedName>
    <definedName name="rngFichierMonnaieRenault">#REF!</definedName>
    <definedName name="RV_PERCENTUAIS">#REF!</definedName>
    <definedName name="RV_VERSÃO">#REF!</definedName>
    <definedName name="SAPBEXrevision" hidden="1">1</definedName>
    <definedName name="SAPBEXsysID" hidden="1">"PBW"</definedName>
    <definedName name="SAPBEXwbID" hidden="1">"40ZZ05TJ1SU4N9BYKOX6VXWO0"</definedName>
    <definedName name="Selecione_Consultor">#REF!</definedName>
    <definedName name="Skala">#REF!</definedName>
    <definedName name="solver_eng" localSheetId="9" hidden="1">1</definedName>
    <definedName name="solver_eng" localSheetId="5" hidden="1">1</definedName>
    <definedName name="solver_eng" localSheetId="11" hidden="1">1</definedName>
    <definedName name="solver_eng" localSheetId="12" hidden="1">1</definedName>
    <definedName name="solver_eng" localSheetId="10" hidden="1">1</definedName>
    <definedName name="solver_neg" localSheetId="9" hidden="1">1</definedName>
    <definedName name="solver_neg" localSheetId="5" hidden="1">1</definedName>
    <definedName name="solver_neg" localSheetId="11" hidden="1">1</definedName>
    <definedName name="solver_neg" localSheetId="12" hidden="1">1</definedName>
    <definedName name="solver_neg" localSheetId="10" hidden="1">1</definedName>
    <definedName name="solver_num" localSheetId="9" hidden="1">0</definedName>
    <definedName name="solver_num" localSheetId="5" hidden="1">0</definedName>
    <definedName name="solver_num" localSheetId="11" hidden="1">0</definedName>
    <definedName name="solver_num" localSheetId="12" hidden="1">0</definedName>
    <definedName name="solver_num" localSheetId="10" hidden="1">0</definedName>
    <definedName name="solver_opt" localSheetId="9" hidden="1">backup!#REF!</definedName>
    <definedName name="solver_opt" localSheetId="5" hidden="1">'Lista de Concessionárias'!#REF!</definedName>
    <definedName name="solver_opt" localSheetId="11" hidden="1">'Lista de Concessionárias (2 (3)'!#REF!</definedName>
    <definedName name="solver_opt" localSheetId="12" hidden="1">'Lista de Concessionárias (2)'!#REF!</definedName>
    <definedName name="solver_opt" localSheetId="10" hidden="1">'old lista'!#REF!</definedName>
    <definedName name="solver_typ" localSheetId="9" hidden="1">1</definedName>
    <definedName name="solver_typ" localSheetId="5" hidden="1">1</definedName>
    <definedName name="solver_typ" localSheetId="11" hidden="1">1</definedName>
    <definedName name="solver_typ" localSheetId="12" hidden="1">1</definedName>
    <definedName name="solver_typ" localSheetId="10" hidden="1">1</definedName>
    <definedName name="solver_val" localSheetId="9" hidden="1">0</definedName>
    <definedName name="solver_val" localSheetId="5" hidden="1">0</definedName>
    <definedName name="solver_val" localSheetId="11" hidden="1">0</definedName>
    <definedName name="solver_val" localSheetId="12" hidden="1">0</definedName>
    <definedName name="solver_val" localSheetId="10" hidden="1">0</definedName>
    <definedName name="solver_ver" localSheetId="9" hidden="1">3</definedName>
    <definedName name="solver_ver" localSheetId="5" hidden="1">3</definedName>
    <definedName name="solver_ver" localSheetId="11" hidden="1">3</definedName>
    <definedName name="solver_ver" localSheetId="12" hidden="1">3</definedName>
    <definedName name="solver_ver" localSheetId="10" hidden="1">3</definedName>
    <definedName name="st">#REF!</definedName>
    <definedName name="systèmes_chassis_liaison_au_sol__compétences_transversales_Systèmes_Chassis_GMP_et_LAS">#REF!</definedName>
    <definedName name="systèmes_chassis_liaison_au_sol__ECOLE_DE_LA_LIAISON_AU_SOL">#REF!</definedName>
    <definedName name="systèmes_chassis_liaison_au_sol__Ecole_des_Systèmes_Châssis_GMP">#REF!</definedName>
    <definedName name="systèmes_chassis_liaison_au_sol__VALIDATION_BASE_ROULANTE">#REF!</definedName>
    <definedName name="Systèmes_Informatiques_CAO___Calcul___travail_collaboratif">#REF!</definedName>
    <definedName name="Tab_Resumo">#REF!</definedName>
    <definedName name="tableau">#REF!,#REF!,#REF!,#REF!</definedName>
    <definedName name="test">#REF!</definedName>
    <definedName name="TEST0">#REF!</definedName>
    <definedName name="TEST1">#REF!</definedName>
    <definedName name="TESTHKEY">#REF!</definedName>
    <definedName name="TESTKEYS">#REF!</definedName>
    <definedName name="TESTVKEY">#REF!</definedName>
    <definedName name="_xlnm.Print_Titles" localSheetId="9">backup!$1:$4</definedName>
    <definedName name="_xlnm.Print_Titles" localSheetId="5">'Lista de Concessionárias'!$1:$3</definedName>
    <definedName name="_xlnm.Print_Titles" localSheetId="11">'Lista de Concessionárias (2 (3)'!$1:$4</definedName>
    <definedName name="_xlnm.Print_Titles" localSheetId="12">'Lista de Concessionárias (2)'!$1:$4</definedName>
    <definedName name="_xlnm.Print_Titles" localSheetId="10">'old lista'!$1:$4</definedName>
    <definedName name="_xlnm.Print_Titles">#REF!</definedName>
    <definedName name="Wochentag">#REF!</definedName>
    <definedName name="zjc_relatMTM">#REF!</definedName>
    <definedName name="Zon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3" i="4" l="1"/>
  <c r="N264" i="4"/>
  <c r="N263" i="4"/>
  <c r="N262" i="4"/>
  <c r="N261" i="4"/>
  <c r="N260" i="4"/>
  <c r="N259" i="4"/>
  <c r="N258" i="4"/>
  <c r="N257" i="4"/>
  <c r="N256" i="4"/>
  <c r="N255" i="4"/>
  <c r="N254" i="4"/>
  <c r="N418" i="4"/>
  <c r="N266" i="4"/>
  <c r="N265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P2" i="4"/>
  <c r="O222" i="2" l="1"/>
  <c r="O253" i="2"/>
  <c r="O254" i="2"/>
  <c r="O255" i="2"/>
  <c r="O256" i="2"/>
  <c r="O257" i="2"/>
  <c r="O258" i="2"/>
  <c r="O259" i="2"/>
  <c r="O260" i="2"/>
  <c r="O252" i="2"/>
  <c r="O251" i="2" l="1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N261" i="22" l="1"/>
  <c r="N260" i="22"/>
  <c r="N257" i="22"/>
  <c r="N256" i="22"/>
  <c r="N255" i="22"/>
  <c r="N254" i="22"/>
  <c r="N253" i="22"/>
  <c r="N252" i="22"/>
  <c r="N251" i="22"/>
  <c r="N250" i="22"/>
  <c r="N249" i="22"/>
  <c r="N248" i="22"/>
  <c r="B248" i="22"/>
  <c r="B249" i="22" s="1"/>
  <c r="B250" i="22" s="1"/>
  <c r="B251" i="22" s="1"/>
  <c r="B252" i="22" s="1"/>
  <c r="B253" i="22" s="1"/>
  <c r="B254" i="22" s="1"/>
  <c r="B255" i="22" s="1"/>
  <c r="B256" i="22" s="1"/>
  <c r="B257" i="22" s="1"/>
  <c r="B260" i="22" s="1"/>
  <c r="B261" i="22" s="1"/>
  <c r="N247" i="22"/>
  <c r="N246" i="22"/>
  <c r="B246" i="22"/>
  <c r="B247" i="22" s="1"/>
  <c r="N245" i="22"/>
  <c r="AG244" i="22"/>
  <c r="N244" i="22"/>
  <c r="N243" i="22"/>
  <c r="N242" i="22"/>
  <c r="N241" i="22"/>
  <c r="N240" i="22"/>
  <c r="N239" i="22"/>
  <c r="N238" i="22"/>
  <c r="N237" i="22"/>
  <c r="N236" i="22"/>
  <c r="N235" i="22"/>
  <c r="N234" i="22"/>
  <c r="N233" i="22"/>
  <c r="N232" i="22"/>
  <c r="N231" i="22"/>
  <c r="N230" i="22"/>
  <c r="N229" i="22"/>
  <c r="N228" i="22"/>
  <c r="N227" i="22"/>
  <c r="N226" i="22"/>
  <c r="N225" i="22"/>
  <c r="N224" i="22"/>
  <c r="B224" i="22"/>
  <c r="B225" i="22" s="1"/>
  <c r="B226" i="22" s="1"/>
  <c r="B227" i="22" s="1"/>
  <c r="B228" i="22" s="1"/>
  <c r="B229" i="22" s="1"/>
  <c r="B230" i="22" s="1"/>
  <c r="B231" i="22" s="1"/>
  <c r="B232" i="22" s="1"/>
  <c r="B233" i="22" s="1"/>
  <c r="B234" i="22" s="1"/>
  <c r="B235" i="22" s="1"/>
  <c r="B236" i="22" s="1"/>
  <c r="B237" i="22" s="1"/>
  <c r="B238" i="22" s="1"/>
  <c r="B239" i="22" s="1"/>
  <c r="B240" i="22" s="1"/>
  <c r="B241" i="22" s="1"/>
  <c r="B242" i="22" s="1"/>
  <c r="B243" i="22" s="1"/>
  <c r="B244" i="22" s="1"/>
  <c r="N223" i="22"/>
  <c r="N222" i="22"/>
  <c r="N221" i="22"/>
  <c r="N220" i="22"/>
  <c r="N219" i="22"/>
  <c r="N218" i="22"/>
  <c r="N217" i="22"/>
  <c r="N216" i="22"/>
  <c r="N215" i="22"/>
  <c r="N214" i="22"/>
  <c r="N213" i="22"/>
  <c r="N212" i="22"/>
  <c r="N211" i="22"/>
  <c r="N210" i="22"/>
  <c r="N209" i="22"/>
  <c r="N208" i="22"/>
  <c r="N207" i="22"/>
  <c r="N206" i="22"/>
  <c r="N205" i="22"/>
  <c r="N204" i="22"/>
  <c r="N203" i="22"/>
  <c r="N202" i="22"/>
  <c r="N201" i="22"/>
  <c r="N200" i="22"/>
  <c r="N199" i="22"/>
  <c r="N198" i="22"/>
  <c r="N197" i="22"/>
  <c r="N196" i="22"/>
  <c r="N195" i="22"/>
  <c r="N194" i="22"/>
  <c r="N193" i="22"/>
  <c r="N192" i="22"/>
  <c r="N191" i="22"/>
  <c r="N190" i="22"/>
  <c r="N189" i="22"/>
  <c r="N188" i="22"/>
  <c r="N187" i="22"/>
  <c r="N186" i="22"/>
  <c r="N185" i="22"/>
  <c r="N184" i="22"/>
  <c r="N183" i="22"/>
  <c r="N182" i="22"/>
  <c r="N181" i="22"/>
  <c r="N180" i="22"/>
  <c r="N179" i="22"/>
  <c r="N178" i="22"/>
  <c r="N177" i="22"/>
  <c r="N176" i="22"/>
  <c r="N175" i="22"/>
  <c r="N174" i="22"/>
  <c r="N173" i="22"/>
  <c r="N172" i="22"/>
  <c r="N171" i="22"/>
  <c r="N170" i="22"/>
  <c r="N169" i="22"/>
  <c r="N168" i="22"/>
  <c r="N167" i="22"/>
  <c r="N166" i="22"/>
  <c r="N165" i="22"/>
  <c r="N164" i="22"/>
  <c r="N163" i="22"/>
  <c r="N162" i="22"/>
  <c r="N161" i="22"/>
  <c r="N160" i="22"/>
  <c r="N159" i="22"/>
  <c r="N158" i="22"/>
  <c r="N157" i="22"/>
  <c r="N156" i="22"/>
  <c r="N155" i="22"/>
  <c r="N154" i="22"/>
  <c r="N153" i="22"/>
  <c r="N152" i="22"/>
  <c r="N151" i="22"/>
  <c r="N150" i="22"/>
  <c r="N149" i="22"/>
  <c r="N148" i="22"/>
  <c r="B148" i="22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B159" i="22" s="1"/>
  <c r="B160" i="22" s="1"/>
  <c r="B161" i="22" s="1"/>
  <c r="B162" i="22" s="1"/>
  <c r="B163" i="22" s="1"/>
  <c r="B164" i="22" s="1"/>
  <c r="B165" i="22" s="1"/>
  <c r="B166" i="22" s="1"/>
  <c r="B167" i="22" s="1"/>
  <c r="B168" i="22" s="1"/>
  <c r="B169" i="22" s="1"/>
  <c r="B170" i="22" s="1"/>
  <c r="B171" i="22" s="1"/>
  <c r="B172" i="22" s="1"/>
  <c r="B173" i="22" s="1"/>
  <c r="B174" i="22" s="1"/>
  <c r="B175" i="22" s="1"/>
  <c r="B176" i="22" s="1"/>
  <c r="B177" i="22" s="1"/>
  <c r="B178" i="22" s="1"/>
  <c r="B179" i="22" s="1"/>
  <c r="B180" i="22" s="1"/>
  <c r="B181" i="22" s="1"/>
  <c r="B182" i="22" s="1"/>
  <c r="B183" i="22" s="1"/>
  <c r="B184" i="22" s="1"/>
  <c r="B185" i="22" s="1"/>
  <c r="B186" i="22" s="1"/>
  <c r="B187" i="22" s="1"/>
  <c r="B188" i="22" s="1"/>
  <c r="B189" i="22" s="1"/>
  <c r="B190" i="22" s="1"/>
  <c r="B191" i="22" s="1"/>
  <c r="B192" i="22" s="1"/>
  <c r="B193" i="22" s="1"/>
  <c r="B194" i="22" s="1"/>
  <c r="B195" i="22" s="1"/>
  <c r="B196" i="22" s="1"/>
  <c r="B197" i="22" s="1"/>
  <c r="B198" i="22" s="1"/>
  <c r="B199" i="22" s="1"/>
  <c r="B200" i="22" s="1"/>
  <c r="B201" i="22" s="1"/>
  <c r="B202" i="22" s="1"/>
  <c r="B203" i="22" s="1"/>
  <c r="B204" i="22" s="1"/>
  <c r="B205" i="22" s="1"/>
  <c r="B206" i="22" s="1"/>
  <c r="B207" i="22" s="1"/>
  <c r="B208" i="22" s="1"/>
  <c r="B209" i="22" s="1"/>
  <c r="B210" i="22" s="1"/>
  <c r="B211" i="22" s="1"/>
  <c r="B212" i="22" s="1"/>
  <c r="B213" i="22" s="1"/>
  <c r="B214" i="22" s="1"/>
  <c r="B215" i="22" s="1"/>
  <c r="B216" i="22" s="1"/>
  <c r="B217" i="22" s="1"/>
  <c r="B218" i="22" s="1"/>
  <c r="B219" i="22" s="1"/>
  <c r="B220" i="22" s="1"/>
  <c r="B221" i="22" s="1"/>
  <c r="B222" i="22" s="1"/>
  <c r="B223" i="22" s="1"/>
  <c r="N147" i="22"/>
  <c r="N146" i="22"/>
  <c r="N145" i="22"/>
  <c r="B145" i="22"/>
  <c r="B146" i="22" s="1"/>
  <c r="B147" i="22" s="1"/>
  <c r="N144" i="22"/>
  <c r="N143" i="22"/>
  <c r="N142" i="22"/>
  <c r="N141" i="22"/>
  <c r="N140" i="22"/>
  <c r="N139" i="22"/>
  <c r="N138" i="22"/>
  <c r="N137" i="22"/>
  <c r="N136" i="22"/>
  <c r="N135" i="22"/>
  <c r="N134" i="22"/>
  <c r="N133" i="22"/>
  <c r="N132" i="22"/>
  <c r="N131" i="22"/>
  <c r="N130" i="22"/>
  <c r="N129" i="22"/>
  <c r="N128" i="22"/>
  <c r="B128" i="22"/>
  <c r="B129" i="22" s="1"/>
  <c r="B130" i="22" s="1"/>
  <c r="B131" i="22" s="1"/>
  <c r="B132" i="22" s="1"/>
  <c r="B133" i="22" s="1"/>
  <c r="B134" i="22" s="1"/>
  <c r="B135" i="22" s="1"/>
  <c r="B136" i="22" s="1"/>
  <c r="B137" i="22" s="1"/>
  <c r="B138" i="22" s="1"/>
  <c r="B139" i="22" s="1"/>
  <c r="B140" i="22" s="1"/>
  <c r="B141" i="22" s="1"/>
  <c r="B142" i="22" s="1"/>
  <c r="B143" i="22" s="1"/>
  <c r="B144" i="22" s="1"/>
  <c r="N127" i="22"/>
  <c r="N126" i="22"/>
  <c r="N125" i="22"/>
  <c r="N124" i="22"/>
  <c r="N123" i="22"/>
  <c r="N122" i="22"/>
  <c r="N121" i="22"/>
  <c r="B121" i="22"/>
  <c r="B122" i="22" s="1"/>
  <c r="B123" i="22" s="1"/>
  <c r="B124" i="22" s="1"/>
  <c r="B125" i="22" s="1"/>
  <c r="B126" i="22" s="1"/>
  <c r="B127" i="22" s="1"/>
  <c r="N120" i="22"/>
  <c r="N119" i="22"/>
  <c r="N118" i="22"/>
  <c r="N117" i="22"/>
  <c r="N116" i="22"/>
  <c r="N115" i="22"/>
  <c r="N114" i="22"/>
  <c r="N113" i="22"/>
  <c r="N112" i="22"/>
  <c r="N111" i="22"/>
  <c r="N110" i="22"/>
  <c r="N109" i="22"/>
  <c r="N108" i="22"/>
  <c r="N107" i="22"/>
  <c r="N106" i="22"/>
  <c r="N105" i="22"/>
  <c r="B105" i="22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N104" i="22"/>
  <c r="B104" i="22"/>
  <c r="N103" i="22"/>
  <c r="B103" i="22"/>
  <c r="N102" i="22"/>
  <c r="N101" i="22"/>
  <c r="N100" i="22"/>
  <c r="N99" i="22"/>
  <c r="N98" i="22"/>
  <c r="N97" i="22"/>
  <c r="N96" i="22"/>
  <c r="N95" i="22"/>
  <c r="N94" i="22"/>
  <c r="N93" i="22"/>
  <c r="N92" i="22"/>
  <c r="N91" i="22"/>
  <c r="N90" i="22"/>
  <c r="N89" i="22"/>
  <c r="N88" i="22"/>
  <c r="N87" i="22"/>
  <c r="N86" i="22"/>
  <c r="N85" i="22"/>
  <c r="N84" i="22"/>
  <c r="N83" i="22"/>
  <c r="N82" i="22"/>
  <c r="N81" i="22"/>
  <c r="N80" i="22"/>
  <c r="N79" i="22"/>
  <c r="N78" i="22"/>
  <c r="N77" i="22"/>
  <c r="N76" i="22"/>
  <c r="N75" i="22"/>
  <c r="N74" i="22"/>
  <c r="N73" i="22"/>
  <c r="N72" i="22"/>
  <c r="N71" i="22"/>
  <c r="N70" i="22"/>
  <c r="B70" i="22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N69" i="22"/>
  <c r="N68" i="22"/>
  <c r="N67" i="22"/>
  <c r="N66" i="22"/>
  <c r="N65" i="22"/>
  <c r="N64" i="22"/>
  <c r="N63" i="22"/>
  <c r="N62" i="22"/>
  <c r="N61" i="22"/>
  <c r="N60" i="22"/>
  <c r="N59" i="22"/>
  <c r="N58" i="22"/>
  <c r="N57" i="22"/>
  <c r="N56" i="22"/>
  <c r="N55" i="22"/>
  <c r="N54" i="22"/>
  <c r="N53" i="22"/>
  <c r="N52" i="22"/>
  <c r="N51" i="22"/>
  <c r="N50" i="22"/>
  <c r="N49" i="22"/>
  <c r="N48" i="22"/>
  <c r="N47" i="22"/>
  <c r="N46" i="22"/>
  <c r="N45" i="22"/>
  <c r="N44" i="22"/>
  <c r="N43" i="22"/>
  <c r="N42" i="22"/>
  <c r="N41" i="22"/>
  <c r="N40" i="22"/>
  <c r="N39" i="22"/>
  <c r="N38" i="22"/>
  <c r="N37" i="22"/>
  <c r="N36" i="22"/>
  <c r="N35" i="22"/>
  <c r="N34" i="22"/>
  <c r="N33" i="22"/>
  <c r="N32" i="22"/>
  <c r="N31" i="22"/>
  <c r="N30" i="22"/>
  <c r="N29" i="22"/>
  <c r="N28" i="22"/>
  <c r="N27" i="22"/>
  <c r="N26" i="22"/>
  <c r="N25" i="22"/>
  <c r="N24" i="22"/>
  <c r="N23" i="22"/>
  <c r="N22" i="22"/>
  <c r="N21" i="22"/>
  <c r="N20" i="22"/>
  <c r="N19" i="22"/>
  <c r="N18" i="22"/>
  <c r="N17" i="22"/>
  <c r="N16" i="22"/>
  <c r="N15" i="22"/>
  <c r="N14" i="22"/>
  <c r="N13" i="22"/>
  <c r="N12" i="22"/>
  <c r="N11" i="22"/>
  <c r="N10" i="22"/>
  <c r="N9" i="22"/>
  <c r="N8" i="22"/>
  <c r="B8" i="22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N7" i="22"/>
  <c r="N6" i="22"/>
  <c r="N5" i="22"/>
  <c r="B5" i="22"/>
  <c r="B6" i="22" s="1"/>
  <c r="B7" i="22" s="1"/>
  <c r="AE4" i="22"/>
  <c r="N264" i="20" l="1"/>
  <c r="N263" i="20"/>
  <c r="N260" i="20"/>
  <c r="N259" i="20"/>
  <c r="N258" i="20"/>
  <c r="N257" i="20"/>
  <c r="N256" i="20"/>
  <c r="N255" i="20"/>
  <c r="N254" i="20"/>
  <c r="N253" i="20"/>
  <c r="N252" i="20"/>
  <c r="N251" i="20"/>
  <c r="N250" i="20"/>
  <c r="N249" i="20"/>
  <c r="B249" i="20"/>
  <c r="B250" i="20" s="1"/>
  <c r="B251" i="20" s="1"/>
  <c r="B252" i="20" s="1"/>
  <c r="B253" i="20" s="1"/>
  <c r="B254" i="20" s="1"/>
  <c r="B255" i="20" s="1"/>
  <c r="B256" i="20" s="1"/>
  <c r="B257" i="20" s="1"/>
  <c r="B258" i="20" s="1"/>
  <c r="B259" i="20" s="1"/>
  <c r="B260" i="20" s="1"/>
  <c r="B263" i="20" s="1"/>
  <c r="B264" i="20" s="1"/>
  <c r="N248" i="20"/>
  <c r="AF247" i="20"/>
  <c r="N247" i="20"/>
  <c r="N246" i="20"/>
  <c r="N245" i="20"/>
  <c r="N244" i="20"/>
  <c r="N243" i="20"/>
  <c r="N242" i="20"/>
  <c r="N241" i="20"/>
  <c r="N240" i="20"/>
  <c r="N239" i="20"/>
  <c r="N238" i="20"/>
  <c r="N237" i="20"/>
  <c r="N236" i="20"/>
  <c r="N235" i="20"/>
  <c r="N234" i="20"/>
  <c r="N233" i="20"/>
  <c r="N232" i="20"/>
  <c r="N231" i="20"/>
  <c r="N230" i="20"/>
  <c r="N229" i="20"/>
  <c r="N228" i="20"/>
  <c r="B228" i="20"/>
  <c r="B229" i="20" s="1"/>
  <c r="B230" i="20" s="1"/>
  <c r="B231" i="20" s="1"/>
  <c r="B232" i="20" s="1"/>
  <c r="B233" i="20" s="1"/>
  <c r="B234" i="20" s="1"/>
  <c r="B235" i="20" s="1"/>
  <c r="B236" i="20" s="1"/>
  <c r="B237" i="20" s="1"/>
  <c r="B238" i="20" s="1"/>
  <c r="B239" i="20" s="1"/>
  <c r="B240" i="20" s="1"/>
  <c r="B241" i="20" s="1"/>
  <c r="B242" i="20" s="1"/>
  <c r="B243" i="20" s="1"/>
  <c r="B244" i="20" s="1"/>
  <c r="B245" i="20" s="1"/>
  <c r="B246" i="20" s="1"/>
  <c r="B247" i="20" s="1"/>
  <c r="N227" i="20"/>
  <c r="B227" i="20"/>
  <c r="N226" i="20"/>
  <c r="N225" i="20"/>
  <c r="N224" i="20"/>
  <c r="N223" i="20"/>
  <c r="N222" i="20"/>
  <c r="N221" i="20"/>
  <c r="N220" i="20"/>
  <c r="N219" i="20"/>
  <c r="N218" i="20"/>
  <c r="N217" i="20"/>
  <c r="N216" i="20"/>
  <c r="N215" i="20"/>
  <c r="N214" i="20"/>
  <c r="N213" i="20"/>
  <c r="N212" i="20"/>
  <c r="N211" i="20"/>
  <c r="N210" i="20"/>
  <c r="N209" i="20"/>
  <c r="N208" i="20"/>
  <c r="N207" i="20"/>
  <c r="N206" i="20"/>
  <c r="N205" i="20"/>
  <c r="N204" i="20"/>
  <c r="N203" i="20"/>
  <c r="N202" i="20"/>
  <c r="N201" i="20"/>
  <c r="N200" i="20"/>
  <c r="N199" i="20"/>
  <c r="N198" i="20"/>
  <c r="N197" i="20"/>
  <c r="N196" i="20"/>
  <c r="N195" i="20"/>
  <c r="N194" i="20"/>
  <c r="N193" i="20"/>
  <c r="N192" i="20"/>
  <c r="N191" i="20"/>
  <c r="N190" i="20"/>
  <c r="N189" i="20"/>
  <c r="N188" i="20"/>
  <c r="N187" i="20"/>
  <c r="N186" i="20"/>
  <c r="N185" i="20"/>
  <c r="N184" i="20"/>
  <c r="N183" i="20"/>
  <c r="N182" i="20"/>
  <c r="N181" i="20"/>
  <c r="N180" i="20"/>
  <c r="N179" i="20"/>
  <c r="N178" i="20"/>
  <c r="N177" i="20"/>
  <c r="N176" i="20"/>
  <c r="N175" i="20"/>
  <c r="N174" i="20"/>
  <c r="N173" i="20"/>
  <c r="N172" i="20"/>
  <c r="N171" i="20"/>
  <c r="N170" i="20"/>
  <c r="N169" i="20"/>
  <c r="N168" i="20"/>
  <c r="N167" i="20"/>
  <c r="N166" i="20"/>
  <c r="N165" i="20"/>
  <c r="N164" i="20"/>
  <c r="N163" i="20"/>
  <c r="N162" i="20"/>
  <c r="N161" i="20"/>
  <c r="N160" i="20"/>
  <c r="N159" i="20"/>
  <c r="N158" i="20"/>
  <c r="N157" i="20"/>
  <c r="N156" i="20"/>
  <c r="N155" i="20"/>
  <c r="N154" i="20"/>
  <c r="N153" i="20"/>
  <c r="N152" i="20"/>
  <c r="N151" i="20"/>
  <c r="N150" i="20"/>
  <c r="N149" i="20"/>
  <c r="N148" i="20"/>
  <c r="B148" i="20"/>
  <c r="B149" i="20" s="1"/>
  <c r="B150" i="20" s="1"/>
  <c r="B151" i="20" s="1"/>
  <c r="B152" i="20" s="1"/>
  <c r="B153" i="20" s="1"/>
  <c r="B154" i="20" s="1"/>
  <c r="B155" i="20" s="1"/>
  <c r="B156" i="20" s="1"/>
  <c r="B157" i="20" s="1"/>
  <c r="B158" i="20" s="1"/>
  <c r="B159" i="20" s="1"/>
  <c r="B160" i="20" s="1"/>
  <c r="B161" i="20" s="1"/>
  <c r="B162" i="20" s="1"/>
  <c r="B163" i="20" s="1"/>
  <c r="B164" i="20" s="1"/>
  <c r="B165" i="20" s="1"/>
  <c r="B166" i="20" s="1"/>
  <c r="B167" i="20" s="1"/>
  <c r="B168" i="20" s="1"/>
  <c r="B169" i="20" s="1"/>
  <c r="B170" i="20" s="1"/>
  <c r="B171" i="20" s="1"/>
  <c r="B172" i="20" s="1"/>
  <c r="B173" i="20" s="1"/>
  <c r="B174" i="20" s="1"/>
  <c r="B175" i="20" s="1"/>
  <c r="B176" i="20" s="1"/>
  <c r="B177" i="20" s="1"/>
  <c r="B178" i="20" s="1"/>
  <c r="B179" i="20" s="1"/>
  <c r="B180" i="20" s="1"/>
  <c r="B181" i="20" s="1"/>
  <c r="B182" i="20" s="1"/>
  <c r="B183" i="20" s="1"/>
  <c r="B184" i="20" s="1"/>
  <c r="B185" i="20" s="1"/>
  <c r="B186" i="20" s="1"/>
  <c r="B187" i="20" s="1"/>
  <c r="B188" i="20" s="1"/>
  <c r="B189" i="20" s="1"/>
  <c r="B190" i="20" s="1"/>
  <c r="B191" i="20" s="1"/>
  <c r="B192" i="20" s="1"/>
  <c r="B193" i="20" s="1"/>
  <c r="B194" i="20" s="1"/>
  <c r="B195" i="20" s="1"/>
  <c r="B196" i="20" s="1"/>
  <c r="B197" i="20" s="1"/>
  <c r="B198" i="20" s="1"/>
  <c r="B199" i="20" s="1"/>
  <c r="B200" i="20" s="1"/>
  <c r="B201" i="20" s="1"/>
  <c r="B202" i="20" s="1"/>
  <c r="B203" i="20" s="1"/>
  <c r="B204" i="20" s="1"/>
  <c r="B205" i="20" s="1"/>
  <c r="B206" i="20" s="1"/>
  <c r="B207" i="20" s="1"/>
  <c r="B208" i="20" s="1"/>
  <c r="B209" i="20" s="1"/>
  <c r="B210" i="20" s="1"/>
  <c r="B211" i="20" s="1"/>
  <c r="B212" i="20" s="1"/>
  <c r="B213" i="20" s="1"/>
  <c r="B214" i="20" s="1"/>
  <c r="B215" i="20" s="1"/>
  <c r="B216" i="20" s="1"/>
  <c r="B217" i="20" s="1"/>
  <c r="B218" i="20" s="1"/>
  <c r="B219" i="20" s="1"/>
  <c r="B220" i="20" s="1"/>
  <c r="B221" i="20" s="1"/>
  <c r="B222" i="20" s="1"/>
  <c r="B223" i="20" s="1"/>
  <c r="B224" i="20" s="1"/>
  <c r="B225" i="20" s="1"/>
  <c r="B226" i="20" s="1"/>
  <c r="N147" i="20"/>
  <c r="N146" i="20"/>
  <c r="N145" i="20"/>
  <c r="N144" i="20"/>
  <c r="N143" i="20"/>
  <c r="N142" i="20"/>
  <c r="N141" i="20"/>
  <c r="N140" i="20"/>
  <c r="N139" i="20"/>
  <c r="N138" i="20"/>
  <c r="N137" i="20"/>
  <c r="N136" i="20"/>
  <c r="N135" i="20"/>
  <c r="N134" i="20"/>
  <c r="N133" i="20"/>
  <c r="N132" i="20"/>
  <c r="B132" i="20"/>
  <c r="B133" i="20" s="1"/>
  <c r="B134" i="20" s="1"/>
  <c r="B135" i="20" s="1"/>
  <c r="B136" i="20" s="1"/>
  <c r="B137" i="20" s="1"/>
  <c r="B138" i="20" s="1"/>
  <c r="B139" i="20" s="1"/>
  <c r="B140" i="20" s="1"/>
  <c r="B141" i="20" s="1"/>
  <c r="B142" i="20" s="1"/>
  <c r="B143" i="20" s="1"/>
  <c r="B144" i="20" s="1"/>
  <c r="B145" i="20" s="1"/>
  <c r="B146" i="20" s="1"/>
  <c r="B147" i="20" s="1"/>
  <c r="N131" i="20"/>
  <c r="B131" i="20"/>
  <c r="N130" i="20"/>
  <c r="N129" i="20"/>
  <c r="N128" i="20"/>
  <c r="N127" i="20"/>
  <c r="N126" i="20"/>
  <c r="N125" i="20"/>
  <c r="N124" i="20"/>
  <c r="B124" i="20"/>
  <c r="B125" i="20" s="1"/>
  <c r="B126" i="20" s="1"/>
  <c r="B127" i="20" s="1"/>
  <c r="B128" i="20" s="1"/>
  <c r="B129" i="20" s="1"/>
  <c r="B130" i="20" s="1"/>
  <c r="N123" i="20"/>
  <c r="N122" i="20"/>
  <c r="N121" i="20"/>
  <c r="N120" i="20"/>
  <c r="N119" i="20"/>
  <c r="N118" i="20"/>
  <c r="N117" i="20"/>
  <c r="N116" i="20"/>
  <c r="N115" i="20"/>
  <c r="N114" i="20"/>
  <c r="N113" i="20"/>
  <c r="N112" i="20"/>
  <c r="N111" i="20"/>
  <c r="N110" i="20"/>
  <c r="N109" i="20"/>
  <c r="N108" i="20"/>
  <c r="B108" i="20"/>
  <c r="B109" i="20" s="1"/>
  <c r="B110" i="20" s="1"/>
  <c r="B111" i="20" s="1"/>
  <c r="B112" i="20" s="1"/>
  <c r="B113" i="20" s="1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N107" i="20"/>
  <c r="B107" i="20"/>
  <c r="N106" i="20"/>
  <c r="B106" i="20"/>
  <c r="N105" i="20"/>
  <c r="N104" i="20"/>
  <c r="N103" i="20"/>
  <c r="N102" i="20"/>
  <c r="N101" i="20"/>
  <c r="N100" i="20"/>
  <c r="N99" i="20"/>
  <c r="N98" i="20"/>
  <c r="N97" i="20"/>
  <c r="N96" i="20"/>
  <c r="N95" i="20"/>
  <c r="N94" i="20"/>
  <c r="N93" i="20"/>
  <c r="N92" i="20"/>
  <c r="N91" i="20"/>
  <c r="N90" i="20"/>
  <c r="N89" i="20"/>
  <c r="N88" i="20"/>
  <c r="N87" i="20"/>
  <c r="N86" i="20"/>
  <c r="N85" i="20"/>
  <c r="N84" i="20"/>
  <c r="N83" i="20"/>
  <c r="N82" i="20"/>
  <c r="N81" i="20"/>
  <c r="N80" i="20"/>
  <c r="N79" i="20"/>
  <c r="N78" i="20"/>
  <c r="N77" i="20"/>
  <c r="N76" i="20"/>
  <c r="N75" i="20"/>
  <c r="N74" i="20"/>
  <c r="N73" i="20"/>
  <c r="N72" i="20"/>
  <c r="N71" i="20"/>
  <c r="N70" i="20"/>
  <c r="N69" i="20"/>
  <c r="N68" i="20"/>
  <c r="N67" i="20"/>
  <c r="N66" i="20"/>
  <c r="N65" i="20"/>
  <c r="N64" i="20"/>
  <c r="N63" i="20"/>
  <c r="N62" i="20"/>
  <c r="N61" i="20"/>
  <c r="N60" i="20"/>
  <c r="N59" i="20"/>
  <c r="N58" i="20"/>
  <c r="N57" i="20"/>
  <c r="N56" i="20"/>
  <c r="N55" i="20"/>
  <c r="N54" i="20"/>
  <c r="N53" i="20"/>
  <c r="N52" i="20"/>
  <c r="N51" i="20"/>
  <c r="N50" i="20"/>
  <c r="N49" i="20"/>
  <c r="N48" i="20"/>
  <c r="N47" i="20"/>
  <c r="N46" i="20"/>
  <c r="N45" i="20"/>
  <c r="N44" i="20"/>
  <c r="N43" i="20"/>
  <c r="N42" i="20"/>
  <c r="N41" i="20"/>
  <c r="N40" i="20"/>
  <c r="N39" i="20"/>
  <c r="N38" i="20"/>
  <c r="N37" i="20"/>
  <c r="N36" i="20"/>
  <c r="N35" i="20"/>
  <c r="N34" i="20"/>
  <c r="N33" i="20"/>
  <c r="N32" i="20"/>
  <c r="N31" i="20"/>
  <c r="N30" i="20"/>
  <c r="N29" i="20"/>
  <c r="N28" i="20"/>
  <c r="N27" i="20"/>
  <c r="N26" i="20"/>
  <c r="N25" i="20"/>
  <c r="N24" i="20"/>
  <c r="N23" i="20"/>
  <c r="N22" i="20"/>
  <c r="N21" i="20"/>
  <c r="N20" i="20"/>
  <c r="N19" i="20"/>
  <c r="N18" i="20"/>
  <c r="N17" i="20"/>
  <c r="N16" i="20"/>
  <c r="N15" i="20"/>
  <c r="N14" i="20"/>
  <c r="N13" i="20"/>
  <c r="N12" i="20"/>
  <c r="N11" i="20"/>
  <c r="N10" i="20"/>
  <c r="N9" i="20"/>
  <c r="N8" i="20"/>
  <c r="B8" i="20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B80" i="20" s="1"/>
  <c r="B81" i="20" s="1"/>
  <c r="B82" i="20" s="1"/>
  <c r="B83" i="20" s="1"/>
  <c r="B84" i="20" s="1"/>
  <c r="B85" i="20" s="1"/>
  <c r="B86" i="20" s="1"/>
  <c r="B87" i="20" s="1"/>
  <c r="B88" i="20" s="1"/>
  <c r="B89" i="20" s="1"/>
  <c r="B90" i="20" s="1"/>
  <c r="B91" i="20" s="1"/>
  <c r="B92" i="20" s="1"/>
  <c r="B93" i="20" s="1"/>
  <c r="B94" i="20" s="1"/>
  <c r="B95" i="20" s="1"/>
  <c r="B96" i="20" s="1"/>
  <c r="B97" i="20" s="1"/>
  <c r="B98" i="20" s="1"/>
  <c r="B99" i="20" s="1"/>
  <c r="B100" i="20" s="1"/>
  <c r="B101" i="20" s="1"/>
  <c r="B102" i="20" s="1"/>
  <c r="B103" i="20" s="1"/>
  <c r="B104" i="20" s="1"/>
  <c r="B105" i="20" s="1"/>
  <c r="N7" i="20"/>
  <c r="N6" i="20"/>
  <c r="N5" i="20"/>
  <c r="B5" i="20"/>
  <c r="B6" i="20" s="1"/>
  <c r="B7" i="20" s="1"/>
  <c r="AD4" i="20"/>
  <c r="AB4" i="17" l="1"/>
  <c r="B5" i="17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B134" i="17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B151" i="17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65" i="17" s="1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191" i="17" s="1"/>
  <c r="B192" i="17" s="1"/>
  <c r="B193" i="17" s="1"/>
  <c r="B194" i="17" s="1"/>
  <c r="B195" i="17" s="1"/>
  <c r="B196" i="17" s="1"/>
  <c r="B197" i="17" s="1"/>
  <c r="B198" i="17" s="1"/>
  <c r="B199" i="17" s="1"/>
  <c r="B200" i="17" s="1"/>
  <c r="B201" i="17" s="1"/>
  <c r="B202" i="17" s="1"/>
  <c r="B203" i="17" s="1"/>
  <c r="B204" i="17" s="1"/>
  <c r="B205" i="17" s="1"/>
  <c r="B206" i="17" s="1"/>
  <c r="B207" i="17" s="1"/>
  <c r="B208" i="17" s="1"/>
  <c r="B209" i="17" s="1"/>
  <c r="B210" i="17" s="1"/>
  <c r="B211" i="17" s="1"/>
  <c r="B212" i="17" s="1"/>
  <c r="B213" i="17" s="1"/>
  <c r="B214" i="17" s="1"/>
  <c r="B215" i="17" s="1"/>
  <c r="B216" i="17" s="1"/>
  <c r="B217" i="17" s="1"/>
  <c r="B218" i="17" s="1"/>
  <c r="B219" i="17" s="1"/>
  <c r="B220" i="17" s="1"/>
  <c r="B221" i="17" s="1"/>
  <c r="B222" i="17" s="1"/>
  <c r="B223" i="17" s="1"/>
  <c r="B224" i="17" s="1"/>
  <c r="B225" i="17" s="1"/>
  <c r="B226" i="17" s="1"/>
  <c r="B227" i="17" s="1"/>
  <c r="B228" i="17" s="1"/>
  <c r="B229" i="17" s="1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B230" i="17"/>
  <c r="B231" i="17" s="1"/>
  <c r="B232" i="17" s="1"/>
  <c r="B233" i="17" s="1"/>
  <c r="B234" i="17" s="1"/>
  <c r="B235" i="17" s="1"/>
  <c r="B236" i="17" s="1"/>
  <c r="B237" i="17" s="1"/>
  <c r="B238" i="17" s="1"/>
  <c r="B239" i="17" s="1"/>
  <c r="B240" i="17" s="1"/>
  <c r="B241" i="17" s="1"/>
  <c r="B242" i="17" s="1"/>
  <c r="B243" i="17" s="1"/>
  <c r="B244" i="17" s="1"/>
  <c r="B245" i="17" s="1"/>
  <c r="B246" i="17" s="1"/>
  <c r="B247" i="17" s="1"/>
  <c r="B248" i="17" s="1"/>
  <c r="B249" i="17" s="1"/>
  <c r="B250" i="17" s="1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AD250" i="17"/>
  <c r="N251" i="17"/>
  <c r="B252" i="17"/>
  <c r="B253" i="17" s="1"/>
  <c r="B254" i="17" s="1"/>
  <c r="B255" i="17" s="1"/>
  <c r="B256" i="17" s="1"/>
  <c r="B257" i="17" s="1"/>
  <c r="B258" i="17" s="1"/>
  <c r="B259" i="17" s="1"/>
  <c r="B260" i="17" s="1"/>
  <c r="B261" i="17" s="1"/>
  <c r="B262" i="17" s="1"/>
  <c r="B263" i="17" s="1"/>
  <c r="B264" i="17" s="1"/>
  <c r="B265" i="17" s="1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7" i="15" l="1"/>
  <c r="N266" i="15"/>
  <c r="N265" i="15"/>
  <c r="N264" i="15"/>
  <c r="N263" i="15"/>
  <c r="N262" i="15"/>
  <c r="N261" i="15"/>
  <c r="N260" i="15"/>
  <c r="N259" i="15"/>
  <c r="N258" i="15"/>
  <c r="N257" i="15"/>
  <c r="N256" i="15"/>
  <c r="N255" i="15"/>
  <c r="N254" i="15"/>
  <c r="N253" i="15"/>
  <c r="N252" i="15"/>
  <c r="N251" i="15"/>
  <c r="N250" i="15"/>
  <c r="N249" i="15"/>
  <c r="N248" i="15"/>
  <c r="N247" i="15"/>
  <c r="N246" i="15"/>
  <c r="N245" i="15"/>
  <c r="N244" i="15"/>
  <c r="N243" i="15"/>
  <c r="N242" i="15"/>
  <c r="N241" i="15"/>
  <c r="N240" i="15"/>
  <c r="N239" i="15"/>
  <c r="N238" i="15"/>
  <c r="N237" i="15"/>
  <c r="N236" i="15"/>
  <c r="N235" i="15"/>
  <c r="N234" i="15"/>
  <c r="N233" i="15"/>
  <c r="N232" i="15"/>
  <c r="N231" i="15"/>
  <c r="N230" i="15"/>
  <c r="N229" i="15"/>
  <c r="N228" i="15"/>
  <c r="N227" i="15"/>
  <c r="N226" i="15"/>
  <c r="N225" i="15"/>
  <c r="N224" i="15"/>
  <c r="N223" i="15"/>
  <c r="N222" i="15"/>
  <c r="N221" i="15"/>
  <c r="N220" i="15"/>
  <c r="N219" i="15"/>
  <c r="N218" i="15"/>
  <c r="N217" i="15"/>
  <c r="N216" i="15"/>
  <c r="N215" i="15"/>
  <c r="N214" i="15"/>
  <c r="N213" i="15"/>
  <c r="N212" i="15"/>
  <c r="N211" i="15"/>
  <c r="N210" i="15"/>
  <c r="N209" i="15"/>
  <c r="N208" i="15"/>
  <c r="N207" i="15"/>
  <c r="N206" i="15"/>
  <c r="N205" i="15"/>
  <c r="N204" i="15"/>
  <c r="N203" i="15"/>
  <c r="N202" i="15"/>
  <c r="N201" i="15"/>
  <c r="B201" i="15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N200" i="15"/>
  <c r="N199" i="15"/>
  <c r="N198" i="15"/>
  <c r="N197" i="15"/>
  <c r="N196" i="15"/>
  <c r="N195" i="15"/>
  <c r="N194" i="15"/>
  <c r="N193" i="15"/>
  <c r="N192" i="15"/>
  <c r="N191" i="15"/>
  <c r="N190" i="15"/>
  <c r="N189" i="15"/>
  <c r="N188" i="15"/>
  <c r="N187" i="15"/>
  <c r="N186" i="15"/>
  <c r="N185" i="15"/>
  <c r="N184" i="15"/>
  <c r="N183" i="15"/>
  <c r="N182" i="15"/>
  <c r="N181" i="15"/>
  <c r="N180" i="15"/>
  <c r="N179" i="15"/>
  <c r="N178" i="15"/>
  <c r="N177" i="15"/>
  <c r="N176" i="15"/>
  <c r="N175" i="15"/>
  <c r="N174" i="15"/>
  <c r="N173" i="15"/>
  <c r="N172" i="15"/>
  <c r="N171" i="15"/>
  <c r="N170" i="15"/>
  <c r="N169" i="15"/>
  <c r="N168" i="15"/>
  <c r="N167" i="15"/>
  <c r="N166" i="15"/>
  <c r="N165" i="15"/>
  <c r="N164" i="15"/>
  <c r="N163" i="15"/>
  <c r="N162" i="15"/>
  <c r="N161" i="15"/>
  <c r="N160" i="15"/>
  <c r="B160" i="15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N159" i="15"/>
  <c r="N158" i="15"/>
  <c r="N157" i="15"/>
  <c r="N156" i="15"/>
  <c r="N155" i="15"/>
  <c r="N154" i="15"/>
  <c r="N153" i="15"/>
  <c r="N152" i="15"/>
  <c r="N151" i="15"/>
  <c r="N150" i="15"/>
  <c r="AD149" i="15"/>
  <c r="N149" i="15"/>
  <c r="N148" i="15"/>
  <c r="N147" i="15"/>
  <c r="N146" i="15"/>
  <c r="N145" i="15"/>
  <c r="N144" i="15"/>
  <c r="N143" i="15"/>
  <c r="N142" i="15"/>
  <c r="N141" i="15"/>
  <c r="N140" i="15"/>
  <c r="N139" i="15"/>
  <c r="N138" i="15"/>
  <c r="N137" i="15"/>
  <c r="N136" i="15"/>
  <c r="N135" i="15"/>
  <c r="N134" i="15"/>
  <c r="N133" i="15"/>
  <c r="N132" i="15"/>
  <c r="N131" i="15"/>
  <c r="N130" i="15"/>
  <c r="N129" i="15"/>
  <c r="N128" i="15"/>
  <c r="N127" i="15"/>
  <c r="N126" i="15"/>
  <c r="N125" i="15"/>
  <c r="N124" i="15"/>
  <c r="N123" i="15"/>
  <c r="N122" i="15"/>
  <c r="N121" i="15"/>
  <c r="N120" i="15"/>
  <c r="N119" i="15"/>
  <c r="N118" i="15"/>
  <c r="N117" i="15"/>
  <c r="N116" i="15"/>
  <c r="N115" i="15"/>
  <c r="N114" i="15"/>
  <c r="N113" i="15"/>
  <c r="N112" i="15"/>
  <c r="N111" i="15"/>
  <c r="N110" i="15"/>
  <c r="N109" i="15"/>
  <c r="N108" i="15"/>
  <c r="N107" i="15"/>
  <c r="N106" i="15"/>
  <c r="N105" i="15"/>
  <c r="N104" i="15"/>
  <c r="N103" i="15"/>
  <c r="N102" i="15"/>
  <c r="N101" i="15"/>
  <c r="N100" i="15"/>
  <c r="N99" i="15"/>
  <c r="N98" i="15"/>
  <c r="N97" i="15"/>
  <c r="N96" i="15"/>
  <c r="N95" i="15"/>
  <c r="N94" i="15"/>
  <c r="N93" i="15"/>
  <c r="N92" i="15"/>
  <c r="N91" i="15"/>
  <c r="N90" i="15"/>
  <c r="N89" i="15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N59" i="15"/>
  <c r="N58" i="15"/>
  <c r="N57" i="15"/>
  <c r="N56" i="15"/>
  <c r="N55" i="15"/>
  <c r="N54" i="15"/>
  <c r="N53" i="15"/>
  <c r="N52" i="15"/>
  <c r="N51" i="15"/>
  <c r="N50" i="15"/>
  <c r="N49" i="15"/>
  <c r="N48" i="15"/>
  <c r="N47" i="15"/>
  <c r="N46" i="15"/>
  <c r="N45" i="15"/>
  <c r="N44" i="15"/>
  <c r="N43" i="15"/>
  <c r="N42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N25" i="15"/>
  <c r="N24" i="15"/>
  <c r="N23" i="15"/>
  <c r="N22" i="15"/>
  <c r="N21" i="15"/>
  <c r="N20" i="15"/>
  <c r="N19" i="15"/>
  <c r="N18" i="15"/>
  <c r="N17" i="15"/>
  <c r="N16" i="15"/>
  <c r="N15" i="15"/>
  <c r="N14" i="15"/>
  <c r="N13" i="15"/>
  <c r="N12" i="15"/>
  <c r="B12" i="15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N11" i="15"/>
  <c r="N10" i="15"/>
  <c r="N9" i="15"/>
  <c r="N8" i="15"/>
  <c r="N7" i="15"/>
  <c r="N6" i="15"/>
  <c r="N5" i="15"/>
  <c r="B5" i="15"/>
  <c r="B6" i="15" s="1"/>
  <c r="B7" i="15" s="1"/>
  <c r="B8" i="15" s="1"/>
  <c r="B9" i="15" s="1"/>
  <c r="B10" i="15" s="1"/>
  <c r="B11" i="15" s="1"/>
  <c r="AB4" i="15"/>
  <c r="C29" i="5" l="1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KERNBICHLER Vitor</author>
  </authors>
  <commentList>
    <comment ref="C6" authorId="0" shapeId="0" xr:uid="{D28ADBDC-FFBC-4DA0-948F-53A295156C7C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tc={9E76986B-11D1-4EE0-B5BE-399FE825BC9C}</author>
    <author>tc={6B39BB84-8D78-4312-A836-8568B563AF5E}</author>
    <author>MARIM Allan</author>
    <author>KERNBICHLER Vitor</author>
    <author>FRIZO Roberta</author>
    <author>ALVES Rennan</author>
    <author>TORRES Fabiana</author>
    <author>IAMUNDO Gabriel</author>
    <author>lb92260</author>
    <author>tc={254A361C-4B55-4A97-A3B2-22EAA320276E}</author>
    <author>SCARDELATTO Lucas</author>
    <author>OLIVEIRA Izabella</author>
    <author>RAHHAL Rafael</author>
    <author>PINTO Gisele</author>
    <author>PARMIGIANI Daniela</author>
  </authors>
  <commentList>
    <comment ref="N3" authorId="0" shapeId="0" xr:uid="{9E76986B-11D1-4EE0-B5BE-399FE825BC9C}">
      <text>
        <t>[Threaded comment]
Your version of Excel allows you to read this threaded comment; however, any edits to it will get removed if the file is opened in a newer version of Excel. Learn more: https://go.microsoft.com/fwlink/?linkid=870924
Comment:
    Amarelo = Provisório</t>
      </text>
    </comment>
    <comment ref="O3" authorId="1" shapeId="0" xr:uid="{6B39BB84-8D78-4312-A836-8568B563AF5E}">
      <text>
        <t>[Threaded comment]
Your version of Excel allows you to read this threaded comment; however, any edits to it will get removed if the file is opened in a newer version of Excel. Learn more: https://go.microsoft.com/fwlink/?linkid=870924
Comment:
    Amarelo = Provisório</t>
      </text>
    </comment>
    <comment ref="C4" authorId="2" shapeId="0" xr:uid="{A7C387F4-F6B5-4F2F-A7E7-89505C026443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Troca de Grupo: Antiga Viva France Araguaína (BIR 7600880)</t>
        </r>
      </text>
    </comment>
    <comment ref="C5" authorId="3" shapeId="0" xr:uid="{67DAE4B4-D7AB-47A9-98BF-F4AC9280D3A1}">
      <text>
        <r>
          <rPr>
            <b/>
            <sz val="9"/>
            <color indexed="81"/>
            <rFont val="Segoe UI"/>
            <family val="2"/>
          </rPr>
          <t>KERNBICHLER Vitor:</t>
        </r>
        <r>
          <rPr>
            <sz val="9"/>
            <color indexed="81"/>
            <rFont val="Segoe UI"/>
            <family val="2"/>
          </rPr>
          <t xml:space="preserve">
Troca de Grupo (Alliance --&gt; Caetes antiga BIR 469) ago/17</t>
        </r>
      </text>
    </comment>
    <comment ref="C9" authorId="2" shapeId="0" xr:uid="{2FF9BDDF-124B-4532-AA2B-5F1DA6D8CB30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0" authorId="2" shapeId="0" xr:uid="{A1E1945D-0658-4951-BA00-EC31C032EEC2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1" authorId="2" shapeId="0" xr:uid="{B002F41E-DE69-448A-B402-C0ADDDC78F4A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2" authorId="2" shapeId="0" xr:uid="{6D940AA6-5577-42A2-A622-9E71EDEAD13C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3" authorId="4" shapeId="0" xr:uid="{448B54DB-686B-41D8-9887-D8A232A4B046}">
      <text>
        <r>
          <rPr>
            <sz val="9"/>
            <color indexed="81"/>
            <rFont val="Tahoma"/>
            <family val="2"/>
          </rPr>
          <t>Até JAN/15 era somente PV. Fechamos a BIR 729 (Araruama Centro) para acoplar Showroom neste ponto.</t>
        </r>
      </text>
    </comment>
    <comment ref="C22" authorId="5" shapeId="0" xr:uid="{D0DFD7E4-2932-4A35-B350-6FFC3C6E4955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AutoPlus assume as operações da Liberté Jaragua do Sul a partir de 30/12/2022</t>
        </r>
      </text>
    </comment>
    <comment ref="C23" authorId="6" shapeId="0" xr:uid="{38D783AF-3320-4925-9454-94D5F5901C35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Automega Para AutoPlus Em:01/11/2022</t>
        </r>
      </text>
    </comment>
    <comment ref="C25" authorId="3" shapeId="0" xr:uid="{CC59867F-BF7F-41F6-9B77-85288EEAC28B}">
      <text>
        <r>
          <rPr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M25" authorId="3" shapeId="0" xr:uid="{D4691B33-2E7C-4B96-95E5-B5C63D9A41AA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26" authorId="3" shapeId="0" xr:uid="{8421C93A-6924-4911-9E75-279B17AB5FEF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M26" authorId="3" shapeId="0" xr:uid="{F615885F-A1EE-4807-BB5B-F051E1ADD20A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27" authorId="3" shapeId="0" xr:uid="{DA902856-C1F2-4996-A6B1-80DF15377EB7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27" authorId="3" shapeId="0" xr:uid="{7BE7A051-AD49-438B-A1DA-9FEDFD1C9E46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29" authorId="3" shapeId="0" xr:uid="{F95FA722-ECD2-4DF0-92DF-F3A5D37F4689}">
      <text>
        <r>
          <rPr>
            <b/>
            <sz val="9"/>
            <color indexed="81"/>
            <rFont val="Segoe UI"/>
            <family val="2"/>
          </rPr>
          <t>Troca de Grupos (Eiffel --&gt; Azzurra) em 11/09/2020</t>
        </r>
      </text>
    </comment>
    <comment ref="C31" authorId="7" shapeId="0" xr:uid="{BE52DDB6-6D7B-426F-B4C8-7001A30A0E8A}">
      <text>
        <r>
          <rPr>
            <sz val="10"/>
            <color indexed="81"/>
            <rFont val="Tahoma"/>
            <family val="2"/>
          </rPr>
          <t>Balilla assume operação da Maggi (antiga BIR 509) dia 02/05/2016.</t>
        </r>
      </text>
    </comment>
    <comment ref="C34" authorId="8" shapeId="0" xr:uid="{2B8B551D-8DFF-4372-868F-D89106192742}">
      <text>
        <r>
          <rPr>
            <sz val="10"/>
            <color indexed="81"/>
            <rFont val="Tahoma"/>
            <family val="2"/>
          </rPr>
          <t xml:space="preserve">Mudança de Ponto:
1/11/2011
Mudança de grupo em 19/12/2018
Antiga Granvel Guarapuava (7600448)
Mudança de grupo, Vip Car Guarapuava para Fórmula em 01/02/2023.
</t>
        </r>
      </text>
    </comment>
    <comment ref="C37" authorId="9" shapeId="0" xr:uid="{254A361C-4B55-4A97-A3B2-22EAA320276E}">
      <text>
        <t>[Threaded comment]
Your version of Excel allows you to read this threaded comment; however, any edits to it will get removed if the file is opened in a newer version of Excel. Learn more: https://go.microsoft.com/fwlink/?linkid=870924
Comment:
    Mudança de grupo, Vip Car Paranaguá para Fórmula em 01/02/2023.</t>
      </text>
    </comment>
    <comment ref="C38" authorId="2" shapeId="0" xr:uid="{6544B775-6195-4CA5-BF2D-7C81D54183DE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grupo em 19/12/2018.
Antiga Granvel Ponta Grossa (7600447)
Mudança de grupo, Vip Car Ponta Grossa  para Fórmula em 01/02/2023.</t>
        </r>
      </text>
    </comment>
    <comment ref="C39" authorId="10" shapeId="0" xr:uid="{F9CB6FF6-7DB7-4EEB-B3B2-14E5D2BCCFFB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Grupo Besouro inagurou o ponto em Fevereiro de 2019. Grupo Serra encerrou as operções em  Junho de 2018.</t>
        </r>
      </text>
    </comment>
    <comment ref="C40" authorId="8" shapeId="0" xr:uid="{82FDC35C-DBA5-4FA2-B089-5F7709A40FF8}">
      <text>
        <r>
          <rPr>
            <sz val="10"/>
            <color indexed="81"/>
            <rFont val="Tahoma"/>
            <family val="2"/>
          </rPr>
          <t>Grupo Original comprou CNPJ em Setembro / 2008
Troca de Grupo (para Eiffel Serra) em Junho/2012
Troca de Grupo - Serra p/ Besouro em junho/2018. Reabertura do ponto em ago/18.</t>
        </r>
      </text>
    </comment>
    <comment ref="C42" authorId="3" shapeId="0" xr:uid="{448F0434-79D5-4F2C-8489-A8C963F9977C}">
      <text>
        <r>
          <rPr>
            <sz val="9"/>
            <color indexed="81"/>
            <rFont val="Segoe UI"/>
            <family val="2"/>
          </rPr>
          <t xml:space="preserve">Antiga Terra Norte (BIR 615) - encerramento abr/17
Abertura Carmo em outro ponto (BIR 1004) 16/02/2018
</t>
        </r>
      </text>
    </comment>
    <comment ref="C44" authorId="5" shapeId="0" xr:uid="{4A797C10-732C-46DF-A15C-7888143AC8B9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De Marco assume as operações da Liberté Blumenau a partir de 30/12/2022</t>
        </r>
      </text>
    </comment>
    <comment ref="C46" authorId="7" shapeId="0" xr:uid="{BEFD851D-F33C-4758-BCBE-6E471C1DD846}">
      <text>
        <r>
          <rPr>
            <sz val="10"/>
            <color indexed="81"/>
            <rFont val="Calibri"/>
            <family val="2"/>
          </rPr>
          <t>O ponto de Chapecó, anteriormente da Rüdiger, foi adquirido pelo Grupo De Marco.
Data da transição: 01/08/2016
Mudança de Endereço em 04/06/2018</t>
        </r>
      </text>
    </comment>
    <comment ref="C55" authorId="3" shapeId="0" xr:uid="{58A51964-EC45-4AEF-A6FC-B7623A8E00B7}">
      <text>
        <r>
          <rPr>
            <b/>
            <sz val="9"/>
            <color indexed="81"/>
            <rFont val="Segoe UI"/>
            <family val="2"/>
          </rPr>
          <t>O ponto de Mossoró (07600559 - Matriz) foi adquirido pelo novo Grupo Gamboa (07600935).
Assim, a BIR 678 se tornou a nova Matriz do grupo (04/05/2018)</t>
        </r>
      </text>
    </comment>
    <comment ref="C56" authorId="5" shapeId="0" xr:uid="{DE649315-D38E-4057-9921-FC8C567C13C2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Dijon adquiriu o ponto de Divinópolis em 01/12/2021 da AutoRede.</t>
        </r>
      </text>
    </comment>
    <comment ref="C69" authorId="11" shapeId="0" xr:uid="{D1C77692-8BDB-4DEF-97B4-7D59EA0A3156}">
      <text>
        <r>
          <rPr>
            <sz val="9"/>
            <color indexed="81"/>
            <rFont val="Segoe UI"/>
            <family val="2"/>
          </rPr>
          <t xml:space="preserve">
Mudança de grupo em 02/2021
Antiga Cannes Lajeado (07600965) para DR Sul Lajeado (07601198)</t>
        </r>
      </text>
    </comment>
    <comment ref="C72" authorId="12" shapeId="0" xr:uid="{7DFC19AC-FBD0-4E60-8475-0EC591D0A64D}">
      <text>
        <r>
          <rPr>
            <b/>
            <sz val="9"/>
            <color indexed="81"/>
            <rFont val="Tahoma"/>
            <family val="2"/>
          </rPr>
          <t>Grupo DR SUL assumiu o ponto em Out/14. Antigo ponto da Sulbra (BIR 07600719)</t>
        </r>
      </text>
    </comment>
    <comment ref="C77" authorId="10" shapeId="0" xr:uid="{E5A7D72E-BB63-4967-B7C2-20808195F6FD}">
      <text>
        <r>
          <rPr>
            <sz val="9"/>
            <color indexed="81"/>
            <rFont val="Segoe UI"/>
            <family val="2"/>
          </rPr>
          <t xml:space="preserve">Mudança de grupo em 09/2019.
Antiga Entreposto Imperatriz (07600161) para Du Nort Imperatriz (07601100)
Du nort  Imperatriz (matriz) para Du nort imperatriz (filial) Em:25/11/2020
</t>
        </r>
      </text>
    </comment>
    <comment ref="C79" authorId="10" shapeId="0" xr:uid="{BDCB244F-EBF9-4E38-88F2-043C4C4981B6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Mudança de grupo em 01/2019
Antiga Porto Manaus (7600347) para Du Nort Manaus (7601077)
Du nort manaus (matriz) Para Du nort Manaus (filial) em: 25/11/2020)</t>
        </r>
      </text>
    </comment>
    <comment ref="C80" authorId="6" shapeId="0" xr:uid="{9E987DA9-EA18-4C3B-92F4-A5FB94C44539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Du Nort Marabá(matriz) Para Du Nort Marabá (Filial) em: 25/11/2020
</t>
        </r>
      </text>
    </comment>
    <comment ref="C83" authorId="10" shapeId="0" xr:uid="{06C73CC3-9D02-43A4-B447-18176F09402E}">
      <text>
        <r>
          <rPr>
            <sz val="9"/>
            <color indexed="81"/>
            <rFont val="Segoe UI"/>
            <family val="2"/>
          </rPr>
          <t xml:space="preserve">Mudança de grupo em 09/2019.
Antiga Entreposto Calhau (07600144) para Du Nort São Luis (07601099)
Du nort São luis (matriz) para Du nort São luis (filial) Em: 25/11/2020
 </t>
        </r>
      </text>
    </comment>
    <comment ref="C84" authorId="10" shapeId="0" xr:uid="{3625F773-67DA-4D6E-92BF-84BB3A135E46}">
      <text>
        <r>
          <rPr>
            <sz val="9"/>
            <color indexed="81"/>
            <rFont val="Segoe UI"/>
            <family val="2"/>
          </rPr>
          <t xml:space="preserve">Mudança de grupo em 09/2019.
Antiga Entreposto São Luís RM (07600981) para Du Nort São Luís RM (a definir)
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C87" authorId="3" shapeId="0" xr:uid="{4DB0C81E-ECC9-4713-BC3E-FDABBDCC34C8}">
      <text>
        <r>
          <rPr>
            <sz val="9"/>
            <color indexed="81"/>
            <rFont val="Segoe UI"/>
            <family val="2"/>
          </rPr>
          <t xml:space="preserve">Troca de Grupo Buritis (antiga BIR 380) --&gt; Saga em 11/2017
</t>
        </r>
      </text>
    </comment>
    <comment ref="C88" authorId="2" shapeId="0" xr:uid="{CFA6076B-F89A-46BE-AAA2-914172A8DCBB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R2S2--&gt;R2S1</t>
        </r>
      </text>
    </comment>
    <comment ref="C89" authorId="2" shapeId="0" xr:uid="{B6FF9890-CF54-4EA5-8A71-8DE46E5D0F7F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R2S2--&gt;R2S1</t>
        </r>
      </text>
    </comment>
    <comment ref="C91" authorId="3" shapeId="0" xr:uid="{37873826-8464-4E28-A41C-1A9DC2436ACF}">
      <text>
        <r>
          <rPr>
            <b/>
            <sz val="9"/>
            <color indexed="81"/>
            <rFont val="Segoe UI"/>
            <family val="2"/>
          </rPr>
          <t>Euro assumiu a ZI em nov/17 em novo ponto. 
Antiga Dante BIR 309</t>
        </r>
      </text>
    </comment>
    <comment ref="C92" authorId="3" shapeId="0" xr:uid="{2D94CFED-6271-404C-A040-95426751F5D0}">
      <text>
        <r>
          <rPr>
            <sz val="9"/>
            <color indexed="81"/>
            <rFont val="Segoe UI"/>
            <family val="2"/>
          </rPr>
          <t>Euro iniciou operações em 01/08/2017
Euro comprou e encerrou o ponto da Santa Emília (BIR 784) em junho/18.</t>
        </r>
      </text>
    </comment>
    <comment ref="C94" authorId="5" shapeId="0" xr:uid="{52582E95-0DBE-49C3-8D98-816AACF7AB21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Venda da operação J.Carneiro em 14.11.2024 para Eurovia</t>
        </r>
      </text>
    </comment>
    <comment ref="C97" authorId="5" shapeId="0" xr:uid="{23BD6186-FCB5-4983-9FCB-EEE3DBACA4B3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Venda da operação J.Carneiro em 14.11.2024 para Eurovia</t>
        </r>
      </text>
    </comment>
    <comment ref="C98" authorId="5" shapeId="0" xr:uid="{08E6D673-B3BC-4F0F-82D5-CA006DB90279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Venda da operação J.Carneiro em 14.11.2024 para Eurovia</t>
        </r>
      </text>
    </comment>
    <comment ref="C99" authorId="10" shapeId="0" xr:uid="{2BAF7188-974A-4F83-94BE-FCDC0D028280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Mudança de setor em Janeiro de 2019
R5S3 -&gt; R5S1</t>
        </r>
      </text>
    </comment>
    <comment ref="C102" authorId="10" shapeId="0" xr:uid="{F9612B6C-F15C-4674-838A-5E1F77BDB828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Mudança de setor em Janeiro de 2019
R5S3 -&gt; R5S1</t>
        </r>
      </text>
    </comment>
    <comment ref="C103" authorId="8" shapeId="0" xr:uid="{652336CE-BE71-46BA-86CA-19309125F8A0}">
      <text>
        <r>
          <rPr>
            <sz val="10"/>
            <color indexed="81"/>
            <rFont val="Tahoma"/>
            <family val="2"/>
          </rPr>
          <t>Sinal assumiu operação (antiga Grand Brasil) em: 01/05/2016
Nobre assumiu operação (antiga Sinal - 939) em junho/20</t>
        </r>
      </text>
    </comment>
    <comment ref="S104" authorId="3" shapeId="0" xr:uid="{6F2B33F8-EC84-4A76-867C-54B0E8CB7CFD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S105" authorId="3" shapeId="0" xr:uid="{29F67149-8DFD-472A-9C53-A3F6846313F2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107" authorId="3" shapeId="0" xr:uid="{8B4B54FC-A89B-4527-B341-3B978F9174B3}">
      <text>
        <r>
          <rPr>
            <sz val="9"/>
            <color indexed="81"/>
            <rFont val="Segoe UI"/>
            <family val="2"/>
          </rPr>
          <t>Gala assumiu a ZI em nov/17 em um novo ponto.
Antiga Weicolo Canoas (BIR 454) foi encerrada em jun/17.</t>
        </r>
      </text>
    </comment>
    <comment ref="C108" authorId="7" shapeId="0" xr:uid="{AE04F7BE-548A-47F5-BED0-1484DCE44176}">
      <text>
        <r>
          <rPr>
            <sz val="9"/>
            <color indexed="81"/>
            <rFont val="Segoe UI"/>
            <family val="2"/>
          </rPr>
          <t xml:space="preserve">Grupo Gamboa adquiriu Mossoró. Transição: 23/08/2016.
Mundança de ponto em 11/11/2019
</t>
        </r>
      </text>
    </comment>
    <comment ref="C112" authorId="6" shapeId="0" xr:uid="{A68E994E-3ADE-45FC-B0AB-BC3932BCF48B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Liberté Itajai Para Globo Itajai Em:30/12/2022</t>
        </r>
      </text>
    </comment>
    <comment ref="C113" authorId="13" shapeId="0" xr:uid="{593AAB82-04EC-4E98-89AF-1E78B90DE345}">
      <text>
        <r>
          <rPr>
            <sz val="9"/>
            <color indexed="81"/>
            <rFont val="Tahoma"/>
            <family val="2"/>
          </rPr>
          <t xml:space="preserve">Compra do Ponto :
Liberté para Globo 05/02/2013
</t>
        </r>
      </text>
    </comment>
    <comment ref="C119" authorId="5" shapeId="0" xr:uid="{2187C86A-864A-44FF-B452-E646E0699A13}">
      <text>
        <r>
          <rPr>
            <b/>
            <sz val="9"/>
            <color indexed="81"/>
            <rFont val="Segoe UI"/>
            <family val="2"/>
          </rPr>
          <t xml:space="preserve">ALVES Rennan:
Mudança de endereço da BIR Matriz. 
</t>
        </r>
      </text>
    </comment>
    <comment ref="C120" authorId="8" shapeId="0" xr:uid="{DCAECDF1-B355-4C4B-A3B5-17E10168B809}">
      <text>
        <r>
          <rPr>
            <sz val="10"/>
            <color indexed="81"/>
            <rFont val="Tahoma"/>
            <family val="2"/>
          </rPr>
          <t>Grupo Smaff comprou Pontos Renascença Agosto/2012
Grupo Buritis comprou operação em Mar/2015.
Grupo Guará assumiu operações da ZI em Julho/18.</t>
        </r>
      </text>
    </comment>
    <comment ref="C122" authorId="13" shapeId="0" xr:uid="{C62A4469-7FDE-4B08-B790-C46D54E7DB87}">
      <text>
        <r>
          <rPr>
            <sz val="9"/>
            <color indexed="81"/>
            <rFont val="Tahoma"/>
            <family val="2"/>
          </rPr>
          <t>Data da Rdb no ponto/cidade
Antiga BIR 582 Sulbra Erechim cancelada
Nova BIR 750 para o grupo Weicolo - Jun/2013
Antiga BIR 750 para o grupo IESA - Jun/2015</t>
        </r>
      </text>
    </comment>
    <comment ref="C124" authorId="11" shapeId="0" xr:uid="{B1C2C1EF-AF27-49C1-BB3A-B7ABEB17ED3C}">
      <text>
        <r>
          <rPr>
            <b/>
            <sz val="8"/>
            <color indexed="81"/>
            <rFont val="Segoe UI"/>
            <family val="2"/>
          </rPr>
          <t xml:space="preserve">Data de Inauguração da Antiga Weicolo Montenegro.
Cannes Montenegro inaugurada em 04/12/2018
</t>
        </r>
        <r>
          <rPr>
            <sz val="8"/>
            <color indexed="81"/>
            <rFont val="Segoe UI"/>
            <family val="2"/>
          </rPr>
          <t>Mudança de grupo em 02/2021
Antiga Cannes Montenegro (07601063) para Iesa Montenegro (07601199)</t>
        </r>
      </text>
    </comment>
    <comment ref="C126" authorId="13" shapeId="0" xr:uid="{0209398F-4C98-4A59-BA91-6EF26BB0570D}">
      <text>
        <r>
          <rPr>
            <sz val="9"/>
            <color indexed="81"/>
            <rFont val="Tahoma"/>
            <family val="2"/>
          </rPr>
          <t>Data da Rdb no ponto/cidade
Antiga BIR 409 Sulbra Passo Fundo cancelada
Nova BIR 749 para o grupo Weicolo - Jun/2013
Antiga BIR 749 para o grupo IESA - Jun/2015</t>
        </r>
      </text>
    </comment>
    <comment ref="C127" authorId="11" shapeId="0" xr:uid="{48422749-ABF6-4E2C-951B-289FB41A60F5}">
      <text>
        <r>
          <rPr>
            <sz val="9"/>
            <color indexed="81"/>
            <rFont val="Segoe UI"/>
            <family val="2"/>
          </rPr>
          <t>Data Weicolo antiga: 09/11/2007
Mudança de grupo em 02/2021
Antiga Cannes Santa Cruz (07600978) para Iesa Santa Cruz (07601197)</t>
        </r>
      </text>
    </comment>
    <comment ref="C132" authorId="13" shapeId="0" xr:uid="{F90E44BD-AE27-491E-B4B2-1E3EFABE8768}">
      <text>
        <r>
          <rPr>
            <sz val="9"/>
            <color indexed="81"/>
            <rFont val="Tahoma"/>
            <family val="2"/>
          </rPr>
          <t xml:space="preserve">Data da Rdb no ponto/cidade
Antiga BIR 251 Sulbra Passo Fundo cancelada
Nova BIR 756 para o grupo Itaimbé - Jun/2013
</t>
        </r>
      </text>
    </comment>
    <comment ref="C136" authorId="3" shapeId="0" xr:uid="{153F3646-4F2A-45FF-9629-A59E951592DF}">
      <text>
        <r>
          <rPr>
            <sz val="9"/>
            <color indexed="81"/>
            <rFont val="Segoe UI"/>
            <family val="2"/>
          </rPr>
          <t xml:space="preserve">mud. Ponto da matriz Indianópolis p/ Pinheiros em 08/20.
</t>
        </r>
      </text>
    </comment>
    <comment ref="C139" authorId="3" shapeId="0" xr:uid="{2E49D5FA-7A75-434E-BFFA-285D035B3A42}">
      <text>
        <r>
          <rPr>
            <b/>
            <sz val="9"/>
            <color indexed="81"/>
            <rFont val="Segoe UI"/>
            <family val="2"/>
          </rPr>
          <t>Data Contrato de Concessão Jangada:
03/06/2002</t>
        </r>
      </text>
    </comment>
    <comment ref="C140" authorId="6" shapeId="0" xr:uid="{FA4F0150-B8CF-4035-BF9C-FC9E8C0EB378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Valence Barão para Minas Frence Barão Em:25/04/2021</t>
        </r>
      </text>
    </comment>
    <comment ref="C141" authorId="3" shapeId="0" xr:uid="{42BCAA21-62B5-4A5F-ABCD-CE949DC18496}">
      <text>
        <r>
          <rPr>
            <sz val="9"/>
            <color indexed="81"/>
            <rFont val="Segoe UI"/>
            <family val="2"/>
          </rPr>
          <t xml:space="preserve">Mudança de BIR em 11/05/2018
BIR 738 --&gt; BIR 1038 devido a separaçaõ das operações do grupo BR France
</t>
        </r>
      </text>
    </comment>
    <comment ref="C145" authorId="3" shapeId="0" xr:uid="{3B0CF3C3-63AF-4B96-8F06-27E84D2189AF}">
      <text>
        <r>
          <rPr>
            <sz val="9"/>
            <color indexed="81"/>
            <rFont val="Segoe UI"/>
            <family val="2"/>
          </rPr>
          <t>Mudança de BIR em 11/05/2018
BIR 629 --&gt; BIR 1037 devido a separaçaõ das operações do grupo BR France</t>
        </r>
      </text>
    </comment>
    <comment ref="C146" authorId="10" shapeId="0" xr:uid="{21ECE214-8057-45CC-9626-D537F6DA3004}">
      <text>
        <r>
          <rPr>
            <sz val="9"/>
            <color indexed="81"/>
            <rFont val="Segoe UI"/>
            <family val="2"/>
          </rPr>
          <t xml:space="preserve">Data de inauguração da antiga Renacar.
Inauguração JPN em 09/2019
</t>
        </r>
      </text>
    </comment>
    <comment ref="C153" authorId="8" shapeId="0" xr:uid="{7F8FCDB7-39E1-449F-9E20-E128E18C74F5}">
      <text>
        <r>
          <rPr>
            <sz val="10"/>
            <color indexed="81"/>
            <rFont val="Tahoma"/>
            <family val="2"/>
          </rPr>
          <t>Grupo Azzurra comprou CNPJ em Novembro / 2003
Em Dez/2013 trocou o nome para Leauto</t>
        </r>
      </text>
    </comment>
    <comment ref="C154" authorId="7" shapeId="0" xr:uid="{BC1C5C70-DF38-4F76-8EFD-81A4CBDEE18D}">
      <text>
        <r>
          <rPr>
            <sz val="9"/>
            <color indexed="81"/>
            <rFont val="Segoe UI"/>
            <family val="2"/>
          </rPr>
          <t>Inauguração RM:
20/05/2016</t>
        </r>
      </text>
    </comment>
    <comment ref="E155" authorId="10" shapeId="0" xr:uid="{CF2AFDB0-60BF-4E53-8743-BF42B206A5ED}">
      <text>
        <r>
          <rPr>
            <sz val="10"/>
            <color indexed="81"/>
            <rFont val="Segoe UI"/>
            <family val="2"/>
          </rPr>
          <t>Retomou operações após obras</t>
        </r>
      </text>
    </comment>
    <comment ref="C157" authorId="11" shapeId="0" xr:uid="{C1E8F326-1A6C-44E7-9622-ECD7532300AA}">
      <text>
        <r>
          <rPr>
            <b/>
            <sz val="9"/>
            <color indexed="81"/>
            <rFont val="Segoe UI"/>
            <family val="2"/>
          </rPr>
          <t>Troca de grupo:</t>
        </r>
        <r>
          <rPr>
            <sz val="9"/>
            <color indexed="81"/>
            <rFont val="Segoe UI"/>
            <family val="2"/>
          </rPr>
          <t xml:space="preserve"> Versalhes para Leva em 16/05/2022.
</t>
        </r>
      </text>
    </comment>
    <comment ref="C158" authorId="13" shapeId="0" xr:uid="{C49C12E0-D544-45F3-AA69-38491499E40F}">
      <text>
        <r>
          <rPr>
            <sz val="10"/>
            <color indexed="81"/>
            <rFont val="Tahoma"/>
            <family val="2"/>
          </rPr>
          <t xml:space="preserve">Data da Rdb no ponto/cidade
Antiga BIR 421 Porto Boa Vista cancelada
Nova BIR 764 para o grupo Marlin - Out/2013
</t>
        </r>
      </text>
    </comment>
    <comment ref="C163" authorId="13" shapeId="0" xr:uid="{7E2CD0FB-F580-449A-B7D4-CD194C2E106C}">
      <text>
        <r>
          <rPr>
            <sz val="9"/>
            <color indexed="81"/>
            <rFont val="Tahoma"/>
            <family val="2"/>
          </rPr>
          <t>Data da Rdb no ponto/cidade
Mudança de ponto ocorreu em 24/12/2013</t>
        </r>
      </text>
    </comment>
    <comment ref="C164" authorId="5" shapeId="0" xr:uid="{8B3FEE9D-9CC4-4227-9718-EBC263BF7839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AutoR vendida para Andreta Julho/2023
</t>
        </r>
      </text>
    </comment>
    <comment ref="C165" authorId="5" shapeId="0" xr:uid="{76D18143-3ACE-454E-9A18-94BF97C95FA7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AutoR vendida para Andreta Julho/2023
</t>
        </r>
      </text>
    </comment>
    <comment ref="C166" authorId="14" shapeId="0" xr:uid="{B376F07D-EC83-45F0-AAB3-D52C0AE4A80C}">
      <text>
        <r>
          <rPr>
            <b/>
            <sz val="9"/>
            <color indexed="81"/>
            <rFont val="Segoe UI"/>
            <family val="2"/>
          </rPr>
          <t>Automec assumiu a operação da Concorde em 10/04/2017
Andreta assumiu a operação da Automec em 06/01/2020 em novo ponto</t>
        </r>
      </text>
    </comment>
    <comment ref="C172" authorId="7" shapeId="0" xr:uid="{C0515703-680B-4B62-9821-235A38AC9E09}">
      <text>
        <r>
          <rPr>
            <sz val="10"/>
            <color indexed="81"/>
            <rFont val="Tahoma"/>
            <family val="2"/>
          </rPr>
          <t>Proeste assumiu operação (antiga Ville) em: 04/01/2016
Mudança de grupo em 08/2019
Antiga Proeste Pres. Prudente (07600895) para Muchiutt Pres. Prudente (07601097)</t>
        </r>
      </text>
    </comment>
    <comment ref="C174" authorId="12" shapeId="0" xr:uid="{B7D35A54-EC9C-4C70-A065-42388EC5AF1D}">
      <text>
        <r>
          <rPr>
            <b/>
            <sz val="9"/>
            <color indexed="81"/>
            <rFont val="Tahoma"/>
            <family val="2"/>
          </rPr>
          <t>Grupo Nasa assumiu a operação da Renauto (7600260) em Anápolis em Junho/2015.</t>
        </r>
      </text>
    </comment>
    <comment ref="C175" authorId="12" shapeId="0" xr:uid="{C3FA3D04-9B8C-4A6D-A6DF-1EF6A4F908B7}">
      <text>
        <r>
          <rPr>
            <b/>
            <sz val="9"/>
            <color indexed="81"/>
            <rFont val="Tahoma"/>
            <family val="2"/>
          </rPr>
          <t>Grupo Navesa assumiu a operação da Renauto em Goiânia em Março/15</t>
        </r>
      </text>
    </comment>
    <comment ref="C184" authorId="8" shapeId="0" xr:uid="{1743616E-8EDA-4D8F-8FA9-68FE60EDD3D8}">
      <text>
        <r>
          <rPr>
            <sz val="8"/>
            <color indexed="81"/>
            <rFont val="Tahoma"/>
            <family val="2"/>
          </rPr>
          <t xml:space="preserve">Mudança de Ponto:
8/11/2011
</t>
        </r>
      </text>
    </comment>
    <comment ref="C186" authorId="12" shapeId="0" xr:uid="{46F9E966-4021-4F53-A687-D4117E339D7E}">
      <text>
        <r>
          <rPr>
            <sz val="9"/>
            <color indexed="81"/>
            <rFont val="Segoe UI"/>
            <family val="2"/>
          </rPr>
          <t>Trocar da Itacar para o Grupo Auto France em DEZ/15. Antinga BIR 714
Grupo Orvel assumiu pontos da Auto France em Jul/21</t>
        </r>
      </text>
    </comment>
    <comment ref="C187" authorId="12" shapeId="0" xr:uid="{F98E7697-DBFE-43E6-8E42-EFE5E205383B}">
      <text>
        <r>
          <rPr>
            <b/>
            <sz val="9"/>
            <color indexed="81"/>
            <rFont val="Tahoma"/>
            <family val="2"/>
          </rPr>
          <t xml:space="preserve">Antiga BIR 800 pertencente ao Grupo Itacar RN Linhares que foi vendido ao grupo Atlântica Automotor
Alteração de nome e razão social de Atlântica para Orvel em Jun/21
</t>
        </r>
      </text>
    </comment>
    <comment ref="C188" authorId="8" shapeId="0" xr:uid="{75FE1CE8-BC23-4B60-BEBB-F90A1E083837}">
      <text>
        <r>
          <rPr>
            <sz val="11"/>
            <color indexed="81"/>
            <rFont val="Tahoma"/>
            <family val="2"/>
          </rPr>
          <t>Grupo Indiana comprou CNPJ em Agosto / 2010
====================
Grupo Orletti sob o nome de Atlantica Automotor assumiu o ponto em Jan/15
====================
Alteração de nome e razão social de Atlântica para Orvel em Jun/21</t>
        </r>
      </text>
    </comment>
    <comment ref="C189" authorId="12" shapeId="0" xr:uid="{88040892-2428-4183-937F-6D9BD8C223AC}">
      <text>
        <r>
          <rPr>
            <sz val="9"/>
            <color indexed="81"/>
            <rFont val="Tahoma"/>
            <family val="2"/>
          </rPr>
          <t>Grupo AutoFrance sobre outra Razão Social (AutoFrance Veiculos) assumiu o ponto em Jan/15
Grupo Orvel assumiu pontos da Auto France em Jul/21</t>
        </r>
      </text>
    </comment>
    <comment ref="C190" authorId="12" shapeId="0" xr:uid="{232F2795-CDA3-415A-81CB-D8871B9648C6}">
      <text>
        <r>
          <rPr>
            <sz val="9"/>
            <color indexed="81"/>
            <rFont val="Tahoma"/>
            <family val="2"/>
          </rPr>
          <t>Grupo Orletti sob o nome de Atlantica Automotor assumiu o ponto em Jan/15
Alteração de nome e razão social de Atlântica para Orvel em Jun/21</t>
        </r>
      </text>
    </comment>
    <comment ref="C194" authorId="7" shapeId="0" xr:uid="{0B8CDC5C-DFC8-4563-BD9D-3282A638F037}">
      <text>
        <r>
          <rPr>
            <sz val="10"/>
            <color indexed="81"/>
            <rFont val="Tahoma"/>
            <family val="2"/>
          </rPr>
          <t>Proeste assumiu operação (antiga Viviani) em: 18/04/2016
Proeste Bauru será a nova Matriz do grupo assumindo a BIR 7600895.
BIR 7600919 será passada para futura filial de Avaré</t>
        </r>
      </text>
    </comment>
    <comment ref="C195" authorId="7" shapeId="0" xr:uid="{8E4A1923-F90C-4656-AE01-512A47BD2CE4}">
      <text>
        <r>
          <rPr>
            <sz val="10"/>
            <color indexed="81"/>
            <rFont val="Tahoma"/>
            <family val="2"/>
          </rPr>
          <t>Proeste assumiu operação (antiga Viviani) em: 18/04/2016</t>
        </r>
      </text>
    </comment>
    <comment ref="C196" authorId="7" shapeId="0" xr:uid="{AA04C01E-A128-4557-9E38-A8DCEDCED4AF}">
      <text>
        <r>
          <rPr>
            <sz val="10"/>
            <color indexed="81"/>
            <rFont val="Tahoma"/>
            <family val="2"/>
          </rPr>
          <t>Proeste assumiu operação (antiga Viviani) em: 18/04/2016</t>
        </r>
      </text>
    </comment>
    <comment ref="C197" authorId="7" shapeId="0" xr:uid="{A55309B5-C45D-419F-8FB0-CD3237C8B989}">
      <text>
        <r>
          <rPr>
            <sz val="10"/>
            <color indexed="81"/>
            <rFont val="Tahoma"/>
            <family val="2"/>
          </rPr>
          <t>Proeste assumiu operação (antiga Viviani) em: 18/04/2016</t>
        </r>
      </text>
    </comment>
    <comment ref="C198" authorId="12" shapeId="0" xr:uid="{565B8DAB-CC92-4CAA-B1E6-7134F3788FA9}">
      <text>
        <r>
          <rPr>
            <sz val="9"/>
            <color indexed="81"/>
            <rFont val="Segoe UI"/>
            <family val="2"/>
          </rPr>
          <t>Mudança para o Grupo R.Point em 01/02/2016. Antiga Bir 7600504
Abertura RM: 10/10/2017</t>
        </r>
      </text>
    </comment>
    <comment ref="C199" authorId="12" shapeId="0" xr:uid="{C04F4D9B-D095-4497-9BCB-A450F58E9BE0}">
      <text>
        <r>
          <rPr>
            <sz val="9"/>
            <color indexed="81"/>
            <rFont val="Segoe UI"/>
            <family val="2"/>
          </rPr>
          <t>Mudança para o Grupo R.Point em 01/02/2016. Antiga Bir 7600505</t>
        </r>
      </text>
    </comment>
    <comment ref="C202" authorId="12" shapeId="0" xr:uid="{C2627073-9E84-4CC5-8DAD-EBB028BA0749}">
      <text>
        <r>
          <rPr>
            <b/>
            <sz val="9"/>
            <color indexed="81"/>
            <rFont val="Tahoma"/>
            <family val="2"/>
          </rPr>
          <t>Grupo Ravel assumiu a operação da Renauto em Rio Verde em Março/15. 
Separação do Show Room em Março 2016</t>
        </r>
      </text>
    </comment>
    <comment ref="C212" authorId="7" shapeId="0" xr:uid="{B54981A7-1064-483A-8791-DDE8AE451AA4}">
      <text>
        <r>
          <rPr>
            <b/>
            <sz val="9"/>
            <color indexed="81"/>
            <rFont val="Segoe UI"/>
            <family val="2"/>
          </rPr>
          <t>IAMUNDO Gabriel:</t>
        </r>
        <r>
          <rPr>
            <sz val="9"/>
            <color indexed="81"/>
            <rFont val="Segoe UI"/>
            <family val="2"/>
          </rPr>
          <t xml:space="preserve">
BIR Matriz transferida para este ponto em julho/2016.
Inclusão PRO+ em 24/08/2018</t>
        </r>
      </text>
    </comment>
    <comment ref="C213" authorId="3" shapeId="0" xr:uid="{4CD9CADF-3F51-4D56-9E5B-40BBCBC022B5}">
      <text>
        <r>
          <rPr>
            <b/>
            <sz val="9"/>
            <color indexed="81"/>
            <rFont val="Segoe UI"/>
            <family val="2"/>
          </rPr>
          <t>Antigo ponto Provence Volta Redonda (Data RdB 08/12/2011 - BIR 625)
Troca p/ o grupo Rio Sena em 13/03/18</t>
        </r>
      </text>
    </comment>
    <comment ref="C215" authorId="8" shapeId="0" xr:uid="{C450063E-4A3E-4146-8392-40F8A2338FC3}">
      <text>
        <r>
          <rPr>
            <sz val="10"/>
            <color indexed="81"/>
            <rFont val="Tahoma"/>
            <family val="2"/>
          </rPr>
          <t>Grupo Rodaleve comprou CNPJ em Outubro / 2007
Mudança e Ponto
9/1/2012</t>
        </r>
      </text>
    </comment>
    <comment ref="C216" authorId="6" shapeId="0" xr:uid="{197FD796-AF0E-4655-9221-9656F296D422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Valence Contagem para Roma Contagem Em:25/04/2021</t>
        </r>
      </text>
    </comment>
    <comment ref="C219" authorId="6" shapeId="0" xr:uid="{6D7FDD94-C659-4DEE-BA56-A009229A93D3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Valence Norte para Roma Norte Em:25/04/2021</t>
        </r>
      </text>
    </comment>
    <comment ref="C223" authorId="3" shapeId="0" xr:uid="{BD72AA91-7063-462F-97CE-31A115E1291C}">
      <text>
        <r>
          <rPr>
            <b/>
            <sz val="9"/>
            <color indexed="81"/>
            <rFont val="Segoe UI"/>
            <family val="2"/>
          </rPr>
          <t>Troca de Grupos em 27/08/2018
Grupo Porto (369) --&gt; Grupo Saga Lemans (1061)</t>
        </r>
      </text>
    </comment>
    <comment ref="C227" authorId="12" shapeId="0" xr:uid="{5C7AE15E-12C5-44D1-BDBD-BF309F3E892F}">
      <text>
        <r>
          <rPr>
            <b/>
            <sz val="9"/>
            <color indexed="81"/>
            <rFont val="Tahoma"/>
            <family val="2"/>
          </rPr>
          <t>Grupo Sinal assumiu operação do ponto em Dez/14. Antigo ponto: AR Motors (Bir 07600443)
Mudança de ponto em 8/2015</t>
        </r>
      </text>
    </comment>
    <comment ref="C228" authorId="7" shapeId="0" xr:uid="{8A5776CB-C859-48B9-A794-97AEC6336A17}">
      <text>
        <r>
          <rPr>
            <sz val="10"/>
            <color indexed="81"/>
            <rFont val="Tahoma"/>
            <family val="2"/>
          </rPr>
          <t>Sinal assumiu operação (antiga Grand Brasil) em: 01/05/2016</t>
        </r>
      </text>
    </comment>
    <comment ref="C229" authorId="8" shapeId="0" xr:uid="{FA166D1C-3148-4B5F-AE3F-AB118CDD1957}">
      <text>
        <r>
          <rPr>
            <sz val="10"/>
            <color indexed="81"/>
            <rFont val="Tahoma"/>
            <family val="2"/>
          </rPr>
          <t xml:space="preserve">Mudança de Ponto:
26.08.2011
================
Sinal assumiu operação (antiga Grand Brasil) em: 01/05/2016
================
Mudança de ponto Ibirapuera --&gt; Bandeirantes em: 06/11/2023
</t>
        </r>
      </text>
    </comment>
    <comment ref="C231" authorId="6" shapeId="0" xr:uid="{CCFD20A4-A7B4-444A-9C3C-7720F4D8BB95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Itavema Indianopolis para Sinal Frence Indianopolis Em:27/11/2020
</t>
        </r>
      </text>
    </comment>
    <comment ref="C232" authorId="12" shapeId="0" xr:uid="{7B783958-B1AA-48E9-99E1-14D18994A715}">
      <text>
        <r>
          <rPr>
            <b/>
            <sz val="9"/>
            <color indexed="81"/>
            <rFont val="Tahoma"/>
            <family val="2"/>
          </rPr>
          <t>Mudança de ponto em 12.09.11
Grupo Sinal assumiu operação do ponto em Dez/14. Antigo ponto Matriz: AR Motors (Bir 07600434)</t>
        </r>
      </text>
    </comment>
    <comment ref="C234" authorId="7" shapeId="0" xr:uid="{E9E2CE3B-404B-413C-A96B-AF097E5AAC0B}">
      <text>
        <r>
          <rPr>
            <sz val="10"/>
            <color indexed="81"/>
            <rFont val="Tahoma"/>
            <family val="2"/>
          </rPr>
          <t>Sinal assumiu operação (antiga Grand Brasil) em: 01/05/2016</t>
        </r>
      </text>
    </comment>
    <comment ref="C240" authorId="7" shapeId="0" xr:uid="{49F375CB-666D-4B70-BD77-18308B22F4E2}">
      <text>
        <r>
          <rPr>
            <sz val="10"/>
            <color indexed="81"/>
            <rFont val="Tahoma"/>
            <family val="2"/>
          </rPr>
          <t xml:space="preserve">Proeste assumiu operação (antiga Ville) em: 04/01/2016
Mudança de grupo em 08/2019
Antiga Proeste Pres. Prudente (07600895) para Muchiutt Pres. Prudente (07601097)
Dical juazeiro para Terra santana (13/11/2020)
</t>
        </r>
      </text>
    </comment>
    <comment ref="C241" authorId="3" shapeId="0" xr:uid="{6BB4A0DF-6A2A-41DE-9B3F-4C5639EE72EB}">
      <text>
        <r>
          <rPr>
            <sz val="9"/>
            <color indexed="81"/>
            <rFont val="Segoe UI"/>
            <family val="2"/>
          </rPr>
          <t>Troca de grupo
Max Motors --&gt; Toriba jan/17
Fechamento temporário em SET/17 com reabertura em novo endereço em MAI/19</t>
        </r>
      </text>
    </comment>
    <comment ref="C242" authorId="3" shapeId="0" xr:uid="{9A245557-B7E8-4FCE-86B3-10D0C19D46C2}">
      <text>
        <r>
          <rPr>
            <b/>
            <sz val="9"/>
            <color indexed="81"/>
            <rFont val="Segoe UI"/>
            <family val="2"/>
          </rPr>
          <t>KERNBICHLER Vitor:</t>
        </r>
        <r>
          <rPr>
            <sz val="9"/>
            <color indexed="81"/>
            <rFont val="Segoe UI"/>
            <family val="2"/>
          </rPr>
          <t xml:space="preserve">
A concessionária foi oficializada dia 26/09/2017
Mudança de Setor 17/10/18
R2S2--&gt;R2S1</t>
        </r>
      </text>
    </comment>
    <comment ref="C244" authorId="7" shapeId="0" xr:uid="{8B749D9D-EB9C-4A64-A408-64C4C73F88E1}">
      <text>
        <r>
          <rPr>
            <sz val="10"/>
            <color indexed="81"/>
            <rFont val="Tahoma"/>
            <family val="2"/>
          </rPr>
          <t>Mudança de Regional em 05/16:
antiga R5S1 -&gt; nova R4S3
Mudança de grupo em 07/2021
Antiga Via Automóveis Uberaba (07601130) para Urca France Uberaba (07601176)</t>
        </r>
      </text>
    </comment>
    <comment ref="C250" authorId="7" shapeId="0" xr:uid="{6C14905C-AB22-4582-A456-5AF3BF01C284}">
      <text>
        <r>
          <rPr>
            <sz val="10"/>
            <color indexed="81"/>
            <rFont val="Tahoma"/>
            <family val="2"/>
          </rPr>
          <t>Mudança de Regional em 05/16:
antiga R5S1 -&gt; nova R4S3</t>
        </r>
      </text>
    </comment>
    <comment ref="C251" authorId="7" shapeId="0" xr:uid="{3872B098-0DCD-4DE7-A670-CC784E616647}">
      <text>
        <r>
          <rPr>
            <sz val="10"/>
            <color indexed="81"/>
            <rFont val="Tahoma"/>
            <family val="2"/>
          </rPr>
          <t>Mudança de Regional em 05/16:
antiga R5S1 -&gt; nova R4S3</t>
        </r>
      </text>
    </comment>
    <comment ref="C252" authorId="8" shapeId="0" xr:uid="{6B2CBEB0-2CC9-4937-8FFE-3172C45FB6C6}">
      <text>
        <r>
          <rPr>
            <sz val="10"/>
            <color indexed="81"/>
            <rFont val="Tahoma"/>
            <family val="2"/>
          </rPr>
          <t>Sinal assumiu operação (antiga Grand Brasil) em: 01/05/2016
Grupo Nobre assumiu operação (antiga Sinal) em: 16/03/2020</t>
        </r>
      </text>
    </comment>
    <comment ref="C256" authorId="8" shapeId="0" xr:uid="{0BB31859-3985-40FF-86D7-B4A7F4D38CDB}">
      <text>
        <r>
          <rPr>
            <sz val="8"/>
            <color indexed="81"/>
            <rFont val="Tahoma"/>
            <family val="2"/>
          </rPr>
          <t>Mudança de Ponto:
07.4.2011</t>
        </r>
      </text>
    </comment>
    <comment ref="C257" authorId="3" shapeId="0" xr:uid="{88C5231D-3813-4B51-94B9-46014F29DB28}">
      <text>
        <r>
          <rPr>
            <b/>
            <sz val="9"/>
            <color indexed="81"/>
            <rFont val="Segoe UI"/>
            <family val="2"/>
          </rPr>
          <t>Mudança de ponto e inclusão do RM em 14/05/18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KERNBICHLER Vitor</author>
  </authors>
  <commentList>
    <comment ref="A118" authorId="0" shapeId="0" xr:uid="{8CBE508D-20EC-40C4-9025-1116C624288A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A119" authorId="0" shapeId="0" xr:uid="{82DDD093-0EBF-4D77-AD66-806046E4123D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A120" authorId="0" shapeId="0" xr:uid="{ED19F105-D1C3-4FF4-9ED9-C8BDAABC748E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tc={3E151C35-209F-4A05-BD06-101ECE2D9CC0}</author>
    <author>tc={501507E3-2EAB-4BF4-9FEB-07B73E64C6AB}</author>
  </authors>
  <commentList>
    <comment ref="J2" authorId="0" shapeId="0" xr:uid="{3E151C35-209F-4A05-BD06-101ECE2D9CC0}">
      <text>
        <t>[Threaded comment]
Your version of Excel allows you to read this threaded comment; however, any edits to it will get removed if the file is opened in a newer version of Excel. Learn more: https://go.microsoft.com/fwlink/?linkid=870924
Comment:
    Amarelo = Provisório</t>
      </text>
    </comment>
    <comment ref="M3" authorId="1" shapeId="0" xr:uid="{501507E3-2EAB-4BF4-9FEB-07B73E64C6AB}">
      <text>
        <t>[Threaded comment]
Your version of Excel allows you to read this threaded comment; however, any edits to it will get removed if the file is opened in a newer version of Excel. Learn more: https://go.microsoft.com/fwlink/?linkid=870924
Comment:
    Amarelo = Provisório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tc={EFFD3395-9E31-49A8-A6A6-2769C61F1438}</author>
    <author>tc={FF9F4307-62FB-4726-B6F5-3559B9815F01}</author>
    <author>tc={BF4237AA-A01B-4B45-88F9-B4C6B5A1565D}</author>
    <author>tc={D1D51DEE-3C40-4282-BC46-28C6DCE1E068}</author>
    <author>tc={FFF8EAD7-4071-4FB5-AF49-285630218F86}</author>
    <author>tc={E1354631-2A3D-4001-B34C-4CB5B67F8543}</author>
    <author>tc={88F42FA1-02F9-4D2A-9D11-4706594A7940}</author>
    <author>tc={F718C738-0BF0-41A6-ABF1-79E2BB7DEFF8}</author>
    <author>tc={9651585A-9279-46B2-ADF4-F11E755E4299}</author>
    <author>tc={5E954E74-80E4-45A2-A911-A288B0D77543}</author>
    <author>tc={65035E60-32B3-479C-BF13-208E45600B03}</author>
    <author>tc={3E8D4EC8-B39E-4DCE-A142-978FBB7B8BA7}</author>
    <author>tc={7931EB75-AF64-4801-8644-31999131404E}</author>
    <author>tc={241765B0-F0FC-41F6-B910-8DEBB11C1FB4}</author>
    <author>tc={A03D32CB-784A-4FA9-A0C4-E91A66DB49D4}</author>
    <author>tc={AE17F573-25D0-4699-8228-D466AD7465C8}</author>
    <author>tc={F7214E42-5FF5-4C35-86C7-72D31A42247B}</author>
    <author>tc={AA5F5776-4442-4053-B073-7C8EF8D38907}</author>
    <author>tc={B8CD6A20-0E1E-4BB8-AFC1-83D01381D9F5}</author>
    <author>tc={1A87B84A-3855-4408-88EC-8FCAEE1DC0F4}</author>
    <author>tc={1BB3D698-3FAC-4360-BB68-FBDDE73ADE92}</author>
    <author>tc={0E8BF4D5-E5C5-4EE8-B781-EF4C96F22AAB}</author>
    <author>tc={7B4C70C9-BE3B-40D7-8F78-0333622471C1}</author>
    <author>tc={03D6D46F-588B-422F-A23D-2F46443DC2D8}</author>
    <author>tc={7E8DDF43-091C-410F-8D84-32C272AC505C}</author>
    <author>tc={29D94AB4-0747-4C4B-9F67-9535746215FC}</author>
    <author>tc={ACAE6EEB-13C1-4F8C-AA8E-73C0C26980A2}</author>
    <author>tc={86F8227E-2181-4749-B0E0-B5C18F6C634E}</author>
    <author>tc={FCE04CED-985E-4C94-A8DE-D813B37D6B42}</author>
    <author>tc={ADE75668-3980-44CD-B26B-0066973443EC}</author>
    <author>tc={8EB22DE8-8AB6-4279-BCA2-AEA895BFE7C8}</author>
    <author>tc={33EBEBCA-77B8-4E31-8F23-FBA0EB713875}</author>
    <author>tc={BFB3ABA4-5333-4620-BECC-899EA1C0306D}</author>
    <author>tc={0B4473DD-9E63-412C-B385-4967E49CBF45}</author>
    <author>tc={F23DA7B8-4189-46D7-8580-B39461903806}</author>
    <author>tc={3C0439FB-A8E7-4924-BE26-3F72631F52C9}</author>
    <author>tc={B58CC989-8064-4AA9-8892-CEF35495DEB5}</author>
  </authors>
  <commentList>
    <comment ref="J6" authorId="0" shapeId="0" xr:uid="{EFFD3395-9E31-49A8-A6A6-2769C61F1438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13" authorId="1" shapeId="0" xr:uid="{FF9F4307-62FB-4726-B6F5-3559B9815F01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15" authorId="2" shapeId="0" xr:uid="{BF4237AA-A01B-4B45-88F9-B4C6B5A1565D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16" authorId="3" shapeId="0" xr:uid="{D1D51DEE-3C40-4282-BC46-28C6DCE1E068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17" authorId="4" shapeId="0" xr:uid="{FFF8EAD7-4071-4FB5-AF49-285630218F86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18" authorId="5" shapeId="0" xr:uid="{E1354631-2A3D-4001-B34C-4CB5B67F8543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20" authorId="6" shapeId="0" xr:uid="{88F42FA1-02F9-4D2A-9D11-4706594A7940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27" authorId="7" shapeId="0" xr:uid="{F718C738-0BF0-41A6-ABF1-79E2BB7DEFF8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28" authorId="8" shapeId="0" xr:uid="{9651585A-9279-46B2-ADF4-F11E755E4299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33" authorId="9" shapeId="0" xr:uid="{5E954E74-80E4-45A2-A911-A288B0D77543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as setas</t>
      </text>
    </comment>
    <comment ref="J36" authorId="10" shapeId="0" xr:uid="{65035E60-32B3-479C-BF13-208E45600B03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39" authorId="11" shapeId="0" xr:uid="{3E8D4EC8-B39E-4DCE-A142-978FBB7B8BA7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42" authorId="12" shapeId="0" xr:uid="{7931EB75-AF64-4801-8644-31999131404E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43" authorId="13" shapeId="0" xr:uid="{241765B0-F0FC-41F6-B910-8DEBB11C1FB4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44" authorId="14" shapeId="0" xr:uid="{A03D32CB-784A-4FA9-A0C4-E91A66DB49D4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46" authorId="15" shapeId="0" xr:uid="{AE17F573-25D0-4699-8228-D466AD7465C8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54" authorId="16" shapeId="0" xr:uid="{F7214E42-5FF5-4C35-86C7-72D31A42247B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63" authorId="17" shapeId="0" xr:uid="{AA5F5776-4442-4053-B073-7C8EF8D38907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76" authorId="18" shapeId="0" xr:uid="{B8CD6A20-0E1E-4BB8-AFC1-83D01381D9F5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79" authorId="19" shapeId="0" xr:uid="{1A87B84A-3855-4408-88EC-8FCAEE1DC0F4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81" authorId="20" shapeId="0" xr:uid="{1BB3D698-3FAC-4360-BB68-FBDDE73ADE92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97" authorId="21" shapeId="0" xr:uid="{0E8BF4D5-E5C5-4EE8-B781-EF4C96F22AAB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as setas</t>
      </text>
    </comment>
    <comment ref="J98" authorId="22" shapeId="0" xr:uid="{7B4C70C9-BE3B-40D7-8F78-0333622471C1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as setas</t>
      </text>
    </comment>
    <comment ref="J99" authorId="23" shapeId="0" xr:uid="{03D6D46F-588B-422F-A23D-2F46443DC2D8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as setas</t>
      </text>
    </comment>
    <comment ref="J100" authorId="24" shapeId="0" xr:uid="{7E8DDF43-091C-410F-8D84-32C272AC505C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as setas</t>
      </text>
    </comment>
    <comment ref="J101" authorId="25" shapeId="0" xr:uid="{29D94AB4-0747-4C4B-9F67-9535746215FC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as setas</t>
      </text>
    </comment>
    <comment ref="J121" authorId="26" shapeId="0" xr:uid="{ACAE6EEB-13C1-4F8C-AA8E-73C0C26980A2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128" authorId="27" shapeId="0" xr:uid="{86F8227E-2181-4749-B0E0-B5C18F6C634E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as setas</t>
      </text>
    </comment>
    <comment ref="J129" authorId="28" shapeId="0" xr:uid="{FCE04CED-985E-4C94-A8DE-D813B37D6B42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as setas</t>
      </text>
    </comment>
    <comment ref="J131" authorId="29" shapeId="0" xr:uid="{ADE75668-3980-44CD-B26B-0066973443EC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140" authorId="30" shapeId="0" xr:uid="{8EB22DE8-8AB6-4279-BCA2-AEA895BFE7C8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141" authorId="31" shapeId="0" xr:uid="{33EBEBCA-77B8-4E31-8F23-FBA0EB713875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as setas</t>
      </text>
    </comment>
    <comment ref="J150" authorId="32" shapeId="0" xr:uid="{BFB3ABA4-5333-4620-BECC-899EA1C0306D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151" authorId="33" shapeId="0" xr:uid="{0B4473DD-9E63-412C-B385-4967E49CBF45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156" authorId="34" shapeId="0" xr:uid="{F23DA7B8-4189-46D7-8580-B39461903806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158" authorId="35" shapeId="0" xr:uid="{3C0439FB-A8E7-4924-BE26-3F72631F52C9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  <comment ref="J161" authorId="36" shapeId="0" xr:uid="{B58CC989-8064-4AA9-8892-CEF35495DEB5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a seta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PARMIGIANI Daniela</author>
    <author>lb92260</author>
    <author>tc={43ED91EC-DD53-470A-8E2A-32C895E5E1C2}</author>
    <author>MARIM Allan</author>
    <author>TORRES Fabiana</author>
    <author>PINTO Gisele</author>
    <author>ALVES Rennan</author>
    <author>KERNBICHLER Vitor</author>
    <author>IAMUNDO Gabriel</author>
    <author>OLIVEIRA Izabella</author>
    <author>RAHHAL Rafael</author>
    <author>SCARDELATTO Lucas</author>
    <author>FRIZO Roberta</author>
  </authors>
  <commentList>
    <comment ref="X4" authorId="0" shapeId="0" xr:uid="{87D79ABC-DDBE-4DC3-93F5-E6FCA576F4A3}">
      <text>
        <r>
          <rPr>
            <b/>
            <sz val="9"/>
            <color indexed="81"/>
            <rFont val="Segoe UI"/>
            <family val="2"/>
          </rPr>
          <t>A ser utilizado pelo DCQS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8" authorId="1" shapeId="0" xr:uid="{AEB1D401-E049-4532-978C-0C1B6EC61CC4}">
      <text>
        <r>
          <rPr>
            <sz val="10"/>
            <color indexed="81"/>
            <rFont val="Tahoma"/>
            <family val="2"/>
          </rPr>
          <t xml:space="preserve">Mudança de Ponto:
1/11/2011
Mudança de grupo em 19/12/2018
Antiga Granvel Guarapuava (7600448)
Mudança de grupo, Vip Car Guarapuava para Fórmula em 01/02/2023.
</t>
        </r>
      </text>
    </comment>
    <comment ref="C11" authorId="2" shapeId="0" xr:uid="{43ED91EC-DD53-470A-8E2A-32C895E5E1C2}">
      <text>
        <t>[Threaded comment]
Your version of Excel allows you to read this threaded comment; however, any edits to it will get removed if the file is opened in a newer version of Excel. Learn more: https://go.microsoft.com/fwlink/?linkid=870924
Comment:
    Mudança de grupo, Vip Car Paranaguá para Fórmula em 01/02/2023.</t>
      </text>
    </comment>
    <comment ref="C12" authorId="3" shapeId="0" xr:uid="{A81C6D58-0803-4BA1-A98E-AFBE82F68860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grupo em 19/12/2018.
Antiga Granvel Ponta Grossa (7600447)
Mudança de grupo, Vip Car Ponta Grossa  para Fórmula em 01/02/2023.</t>
        </r>
      </text>
    </comment>
    <comment ref="C18" authorId="4" shapeId="0" xr:uid="{71F865EE-5017-4B6C-90D8-DA98FB176BAB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Liberté Itajai Para Globo Itajai Em:30/12/2022</t>
        </r>
      </text>
    </comment>
    <comment ref="C19" authorId="5" shapeId="0" xr:uid="{A769CC44-BE4B-4CF4-8B0B-8BF5F6329CEE}">
      <text>
        <r>
          <rPr>
            <sz val="9"/>
            <color indexed="81"/>
            <rFont val="Tahoma"/>
            <family val="2"/>
          </rPr>
          <t xml:space="preserve">Compra do Ponto :
Liberté para Globo 05/02/2013
</t>
        </r>
      </text>
    </comment>
    <comment ref="C22" authorId="6" shapeId="0" xr:uid="{1C2E2AA9-52F8-4EAF-95F9-2E6A97DE9437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AutoPlus assume as operações da Liberté Jaragua do Sul a partir de 30/12/2022</t>
        </r>
      </text>
    </comment>
    <comment ref="C23" authorId="4" shapeId="0" xr:uid="{38690311-C4C1-40B6-AA65-0EE856A2005B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Automega Para AutoPlus Em:01/11/2022</t>
        </r>
      </text>
    </comment>
    <comment ref="C25" authorId="7" shapeId="0" xr:uid="{E2C9C43B-E8E9-4322-A1E0-41270E7F5378}">
      <text>
        <r>
          <rPr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R25" authorId="7" shapeId="0" xr:uid="{2A1761D5-166B-4527-8349-D8416E943207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V25" authorId="7" shapeId="0" xr:uid="{9366A77A-FDCF-4C20-9510-C5F48A0CC687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Y25" authorId="7" shapeId="0" xr:uid="{3D824413-D3EF-4D1E-9356-90715A69C481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26" authorId="7" shapeId="0" xr:uid="{F28E364A-75E0-4241-BEAD-B513E8DB270B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R26" authorId="7" shapeId="0" xr:uid="{C0A7D0B7-8D77-4386-A4A1-94E66A594C68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V26" authorId="7" shapeId="0" xr:uid="{6AAB54CC-30AF-4ACA-8776-9F4F5DE8DF4F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Y26" authorId="7" shapeId="0" xr:uid="{4A6DD1B7-397F-4ECE-A9F6-354122A725CA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27" authorId="7" shapeId="0" xr:uid="{FC7CFA00-1BC7-436F-92CD-136094BA1BC3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R27" authorId="7" shapeId="0" xr:uid="{0EDE7E78-9690-403E-AC33-50A70455EF7B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V27" authorId="7" shapeId="0" xr:uid="{415A73EF-885C-4B13-8975-6A254E28D357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Y27" authorId="7" shapeId="0" xr:uid="{8D649C69-1AEF-4404-9CC8-475FE430ACFD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29" authorId="6" shapeId="0" xr:uid="{5C8FBFEE-DFCF-4E3A-95A5-52425A357E79}">
      <text>
        <r>
          <rPr>
            <b/>
            <sz val="9"/>
            <color indexed="81"/>
            <rFont val="Segoe UI"/>
            <family val="2"/>
          </rPr>
          <t xml:space="preserve">ALVES Rennan:
Mudança de endereço da BIR Matriz. 
</t>
        </r>
      </text>
    </comment>
    <comment ref="C30" authorId="1" shapeId="0" xr:uid="{E78D2504-05AC-400F-BE47-666332D12E35}">
      <text>
        <r>
          <rPr>
            <sz val="10"/>
            <color indexed="81"/>
            <rFont val="Tahoma"/>
            <family val="2"/>
          </rPr>
          <t>Grupo Smaff comprou Pontos Renascença Agosto/2012
Grupo Buritis comprou operação em Mar/2015.
Grupo Guará assumiu operações da ZI em Julho/18.</t>
        </r>
      </text>
    </comment>
    <comment ref="C33" authorId="5" shapeId="0" xr:uid="{70874740-2322-41A5-A878-2056F844B271}">
      <text>
        <r>
          <rPr>
            <sz val="9"/>
            <color indexed="81"/>
            <rFont val="Tahoma"/>
            <family val="2"/>
          </rPr>
          <t xml:space="preserve">Data da Rdb no ponto/cidade
Antiga BIR 251 Sulbra Passo Fundo cancelada
Nova BIR 756 para o grupo Itaimbé - Jun/2013
</t>
        </r>
      </text>
    </comment>
    <comment ref="C36" authorId="6" shapeId="0" xr:uid="{20DF8181-3C4F-4D4F-81F5-AE32A74A99AC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De Marco assume as operações da Liberté Blumenau a partir de 30/12/2022</t>
        </r>
      </text>
    </comment>
    <comment ref="C38" authorId="8" shapeId="0" xr:uid="{3FDA33D5-966C-438A-B378-816A53866101}">
      <text>
        <r>
          <rPr>
            <sz val="10"/>
            <color indexed="81"/>
            <rFont val="Calibri"/>
            <family val="2"/>
          </rPr>
          <t>O ponto de Chapecó, anteriormente da Rüdiger, foi adquirido pelo Grupo De Marco.
Data da transição: 01/08/2016
Mudança de Endereço em 04/06/2018</t>
        </r>
      </text>
    </comment>
    <comment ref="C46" authorId="7" shapeId="0" xr:uid="{8B974C1F-F58A-4E57-8FEE-E0A93352CF82}">
      <text>
        <r>
          <rPr>
            <sz val="9"/>
            <color indexed="81"/>
            <rFont val="Segoe UI"/>
            <family val="2"/>
          </rPr>
          <t xml:space="preserve">Troca de Grupo Buritis (antiga BIR 380) --&gt; Saga em 11/2017
</t>
        </r>
      </text>
    </comment>
    <comment ref="C48" authorId="7" shapeId="0" xr:uid="{6AE81751-9DE6-4209-9833-B38A7C20CB8C}">
      <text>
        <r>
          <rPr>
            <sz val="9"/>
            <color indexed="81"/>
            <rFont val="Segoe UI"/>
            <family val="2"/>
          </rPr>
          <t>Gala assumiu a ZI em nov/17 em um novo ponto.
Antiga Weicolo Canoas (BIR 454) foi encerrada em jun/17.</t>
        </r>
      </text>
    </comment>
    <comment ref="C50" authorId="5" shapeId="0" xr:uid="{B244AAB2-4DB7-4C05-9C6D-BDE952698B4B}">
      <text>
        <r>
          <rPr>
            <sz val="9"/>
            <color indexed="81"/>
            <rFont val="Tahoma"/>
            <family val="2"/>
          </rPr>
          <t>Data da Rdb no ponto/cidade
Antiga BIR 582 Sulbra Erechim cancelada
Nova BIR 750 para o grupo Weicolo - Jun/2013
Antiga BIR 750 para o grupo IESA - Jun/2015</t>
        </r>
      </text>
    </comment>
    <comment ref="C52" authorId="9" shapeId="0" xr:uid="{AC3B8291-A192-420B-8B9C-AA0C95EF4738}">
      <text>
        <r>
          <rPr>
            <b/>
            <sz val="8"/>
            <color indexed="81"/>
            <rFont val="Segoe UI"/>
            <family val="2"/>
          </rPr>
          <t xml:space="preserve">Data de Inauguração da Antiga Weicolo Montenegro.
Cannes Montenegro inaugurada em 04/12/2018
</t>
        </r>
        <r>
          <rPr>
            <sz val="8"/>
            <color indexed="81"/>
            <rFont val="Segoe UI"/>
            <family val="2"/>
          </rPr>
          <t>Mudança de grupo em 02/2021
Antiga Cannes Montenegro (07601063) para Iesa Montenegro (07601199)</t>
        </r>
      </text>
    </comment>
    <comment ref="C54" authorId="5" shapeId="0" xr:uid="{03D708D1-C010-4E19-99BC-3B775C47F37B}">
      <text>
        <r>
          <rPr>
            <sz val="9"/>
            <color indexed="81"/>
            <rFont val="Tahoma"/>
            <family val="2"/>
          </rPr>
          <t>Data da Rdb no ponto/cidade
Antiga BIR 409 Sulbra Passo Fundo cancelada
Nova BIR 749 para o grupo Weicolo - Jun/2013
Antiga BIR 749 para o grupo IESA - Jun/2015</t>
        </r>
      </text>
    </comment>
    <comment ref="C55" authorId="9" shapeId="0" xr:uid="{46A2F98E-280F-4985-B97D-92614A64715B}">
      <text>
        <r>
          <rPr>
            <sz val="9"/>
            <color indexed="81"/>
            <rFont val="Segoe UI"/>
            <family val="2"/>
          </rPr>
          <t>Data Weicolo antiga: 09/11/2007
Mudança de grupo em 02/2021
Antiga Cannes Santa Cruz (07600978) para Iesa Santa Cruz (07601197)</t>
        </r>
      </text>
    </comment>
    <comment ref="C65" authorId="9" shapeId="0" xr:uid="{1C4261F2-16DA-4758-9FBE-B05922F91F07}">
      <text>
        <r>
          <rPr>
            <sz val="9"/>
            <color indexed="81"/>
            <rFont val="Segoe UI"/>
            <family val="2"/>
          </rPr>
          <t xml:space="preserve">
Mudança de grupo em 02/2021
Antiga Cannes Lajeado (07600965) para DR Sul Lajeado (07601198)</t>
        </r>
      </text>
    </comment>
    <comment ref="C68" authorId="10" shapeId="0" xr:uid="{830C3FB3-D025-4001-8A35-D39326B88FE7}">
      <text>
        <r>
          <rPr>
            <b/>
            <sz val="9"/>
            <color indexed="81"/>
            <rFont val="Tahoma"/>
            <family val="2"/>
          </rPr>
          <t>Grupo DR SUL assumiu o ponto em Out/14. Antigo ponto da Sulbra (BIR 07600719)</t>
        </r>
      </text>
    </comment>
    <comment ref="C70" authorId="1" shapeId="0" xr:uid="{D0189F13-B557-4012-9B5B-80451A8B3F91}">
      <text>
        <r>
          <rPr>
            <sz val="8"/>
            <color indexed="81"/>
            <rFont val="Tahoma"/>
            <family val="2"/>
          </rPr>
          <t xml:space="preserve">Mudança de Ponto:
16/1/2012
</t>
        </r>
      </text>
    </comment>
    <comment ref="AC76" authorId="7" shapeId="0" xr:uid="{30D505FF-A5C3-4138-80BC-719631545DC1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AC77" authorId="7" shapeId="0" xr:uid="{DE86737B-9854-4D9E-A2CC-D5A5A1704E71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81" authorId="1" shapeId="0" xr:uid="{94BC8AE1-A864-4F00-9BD1-7CFF1F845113}">
      <text>
        <r>
          <rPr>
            <sz val="8"/>
            <color indexed="81"/>
            <rFont val="Tahoma"/>
            <family val="2"/>
          </rPr>
          <t xml:space="preserve">Mudança de Ponto:
8/11/2011
</t>
        </r>
      </text>
    </comment>
    <comment ref="C85" authorId="7" shapeId="0" xr:uid="{A8B74107-6C68-460A-ABC6-74FB95335298}">
      <text>
        <r>
          <rPr>
            <sz val="9"/>
            <color indexed="81"/>
            <rFont val="Segoe UI"/>
            <family val="2"/>
          </rPr>
          <t xml:space="preserve">mud. Ponto da matriz Indianópolis p/ Pinheiros em 08/20.
</t>
        </r>
      </text>
    </comment>
    <comment ref="C88" authorId="7" shapeId="0" xr:uid="{2810B284-2650-433A-8C47-A34AA4EF010A}">
      <text>
        <r>
          <rPr>
            <sz val="9"/>
            <color indexed="81"/>
            <rFont val="Segoe UI"/>
            <family val="2"/>
          </rPr>
          <t>Troca de grupo
Max Motors --&gt; Toriba jan/17
Fechamento temporário em SET/17 com reabertura em novo endereço em MAI/19</t>
        </r>
      </text>
    </comment>
    <comment ref="C89" authorId="7" shapeId="0" xr:uid="{65380590-E674-4AC1-9B56-5938D36621E3}">
      <text>
        <r>
          <rPr>
            <b/>
            <sz val="9"/>
            <color indexed="81"/>
            <rFont val="Segoe UI"/>
            <family val="2"/>
          </rPr>
          <t>KERNBICHLER Vitor:</t>
        </r>
        <r>
          <rPr>
            <sz val="9"/>
            <color indexed="81"/>
            <rFont val="Segoe UI"/>
            <family val="2"/>
          </rPr>
          <t xml:space="preserve">
A concessionária foi oficializada dia 26/09/2017
Mudança de Setor 17/10/18
R2S2--&gt;R2S1</t>
        </r>
      </text>
    </comment>
    <comment ref="C92" authorId="5" shapeId="0" xr:uid="{E676A258-6020-4290-B016-48EA15D0ACBC}">
      <text>
        <r>
          <rPr>
            <sz val="9"/>
            <color indexed="81"/>
            <rFont val="Tahoma"/>
            <family val="2"/>
          </rPr>
          <t>Data da Rdb no ponto/cidade
Mudança de ponto ocorreu em 24/12/2013</t>
        </r>
      </text>
    </comment>
    <comment ref="C93" authorId="6" shapeId="0" xr:uid="{F88C9ED5-9FA6-44F9-AF6A-93C3E0FC4B3B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AutoR vendida para Andreta Julho/2023
</t>
        </r>
      </text>
    </comment>
    <comment ref="C94" authorId="6" shapeId="0" xr:uid="{41250C32-819F-48BC-89DC-4A7DB5EAFEF1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AutoR vendida para Andreta Julho/2023
</t>
        </r>
      </text>
    </comment>
    <comment ref="C95" authorId="0" shapeId="0" xr:uid="{FD2CF77B-1494-454C-AD4C-4D73D700C193}">
      <text>
        <r>
          <rPr>
            <b/>
            <sz val="9"/>
            <color indexed="81"/>
            <rFont val="Segoe UI"/>
            <family val="2"/>
          </rPr>
          <t>Automec assumiu a operação da Concorde em 10/04/2017
Andreta assumiu a operação da Automec em 06/01/2020 em novo ponto</t>
        </r>
      </text>
    </comment>
    <comment ref="C103" authorId="8" shapeId="0" xr:uid="{434FA2EA-A0F5-4F82-888A-D9F469C826B7}">
      <text>
        <r>
          <rPr>
            <sz val="10"/>
            <color indexed="81"/>
            <rFont val="Tahoma"/>
            <family val="2"/>
          </rPr>
          <t>Balilla assume operação da Maggi (antiga BIR 509) dia 02/05/2016.</t>
        </r>
      </text>
    </comment>
    <comment ref="C104" authorId="3" shapeId="0" xr:uid="{D1953A26-74C3-4064-A677-EAFA6650460C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R2S2--&gt;R2S1</t>
        </r>
      </text>
    </comment>
    <comment ref="C105" authorId="3" shapeId="0" xr:uid="{2F814817-5FF8-4647-8D50-2F4F66F091A5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R2S2--&gt;R2S1</t>
        </r>
      </text>
    </comment>
    <comment ref="C115" authorId="1" shapeId="0" xr:uid="{686C360B-1FB3-4A1D-827B-886C2C729012}">
      <text>
        <r>
          <rPr>
            <sz val="10"/>
            <color indexed="81"/>
            <rFont val="Tahoma"/>
            <family val="2"/>
          </rPr>
          <t>Sinal assumiu operação (antiga Grand Brasil) em: 01/05/2016
Nobre assumiu operação (antiga Sinal - 939) em junho/20</t>
        </r>
      </text>
    </comment>
    <comment ref="C117" authorId="8" shapeId="0" xr:uid="{0347CBDD-0908-4856-93B0-B78A77C43F55}">
      <text>
        <r>
          <rPr>
            <sz val="10"/>
            <color indexed="81"/>
            <rFont val="Tahoma"/>
            <family val="2"/>
          </rPr>
          <t>Proeste assumiu operação (antiga Viviani) em: 18/04/2016
Proeste Bauru será a nova Matriz do grupo assumindo a BIR 7600895.
BIR 7600919 será passada para futura filial de Avaré</t>
        </r>
      </text>
    </comment>
    <comment ref="C118" authorId="8" shapeId="0" xr:uid="{38A26FDD-4019-4F56-9D22-63A53CFE6D09}">
      <text>
        <r>
          <rPr>
            <sz val="10"/>
            <color indexed="81"/>
            <rFont val="Tahoma"/>
            <family val="2"/>
          </rPr>
          <t>Proeste assumiu operação (antiga Viviani) em: 18/04/2016</t>
        </r>
      </text>
    </comment>
    <comment ref="C119" authorId="8" shapeId="0" xr:uid="{1F6A21C1-D2AD-4D7C-968A-DA0D4B232BAD}">
      <text>
        <r>
          <rPr>
            <sz val="10"/>
            <color indexed="81"/>
            <rFont val="Tahoma"/>
            <family val="2"/>
          </rPr>
          <t>Proeste assumiu operação (antiga Viviani) em: 18/04/2016</t>
        </r>
      </text>
    </comment>
    <comment ref="C120" authorId="8" shapeId="0" xr:uid="{CE9A7A56-ACAF-42C3-91B7-598B22CA9C6F}">
      <text>
        <r>
          <rPr>
            <sz val="10"/>
            <color indexed="81"/>
            <rFont val="Tahoma"/>
            <family val="2"/>
          </rPr>
          <t>Proeste assumiu operação (antiga Viviani) em: 18/04/2016</t>
        </r>
      </text>
    </comment>
    <comment ref="C121" authorId="7" shapeId="0" xr:uid="{A2F6EF52-40E4-403B-B522-4D4E9DA75C8C}">
      <text>
        <r>
          <rPr>
            <b/>
            <sz val="9"/>
            <color indexed="81"/>
            <rFont val="Segoe UI"/>
            <family val="2"/>
          </rPr>
          <t>Euro assumiu a ZI em nov/17 em novo ponto. 
Antiga Dante BIR 309</t>
        </r>
      </text>
    </comment>
    <comment ref="C122" authorId="7" shapeId="0" xr:uid="{399F9215-52D1-4EF9-A19B-BCCA9DFD4600}">
      <text>
        <r>
          <rPr>
            <sz val="9"/>
            <color indexed="81"/>
            <rFont val="Segoe UI"/>
            <family val="2"/>
          </rPr>
          <t>Euro iniciou operações em 01/08/2017
Euro comprou e encerrou o ponto da Santa Emília (BIR 784) em junho/18.</t>
        </r>
      </text>
    </comment>
    <comment ref="C126" authorId="8" shapeId="0" xr:uid="{A7212D0F-543D-458B-A464-987A6823BAB3}">
      <text>
        <r>
          <rPr>
            <sz val="10"/>
            <color indexed="81"/>
            <rFont val="Tahoma"/>
            <family val="2"/>
          </rPr>
          <t>Proeste assumiu operação (antiga Ville) em: 04/01/2016
Mudança de grupo em 08/2019
Antiga Proeste Pres. Prudente (07600895) para Muchiutt Pres. Prudente (07601097)</t>
        </r>
      </text>
    </comment>
    <comment ref="C127" authorId="3" shapeId="0" xr:uid="{B31C1D93-54AA-4D8E-AB63-2F66D42805BC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28" authorId="3" shapeId="0" xr:uid="{733ADB65-F67B-4CDE-B7DA-CDB52F5AC72D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29" authorId="3" shapeId="0" xr:uid="{9BBD57D6-424A-4021-967B-4F4FF0EA9EA0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30" authorId="3" shapeId="0" xr:uid="{ABBCFAEB-3C64-49C1-877C-A0D969AB8FC7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31" authorId="10" shapeId="0" xr:uid="{FE8EE82D-2711-409F-A297-DC6A4ED8CE7C}">
      <text>
        <r>
          <rPr>
            <sz val="9"/>
            <color indexed="81"/>
            <rFont val="Segoe UI"/>
            <family val="2"/>
          </rPr>
          <t>Mudança para o Grupo R.Point em 01/02/2016. Antiga Bir 7600504
Abertura RM: 10/10/2017</t>
        </r>
      </text>
    </comment>
    <comment ref="C132" authorId="10" shapeId="0" xr:uid="{78BA7D9D-6B80-47C9-9E56-C38048CFBF78}">
      <text>
        <r>
          <rPr>
            <sz val="9"/>
            <color indexed="81"/>
            <rFont val="Segoe UI"/>
            <family val="2"/>
          </rPr>
          <t>Mudança para o Grupo R.Point em 01/02/2016. Antiga Bir 7600505</t>
        </r>
      </text>
    </comment>
    <comment ref="C135" authorId="8" shapeId="0" xr:uid="{FA8C94DF-3F8F-429C-99FB-6ED690686898}">
      <text>
        <r>
          <rPr>
            <sz val="10"/>
            <color indexed="81"/>
            <rFont val="Tahoma"/>
            <family val="2"/>
          </rPr>
          <t>Sinal assumiu operação (antiga Grand Brasil) em: 01/05/2016</t>
        </r>
      </text>
    </comment>
    <comment ref="C136" authorId="1" shapeId="0" xr:uid="{0F8811DE-11A4-4547-907A-55648AA9A7BC}">
      <text>
        <r>
          <rPr>
            <sz val="10"/>
            <color indexed="81"/>
            <rFont val="Tahoma"/>
            <family val="2"/>
          </rPr>
          <t xml:space="preserve">Mudança de Ponto:
26.08.2011
================
Sinal assumiu operação (antiga Grand Brasil) em: 01/05/2016
================
Mudança de ponto Ibirapuera --&gt; Bandeirantes em: 06/11/2023
</t>
        </r>
      </text>
    </comment>
    <comment ref="C138" authorId="4" shapeId="0" xr:uid="{ACF0DFDB-521A-4075-B5A5-2F482B6CE579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Itavema Indianopolis para Sinal Frence Indianopolis Em:27/11/2020
</t>
        </r>
      </text>
    </comment>
    <comment ref="C139" authorId="10" shapeId="0" xr:uid="{40C1CC51-E116-4AB8-BAEC-CB4F47BFDA14}">
      <text>
        <r>
          <rPr>
            <b/>
            <sz val="9"/>
            <color indexed="81"/>
            <rFont val="Tahoma"/>
            <family val="2"/>
          </rPr>
          <t>Grupo Sinal assumiu operação do ponto em Dez/14. Antigo ponto: AR Motors (Bir 07600443)
Mudança de ponto em 8/2015</t>
        </r>
      </text>
    </comment>
    <comment ref="C140" authorId="10" shapeId="0" xr:uid="{CDCCE770-8D91-4482-9E82-DF929F66C8CF}">
      <text>
        <r>
          <rPr>
            <b/>
            <sz val="9"/>
            <color indexed="81"/>
            <rFont val="Tahoma"/>
            <family val="2"/>
          </rPr>
          <t>Mudança de ponto em 12.09.11
Grupo Sinal assumiu operação do ponto em Dez/14. Antigo ponto Matriz: AR Motors (Bir 07600434)</t>
        </r>
      </text>
    </comment>
    <comment ref="C142" authorId="8" shapeId="0" xr:uid="{DA413614-F6E1-443E-8272-D24A19FECF3D}">
      <text>
        <r>
          <rPr>
            <sz val="10"/>
            <color indexed="81"/>
            <rFont val="Tahoma"/>
            <family val="2"/>
          </rPr>
          <t>Sinal assumiu operação (antiga Grand Brasil) em: 01/05/2016</t>
        </r>
      </text>
    </comment>
    <comment ref="C143" authorId="10" shapeId="0" xr:uid="{ADCAD648-B34D-43BA-BF4C-25AB924F6CA5}">
      <text>
        <r>
          <rPr>
            <b/>
            <sz val="9"/>
            <color indexed="81"/>
            <rFont val="Tahoma"/>
            <family val="2"/>
          </rPr>
          <t>Grupo Nasa assumiu a operação da Renauto (7600260) em Anápolis em Junho/2015.</t>
        </r>
      </text>
    </comment>
    <comment ref="C144" authorId="10" shapeId="0" xr:uid="{6469CA5A-929D-443E-87DD-880F4B991677}">
      <text>
        <r>
          <rPr>
            <b/>
            <sz val="9"/>
            <color indexed="81"/>
            <rFont val="Tahoma"/>
            <family val="2"/>
          </rPr>
          <t>Grupo Navesa assumiu a operação da Renauto em Goiânia em Março/15</t>
        </r>
      </text>
    </comment>
    <comment ref="C145" authorId="10" shapeId="0" xr:uid="{D0C11B64-534B-46B0-8B64-62F2D138ABEC}">
      <text>
        <r>
          <rPr>
            <b/>
            <sz val="9"/>
            <color indexed="81"/>
            <rFont val="Tahoma"/>
            <family val="2"/>
          </rPr>
          <t>Grupo Ravel assumiu a operação da Renauto em Rio Verde em Março/15. 
Separação do Show Room em Março 2016</t>
        </r>
      </text>
    </comment>
    <comment ref="C148" authorId="1" shapeId="0" xr:uid="{E3CEBEDD-45D2-470A-804E-E423A1B4D47C}">
      <text>
        <r>
          <rPr>
            <sz val="10"/>
            <color indexed="81"/>
            <rFont val="Tahoma"/>
            <family val="2"/>
          </rPr>
          <t>Grupo Azzurra comprou CNPJ em Novembro / 2003
Em Dez/2013 trocou o nome para Leauto</t>
        </r>
      </text>
    </comment>
    <comment ref="C149" authorId="8" shapeId="0" xr:uid="{78624A74-FFAF-482C-9133-266F580C856D}">
      <text>
        <r>
          <rPr>
            <sz val="9"/>
            <color indexed="81"/>
            <rFont val="Segoe UI"/>
            <family val="2"/>
          </rPr>
          <t>Inauguração RM:
20/05/2016</t>
        </r>
      </text>
    </comment>
    <comment ref="F150" authorId="11" shapeId="0" xr:uid="{E0BD5C90-7DDB-4864-8832-BB699A25F3B2}">
      <text>
        <r>
          <rPr>
            <sz val="10"/>
            <color indexed="81"/>
            <rFont val="Segoe UI"/>
            <family val="2"/>
          </rPr>
          <t>Retomou operações após obras</t>
        </r>
      </text>
    </comment>
    <comment ref="C151" authorId="7" shapeId="0" xr:uid="{0C2B4289-9749-4FB2-80E7-FEAA55B96F05}">
      <text>
        <r>
          <rPr>
            <b/>
            <sz val="9"/>
            <color indexed="81"/>
            <rFont val="Segoe UI"/>
            <family val="2"/>
          </rPr>
          <t>Antigo ponto Provence Volta Redonda (Data RdB 08/12/2011 - BIR 625)
Troca p/ o grupo Rio Sena em 13/03/18</t>
        </r>
      </text>
    </comment>
    <comment ref="C154" authorId="12" shapeId="0" xr:uid="{E3D9F4DD-C34B-40D4-A59A-17ACB5841049}">
      <text>
        <r>
          <rPr>
            <sz val="9"/>
            <color indexed="81"/>
            <rFont val="Tahoma"/>
            <family val="2"/>
          </rPr>
          <t>Até JAN/15 era somente PV. Fechamos a BIR 729 (Araruama Centro) para acoplar Showroom neste ponto.</t>
        </r>
      </text>
    </comment>
    <comment ref="C159" authorId="7" shapeId="0" xr:uid="{FFB9FAF2-2F9F-4C55-9BFA-08753FD8C15A}">
      <text>
        <r>
          <rPr>
            <b/>
            <sz val="9"/>
            <color indexed="81"/>
            <rFont val="Segoe UI"/>
            <family val="2"/>
          </rPr>
          <t>Troca de Grupos (Eiffel --&gt; Azzurra) em 11/09/2020</t>
        </r>
      </text>
    </comment>
    <comment ref="C165" authorId="9" shapeId="0" xr:uid="{F19A9620-5558-4E9B-81C1-2BA31F79452A}">
      <text>
        <r>
          <rPr>
            <b/>
            <sz val="9"/>
            <color indexed="81"/>
            <rFont val="Segoe UI"/>
            <family val="2"/>
          </rPr>
          <t>Troca de grupo:</t>
        </r>
        <r>
          <rPr>
            <sz val="9"/>
            <color indexed="81"/>
            <rFont val="Segoe UI"/>
            <family val="2"/>
          </rPr>
          <t xml:space="preserve"> Versalhes para Leva em 16/05/2022.
</t>
        </r>
      </text>
    </comment>
    <comment ref="C167" authorId="10" shapeId="0" xr:uid="{01BE07A7-BC9C-4E8B-B4C3-34A4480179E5}">
      <text>
        <r>
          <rPr>
            <sz val="9"/>
            <color indexed="81"/>
            <rFont val="Segoe UI"/>
            <family val="2"/>
          </rPr>
          <t>Trocar da Itacar para o Grupo Auto France em DEZ/15. Antinga BIR 714
Grupo Orvel assumiu pontos da Auto France em Jul/21</t>
        </r>
      </text>
    </comment>
    <comment ref="C168" authorId="10" shapeId="0" xr:uid="{B4F09EBA-57FB-480D-90FE-D875228103A7}">
      <text>
        <r>
          <rPr>
            <b/>
            <sz val="9"/>
            <color indexed="81"/>
            <rFont val="Tahoma"/>
            <family val="2"/>
          </rPr>
          <t xml:space="preserve">Antiga BIR 800 pertencente ao Grupo Itacar RN Linhares que foi vendido ao grupo Atlântica Automotor
Alteração de nome e razão social de Atlântica para Orvel em Jun/21
</t>
        </r>
      </text>
    </comment>
    <comment ref="C169" authorId="1" shapeId="0" xr:uid="{341CC9A1-976D-4690-BDBC-532990D04182}">
      <text>
        <r>
          <rPr>
            <sz val="11"/>
            <color indexed="81"/>
            <rFont val="Tahoma"/>
            <family val="2"/>
          </rPr>
          <t>Grupo Indiana comprou CNPJ em Agosto / 2010
====================
Grupo Orletti sob o nome de Atlantica Automotor assumiu o ponto em Jan/15
====================
Alteração de nome e razão social de Atlântica para Orvel em Jun/21</t>
        </r>
      </text>
    </comment>
    <comment ref="C170" authorId="10" shapeId="0" xr:uid="{5C3FD6DD-9C45-4B80-B9F8-FFC14E72C2AA}">
      <text>
        <r>
          <rPr>
            <sz val="9"/>
            <color indexed="81"/>
            <rFont val="Tahoma"/>
            <family val="2"/>
          </rPr>
          <t>Grupo AutoFrance sobre outra Razão Social (AutoFrance Veiculos) assumiu o ponto em Jan/15
Grupo Orvel assumiu pontos da Auto France em Jul/21</t>
        </r>
      </text>
    </comment>
    <comment ref="C171" authorId="10" shapeId="0" xr:uid="{0F2951D0-C23C-4E77-B3D7-F0256515D3F6}">
      <text>
        <r>
          <rPr>
            <sz val="9"/>
            <color indexed="81"/>
            <rFont val="Tahoma"/>
            <family val="2"/>
          </rPr>
          <t>Grupo Orletti sob o nome de Atlantica Automotor assumiu o ponto em Jan/15
Alteração de nome e razão social de Atlântica para Orvel em Jun/21</t>
        </r>
      </text>
    </comment>
    <comment ref="C173" authorId="7" shapeId="0" xr:uid="{F10B7813-6DCB-4D63-B90D-DEC526DE96BF}">
      <text>
        <r>
          <rPr>
            <sz val="9"/>
            <color indexed="81"/>
            <rFont val="Segoe UI"/>
            <family val="2"/>
          </rPr>
          <t xml:space="preserve">Antiga Terra Norte (BIR 615) - encerramento abr/17
Abertura Carmo em outro ponto (BIR 1004) 16/02/2018
</t>
        </r>
      </text>
    </comment>
    <comment ref="C175" authorId="6" shapeId="0" xr:uid="{52BBF2E4-5237-43E8-89A1-6E662ED9207F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Dijon adquiriu o ponto de Divinópolis em 01/12/2021 da AutoRede.</t>
        </r>
      </text>
    </comment>
    <comment ref="C178" authorId="4" shapeId="0" xr:uid="{540E7901-6B00-4B70-B8A4-FE78D9737907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Valence Barão para Minas Frence Barão Em:25/04/2021</t>
        </r>
      </text>
    </comment>
    <comment ref="C183" authorId="7" shapeId="0" xr:uid="{4B643970-DCA0-446E-98BF-DF9BB0C9C6AD}">
      <text>
        <r>
          <rPr>
            <sz val="9"/>
            <color indexed="81"/>
            <rFont val="Segoe UI"/>
            <family val="2"/>
          </rPr>
          <t xml:space="preserve">Mudança de BIR em 11/05/2018
BIR 738 --&gt; BIR 1038 devido a separaçaõ das operações do grupo BR France
</t>
        </r>
      </text>
    </comment>
    <comment ref="C185" authorId="7" shapeId="0" xr:uid="{F7863A18-9D7C-4C49-BB30-AB539AC0DBD2}">
      <text>
        <r>
          <rPr>
            <sz val="9"/>
            <color indexed="81"/>
            <rFont val="Segoe UI"/>
            <family val="2"/>
          </rPr>
          <t>Mudança de BIR em 11/05/2018
BIR 629 --&gt; BIR 1037 devido a separaçaõ das operações do grupo BR France</t>
        </r>
      </text>
    </comment>
    <comment ref="C187" authorId="8" shapeId="0" xr:uid="{55314CC7-36FF-4BF8-83AF-FE59BD9E2791}">
      <text>
        <r>
          <rPr>
            <sz val="10"/>
            <color indexed="81"/>
            <rFont val="Tahoma"/>
            <family val="2"/>
          </rPr>
          <t>Mudança de Regional em 05/16:
antiga R5S1 -&gt; nova R4S3
Mudança de grupo em 07/2021
Antiga Via Automóveis Uberaba (07601130) para Urca France Uberaba (07601176)</t>
        </r>
      </text>
    </comment>
    <comment ref="C188" authorId="11" shapeId="0" xr:uid="{7E50242E-7E58-4CC1-B0BE-9968CF0BBB80}">
      <text>
        <r>
          <rPr>
            <sz val="9"/>
            <color indexed="81"/>
            <rFont val="Segoe UI"/>
            <family val="2"/>
          </rPr>
          <t>Data da inauguração da antiga Cical.
Data de inauguração da Prima Via: 27/12/2018
Data de inauguração da Urca: 31/05/2021
Mudança de grupo em 07/2021
Antiga Via Automóveis Uberlândia (07601068) para Urca France Uberlândia (07601175)</t>
        </r>
      </text>
    </comment>
    <comment ref="C192" authorId="11" shapeId="0" xr:uid="{501BB644-8C67-4216-8C7F-1E14B0D2B81D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Grupo Besouro inagurou o ponto em Fevereiro de 2019. Grupo Serra encerrou as operções em  Junho de 2018.</t>
        </r>
      </text>
    </comment>
    <comment ref="C193" authorId="1" shapeId="0" xr:uid="{2824ACB5-D48F-400E-9A68-6E1592B22432}">
      <text>
        <r>
          <rPr>
            <sz val="10"/>
            <color indexed="81"/>
            <rFont val="Tahoma"/>
            <family val="2"/>
          </rPr>
          <t>Grupo Original comprou CNPJ em Setembro / 2008
Troca de Grupo (para Eiffel Serra) em Junho/2012
Troca de Grupo - Serra p/ Besouro em junho/2018. Reabertura do ponto em ago/18.</t>
        </r>
      </text>
    </comment>
    <comment ref="C194" authorId="4" shapeId="0" xr:uid="{C9D93601-7363-4789-A589-116828382DED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Valence Contagem para Roma Contagem Em:25/04/2021</t>
        </r>
      </text>
    </comment>
    <comment ref="C195" authorId="4" shapeId="0" xr:uid="{9132A80F-E2FA-4920-8030-68259C6C8E4C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Valence Norte para Roma Norte Em:25/04/2021</t>
        </r>
      </text>
    </comment>
    <comment ref="C196" authorId="8" shapeId="0" xr:uid="{C379D15F-756E-47D3-8779-B2F3149DC6F7}">
      <text>
        <r>
          <rPr>
            <sz val="10"/>
            <color indexed="81"/>
            <rFont val="Tahoma"/>
            <family val="2"/>
          </rPr>
          <t>Mudança de Regional em 05/16:
antiga R5S1 -&gt; nova R4S3</t>
        </r>
      </text>
    </comment>
    <comment ref="C197" authorId="11" shapeId="0" xr:uid="{CBCC1463-841F-4E92-AB61-A0FB2030F89C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Mudança de setor em Janeiro de 2019
R5S3 -&gt; R5S1</t>
        </r>
      </text>
    </comment>
    <comment ref="C198" authorId="11" shapeId="0" xr:uid="{C6AA4A92-F94F-4ED5-9797-FC4217AA8344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Mudança de setor em Janeiro de 2019
R5S3 -&gt; R5S1</t>
        </r>
      </text>
    </comment>
    <comment ref="C202" authorId="1" shapeId="0" xr:uid="{DCC54590-C1DA-4BBD-9C45-22C7EFCEBAB2}">
      <text>
        <r>
          <rPr>
            <sz val="10"/>
            <color indexed="81"/>
            <rFont val="Tahoma"/>
            <family val="2"/>
          </rPr>
          <t>Grupo Rodaleve comprou CNPJ em Outubro / 2007
Mudança e Ponto
9/1/2012</t>
        </r>
      </text>
    </comment>
    <comment ref="C205" authorId="3" shapeId="0" xr:uid="{50F1A773-24D5-4968-AE8F-F5CF46C21274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Troca de Grupo: Antiga Viva France Araguaína (BIR 7600880)</t>
        </r>
      </text>
    </comment>
    <comment ref="C206" authorId="7" shapeId="0" xr:uid="{B1C878DF-F049-48FD-9D46-0F8EE752609F}">
      <text>
        <r>
          <rPr>
            <b/>
            <sz val="9"/>
            <color indexed="81"/>
            <rFont val="Segoe UI"/>
            <family val="2"/>
          </rPr>
          <t>KERNBICHLER Vitor:</t>
        </r>
        <r>
          <rPr>
            <sz val="9"/>
            <color indexed="81"/>
            <rFont val="Segoe UI"/>
            <family val="2"/>
          </rPr>
          <t xml:space="preserve">
Troca de Grupo (Alliance --&gt; Caetes antiga BIR 469) ago/17</t>
        </r>
      </text>
    </comment>
    <comment ref="C209" authorId="8" shapeId="0" xr:uid="{04E01EF5-8BDA-48BF-9920-06D6F28D9DF7}">
      <text>
        <r>
          <rPr>
            <b/>
            <sz val="9"/>
            <color indexed="81"/>
            <rFont val="Segoe UI"/>
            <family val="2"/>
          </rPr>
          <t>IAMUNDO Gabriel:</t>
        </r>
        <r>
          <rPr>
            <sz val="9"/>
            <color indexed="81"/>
            <rFont val="Segoe UI"/>
            <family val="2"/>
          </rPr>
          <t xml:space="preserve">
BIR Matriz transferida para este ponto em julho/2016.
Inclusão PRO+ em 24/08/2018</t>
        </r>
      </text>
    </comment>
    <comment ref="C210" authorId="7" shapeId="0" xr:uid="{BE926948-D56B-4598-951B-6CB67482A9CB}">
      <text>
        <r>
          <rPr>
            <b/>
            <sz val="9"/>
            <color indexed="81"/>
            <rFont val="Segoe UI"/>
            <family val="2"/>
          </rPr>
          <t>Troca de Grupos em 27/08/2018
Grupo Porto (369) --&gt; Grupo Saga Lemans (1061)</t>
        </r>
      </text>
    </comment>
    <comment ref="C212" authorId="6" shapeId="0" xr:uid="{51CB740E-4F39-40B8-A7CE-DB6C5538A23F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Venda da operação J.Carneiro em 14.11.2024 para Eurovia</t>
        </r>
      </text>
    </comment>
    <comment ref="C213" authorId="6" shapeId="0" xr:uid="{5FDDF207-19F7-442F-8BD3-D1A53BC97E8D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Venda da operação J.Carneiro em 14.11.2024 para Eurovia</t>
        </r>
      </text>
    </comment>
    <comment ref="C214" authorId="6" shapeId="0" xr:uid="{B88295B9-1F0B-4E8B-B6FB-EC3701390483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Venda da operação J.Carneiro em 14.11.2024 para Eurovia</t>
        </r>
      </text>
    </comment>
    <comment ref="C219" authorId="11" shapeId="0" xr:uid="{979D2F6B-1028-496D-B9D8-B75CF4CBA17D}">
      <text>
        <r>
          <rPr>
            <sz val="9"/>
            <color indexed="81"/>
            <rFont val="Segoe UI"/>
            <family val="2"/>
          </rPr>
          <t xml:space="preserve">Data de inauguração da antiga Renacar.
Inauguração JPN em 09/2019
</t>
        </r>
      </text>
    </comment>
    <comment ref="C221" authorId="1" shapeId="0" xr:uid="{78D13803-0F03-448A-AE61-B0C1B65AE307}">
      <text>
        <r>
          <rPr>
            <sz val="10"/>
            <color indexed="81"/>
            <rFont val="Tahoma"/>
            <family val="2"/>
          </rPr>
          <t>Sinal assumiu operação (antiga Grand Brasil) em: 01/05/2016
Grupo Nobre assumiu operação (antiga Sinal) em: 16/03/2020</t>
        </r>
      </text>
    </comment>
    <comment ref="C224" authorId="8" shapeId="0" xr:uid="{EBA188FB-AA8B-449B-ACF2-A5AE7F63FE13}">
      <text>
        <r>
          <rPr>
            <sz val="9"/>
            <color indexed="81"/>
            <rFont val="Segoe UI"/>
            <family val="2"/>
          </rPr>
          <t xml:space="preserve">Grupo Gamboa adquiriu Mossoró. Transição: 23/08/2016.
Mundança de ponto em 11/11/2019
</t>
        </r>
      </text>
    </comment>
    <comment ref="C233" authorId="7" shapeId="0" xr:uid="{59BAB277-0697-419C-ACD7-798D0AB7E7B7}">
      <text>
        <r>
          <rPr>
            <b/>
            <sz val="9"/>
            <color indexed="81"/>
            <rFont val="Segoe UI"/>
            <family val="2"/>
          </rPr>
          <t>Data Contrato de Concessão Jangada:
03/06/2002</t>
        </r>
      </text>
    </comment>
    <comment ref="C237" authorId="8" shapeId="0" xr:uid="{6234179B-C849-459B-B28F-FE0109AED78D}">
      <text>
        <r>
          <rPr>
            <sz val="10"/>
            <color indexed="81"/>
            <rFont val="Tahoma"/>
            <family val="2"/>
          </rPr>
          <t xml:space="preserve">Proeste assumiu operação (antiga Ville) em: 04/01/2016
Mudança de grupo em 08/2019
Antiga Proeste Pres. Prudente (07600895) para Muchiutt Pres. Prudente (07601097)
Dical juazeiro para Terra santana (13/11/2020)
</t>
        </r>
      </text>
    </comment>
    <comment ref="C238" authorId="1" shapeId="0" xr:uid="{29073B2F-5E5D-4424-8895-86427DE1F3DC}">
      <text>
        <r>
          <rPr>
            <sz val="8"/>
            <color indexed="81"/>
            <rFont val="Tahoma"/>
            <family val="2"/>
          </rPr>
          <t>Mudança de Ponto:
07.4.2011</t>
        </r>
      </text>
    </comment>
    <comment ref="C239" authorId="7" shapeId="0" xr:uid="{10821DC7-BBBA-43A6-A74C-BDDF42D6BFE7}">
      <text>
        <r>
          <rPr>
            <b/>
            <sz val="9"/>
            <color indexed="81"/>
            <rFont val="Segoe UI"/>
            <family val="2"/>
          </rPr>
          <t>Mudança de ponto e inclusão do RM em 14/05/18</t>
        </r>
      </text>
    </comment>
    <comment ref="C241" authorId="7" shapeId="0" xr:uid="{73139D77-DF01-4E49-AE89-6ACCDFDF880E}">
      <text>
        <r>
          <rPr>
            <b/>
            <sz val="9"/>
            <color indexed="81"/>
            <rFont val="Segoe UI"/>
            <family val="2"/>
          </rPr>
          <t>O ponto de Mossoró (07600559 - Matriz) foi adquirido pelo novo Grupo Gamboa (07600935).
Assim, a BIR 678 se tornou a nova Matriz do grupo (04/05/2018)</t>
        </r>
      </text>
    </comment>
    <comment ref="C247" authorId="8" shapeId="0" xr:uid="{256AE5D4-CA19-4C78-9590-377E573D804F}">
      <text>
        <r>
          <rPr>
            <sz val="10"/>
            <color indexed="81"/>
            <rFont val="Tahoma"/>
            <family val="2"/>
          </rPr>
          <t>Mudança de Regional em 05/16:
antiga R5S1 -&gt; nova R4S3</t>
        </r>
      </text>
    </comment>
    <comment ref="C251" authorId="11" shapeId="0" xr:uid="{21856289-42C2-4426-B491-4DEB831DF861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Mudança de grupo em 01/2019
Antiga Porto Manaus (7600347) para Du Nort Manaus (7601077)
Du nort manaus (matriz) Para Du nort Manaus (filial) em: 25/11/2020)</t>
        </r>
      </text>
    </comment>
    <comment ref="C253" authorId="4" shapeId="0" xr:uid="{727A7F35-F482-41BF-9F58-BF700F44ECB8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Du Nort Marabá(matriz) Para Du Nort Marabá (Filial) em: 25/11/2020
</t>
        </r>
      </text>
    </comment>
    <comment ref="C255" authorId="11" shapeId="0" xr:uid="{19AF1E95-3A9E-417F-B27D-17E79769B345}">
      <text>
        <r>
          <rPr>
            <sz val="9"/>
            <color indexed="81"/>
            <rFont val="Segoe UI"/>
            <family val="2"/>
          </rPr>
          <t xml:space="preserve">Mudança de grupo em 09/2019.
Antiga Entreposto Imperatriz (07600161) para Du Nort Imperatriz (07601100)
Du nort  Imperatriz (matriz) para Du nort imperatriz (filial) Em:25/11/2020
</t>
        </r>
      </text>
    </comment>
    <comment ref="C256" authorId="11" shapeId="0" xr:uid="{4F21BC1C-B471-4594-B74A-EF2E89E3AEBC}">
      <text>
        <r>
          <rPr>
            <sz val="9"/>
            <color indexed="81"/>
            <rFont val="Segoe UI"/>
            <family val="2"/>
          </rPr>
          <t xml:space="preserve">Mudança de grupo em 09/2019.
Antiga Entreposto Calhau (07600144) para Du Nort São Luis (07601099)
Du nort São luis (matriz) para Du nort São luis (filial) Em: 25/11/2020
 </t>
        </r>
      </text>
    </comment>
    <comment ref="C257" authorId="11" shapeId="0" xr:uid="{1EEF0573-9DE2-4D8F-97C6-2186462CED18}">
      <text>
        <r>
          <rPr>
            <sz val="9"/>
            <color indexed="81"/>
            <rFont val="Segoe UI"/>
            <family val="2"/>
          </rPr>
          <t xml:space="preserve">Mudança de grupo em 09/2019.
Antiga Entreposto São Luís RM (07600981) para Du Nort São Luís RM (a definir)
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C260" authorId="5" shapeId="0" xr:uid="{20366EBD-3089-4577-B073-FA1AA88E3420}">
      <text>
        <r>
          <rPr>
            <sz val="10"/>
            <color indexed="81"/>
            <rFont val="Tahoma"/>
            <family val="2"/>
          </rPr>
          <t xml:space="preserve">Data da Rdb no ponto/cidade
Antiga BIR 421 Porto Boa Vista cancelada
Nova BIR 764 para o grupo Marlin - Out/2013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PARMIGIANI Daniela</author>
    <author>lb92260</author>
    <author>tc={75C2B569-09FC-44B8-8F08-C01611E722E0}</author>
    <author>MARIM Allan</author>
    <author>TORRES Fabiana</author>
    <author>PINTO Gisele</author>
    <author>ALVES Rennan</author>
    <author>KERNBICHLER Vitor</author>
    <author>IAMUNDO Gabriel</author>
    <author>OLIVEIRA Izabella</author>
    <author>RAHHAL Rafael</author>
    <author>SCARDELATTO Lucas</author>
    <author>FRIZO Roberta</author>
  </authors>
  <commentList>
    <comment ref="W4" authorId="0" shapeId="0" xr:uid="{79FC6997-9365-467C-9C91-CDF921896F05}">
      <text>
        <r>
          <rPr>
            <b/>
            <sz val="9"/>
            <color indexed="81"/>
            <rFont val="Segoe UI"/>
            <family val="2"/>
          </rPr>
          <t>A ser utilizado pelo DCQS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9" authorId="1" shapeId="0" xr:uid="{83755EC8-D4FB-4788-9680-65411CF2A1E6}">
      <text>
        <r>
          <rPr>
            <sz val="10"/>
            <color indexed="81"/>
            <rFont val="Tahoma"/>
            <family val="2"/>
          </rPr>
          <t xml:space="preserve">Mudança de Ponto:
1/11/2011
Mudança de grupo em 19/12/2018
Antiga Granvel Guarapuava (7600448)
Mudança de grupo, Vip Car Guarapuava para Fórmula em 01/02/2023.
</t>
        </r>
      </text>
    </comment>
    <comment ref="C12" authorId="2" shapeId="0" xr:uid="{75C2B569-09FC-44B8-8F08-C01611E722E0}">
      <text>
        <t>[Threaded comment]
Your version of Excel allows you to read this threaded comment; however, any edits to it will get removed if the file is opened in a newer version of Excel. Learn more: https://go.microsoft.com/fwlink/?linkid=870924
Comment:
    Mudança de grupo, Vip Car Paranaguá para Fórmula em 01/02/2023.</t>
      </text>
    </comment>
    <comment ref="C13" authorId="3" shapeId="0" xr:uid="{92357450-D295-42AE-B88E-01CDAA3A7667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grupo em 19/12/2018.
Antiga Granvel Ponta Grossa (7600447)
Mudança de grupo, Vip Car Ponta Grossa  para Fórmula em 01/02/2023.</t>
        </r>
      </text>
    </comment>
    <comment ref="C19" authorId="4" shapeId="0" xr:uid="{CAF6BA07-5AE6-49BB-9DFD-F94B9EF490EE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Liberté Itajai Para Globo Itajai Em:30/12/2022</t>
        </r>
      </text>
    </comment>
    <comment ref="C20" authorId="5" shapeId="0" xr:uid="{A40C0791-D53F-472E-B5EE-4F1E0C179E00}">
      <text>
        <r>
          <rPr>
            <sz val="9"/>
            <color indexed="81"/>
            <rFont val="Tahoma"/>
            <family val="2"/>
          </rPr>
          <t xml:space="preserve">Compra do Ponto :
Liberté para Globo 05/02/2013
</t>
        </r>
      </text>
    </comment>
    <comment ref="C23" authorId="6" shapeId="0" xr:uid="{734D49BB-7F14-4F3C-BC6C-AA410C6C24F7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AutoPlus assume as operações da Liberté Jaragua do Sul a partir de 30/12/2022</t>
        </r>
      </text>
    </comment>
    <comment ref="C24" authorId="4" shapeId="0" xr:uid="{D5A47705-1EE6-413C-9BC2-433E74329230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Automega Para AutoPlus Em:01/11/2022</t>
        </r>
      </text>
    </comment>
    <comment ref="C26" authorId="7" shapeId="0" xr:uid="{000E7E77-4D0F-4BCE-BCD3-EC071A778B88}">
      <text>
        <r>
          <rPr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R26" authorId="7" shapeId="0" xr:uid="{2F209783-5CF7-4CA6-9384-037453CE4BAC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U26" authorId="7" shapeId="0" xr:uid="{F765251B-6FF8-4AB4-A76B-A0B43B5898A7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X26" authorId="7" shapeId="0" xr:uid="{192E8B97-2433-4EDD-882D-2241AD0A3D10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27" authorId="7" shapeId="0" xr:uid="{F842BA33-9554-4932-B2A5-DAF64A8760B6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R27" authorId="7" shapeId="0" xr:uid="{2754EACC-7D6B-4EE8-BE07-2005FC7BF3FB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U27" authorId="7" shapeId="0" xr:uid="{2F9EC050-64C4-48B5-8BC8-461C34CE3D93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X27" authorId="7" shapeId="0" xr:uid="{5142EF86-2604-4E86-8896-8BBFE53E3FF2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28" authorId="7" shapeId="0" xr:uid="{E189CF20-2827-49CF-ABB0-B4FA810D2170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R28" authorId="7" shapeId="0" xr:uid="{408BD7C3-C312-4521-ADD4-A82DC91A5724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U28" authorId="7" shapeId="0" xr:uid="{6C59142C-CC16-41BD-9461-DB832FA10E57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X28" authorId="7" shapeId="0" xr:uid="{2FD21B2A-C9A6-4136-89AE-281501C34881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30" authorId="6" shapeId="0" xr:uid="{29D5DAB5-C854-4B34-ABE3-BC1CCCF3D4DA}">
      <text>
        <r>
          <rPr>
            <b/>
            <sz val="9"/>
            <color indexed="81"/>
            <rFont val="Segoe UI"/>
            <family val="2"/>
          </rPr>
          <t xml:space="preserve">ALVES Rennan:
Mudança de endereço da BIR Matriz. 
</t>
        </r>
      </text>
    </comment>
    <comment ref="C31" authorId="1" shapeId="0" xr:uid="{0A782747-135F-402D-9CF7-139EC2DDDF24}">
      <text>
        <r>
          <rPr>
            <sz val="10"/>
            <color indexed="81"/>
            <rFont val="Tahoma"/>
            <family val="2"/>
          </rPr>
          <t>Grupo Smaff comprou Pontos Renascença Agosto/2012
Grupo Buritis comprou operação em Mar/2015.
Grupo Guará assumiu operações da ZI em Julho/18.</t>
        </r>
      </text>
    </comment>
    <comment ref="C34" authorId="5" shapeId="0" xr:uid="{5D2FDD8D-13E6-41E7-8620-69FF72A86F90}">
      <text>
        <r>
          <rPr>
            <sz val="9"/>
            <color indexed="81"/>
            <rFont val="Tahoma"/>
            <family val="2"/>
          </rPr>
          <t xml:space="preserve">Data da Rdb no ponto/cidade
Antiga BIR 251 Sulbra Passo Fundo cancelada
Nova BIR 756 para o grupo Itaimbé - Jun/2013
</t>
        </r>
      </text>
    </comment>
    <comment ref="C37" authorId="6" shapeId="0" xr:uid="{259E8BB9-7D51-477A-9AE5-35786D76FCE9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De Marco assume as operações da Liberté Blumenau a partir de 30/12/2022</t>
        </r>
      </text>
    </comment>
    <comment ref="C39" authorId="8" shapeId="0" xr:uid="{759E4698-D662-445B-9047-BBA2AD39243E}">
      <text>
        <r>
          <rPr>
            <sz val="10"/>
            <color indexed="81"/>
            <rFont val="Calibri"/>
            <family val="2"/>
          </rPr>
          <t>O ponto de Chapecó, anteriormente da Rüdiger, foi adquirido pelo Grupo De Marco.
Data da transição: 01/08/2016
Mudança de Endereço em 04/06/2018</t>
        </r>
      </text>
    </comment>
    <comment ref="C47" authorId="7" shapeId="0" xr:uid="{BEB41931-463E-46D8-A97D-9932F6EFA7B9}">
      <text>
        <r>
          <rPr>
            <sz val="9"/>
            <color indexed="81"/>
            <rFont val="Segoe UI"/>
            <family val="2"/>
          </rPr>
          <t xml:space="preserve">Troca de Grupo Buritis (antiga BIR 380) --&gt; Saga em 11/2017
</t>
        </r>
      </text>
    </comment>
    <comment ref="C49" authorId="7" shapeId="0" xr:uid="{94AE6A41-4ABE-41C0-8599-B9C54E2D156D}">
      <text>
        <r>
          <rPr>
            <sz val="9"/>
            <color indexed="81"/>
            <rFont val="Segoe UI"/>
            <family val="2"/>
          </rPr>
          <t>Gala assumiu a ZI em nov/17 em um novo ponto.
Antiga Weicolo Canoas (BIR 454) foi encerrada em jun/17.</t>
        </r>
      </text>
    </comment>
    <comment ref="C51" authorId="5" shapeId="0" xr:uid="{7B9F8B17-2825-4D7C-89E5-6DCE78880CAB}">
      <text>
        <r>
          <rPr>
            <sz val="9"/>
            <color indexed="81"/>
            <rFont val="Tahoma"/>
            <family val="2"/>
          </rPr>
          <t>Data da Rdb no ponto/cidade
Antiga BIR 582 Sulbra Erechim cancelada
Nova BIR 750 para o grupo Weicolo - Jun/2013
Antiga BIR 750 para o grupo IESA - Jun/2015</t>
        </r>
      </text>
    </comment>
    <comment ref="C53" authorId="9" shapeId="0" xr:uid="{59C2C651-1F6E-4562-9B46-862CC1B03C09}">
      <text>
        <r>
          <rPr>
            <b/>
            <sz val="8"/>
            <color indexed="81"/>
            <rFont val="Segoe UI"/>
            <family val="2"/>
          </rPr>
          <t xml:space="preserve">Data de Inauguração da Antiga Weicolo Montenegro.
Cannes Montenegro inaugurada em 04/12/2018
</t>
        </r>
        <r>
          <rPr>
            <sz val="8"/>
            <color indexed="81"/>
            <rFont val="Segoe UI"/>
            <family val="2"/>
          </rPr>
          <t>Mudança de grupo em 02/2021
Antiga Cannes Montenegro (07601063) para Iesa Montenegro (07601199)</t>
        </r>
      </text>
    </comment>
    <comment ref="C55" authorId="5" shapeId="0" xr:uid="{C3092F2F-AEEB-44E9-865C-2A42C9D77293}">
      <text>
        <r>
          <rPr>
            <sz val="9"/>
            <color indexed="81"/>
            <rFont val="Tahoma"/>
            <family val="2"/>
          </rPr>
          <t>Data da Rdb no ponto/cidade
Antiga BIR 409 Sulbra Passo Fundo cancelada
Nova BIR 749 para o grupo Weicolo - Jun/2013
Antiga BIR 749 para o grupo IESA - Jun/2015</t>
        </r>
      </text>
    </comment>
    <comment ref="C56" authorId="9" shapeId="0" xr:uid="{4627EB5C-BA7C-4689-B59F-387FF09283D6}">
      <text>
        <r>
          <rPr>
            <sz val="9"/>
            <color indexed="81"/>
            <rFont val="Segoe UI"/>
            <family val="2"/>
          </rPr>
          <t>Data Weicolo antiga: 09/11/2007
Mudança de grupo em 02/2021
Antiga Cannes Santa Cruz (07600978) para Iesa Santa Cruz (07601197)</t>
        </r>
      </text>
    </comment>
    <comment ref="C66" authorId="9" shapeId="0" xr:uid="{C6C7C633-7876-479B-8742-52A45FE3F5DA}">
      <text>
        <r>
          <rPr>
            <sz val="9"/>
            <color indexed="81"/>
            <rFont val="Segoe UI"/>
            <family val="2"/>
          </rPr>
          <t xml:space="preserve">
Mudança de grupo em 02/2021
Antiga Cannes Lajeado (07600965) para DR Sul Lajeado (07601198)</t>
        </r>
      </text>
    </comment>
    <comment ref="C69" authorId="10" shapeId="0" xr:uid="{8FFF4022-3C6A-4C62-9D75-4233F0642D17}">
      <text>
        <r>
          <rPr>
            <b/>
            <sz val="9"/>
            <color indexed="81"/>
            <rFont val="Tahoma"/>
            <family val="2"/>
          </rPr>
          <t>Grupo DR SUL assumiu o ponto em Out/14. Antigo ponto da Sulbra (BIR 07600719)</t>
        </r>
      </text>
    </comment>
    <comment ref="C74" authorId="1" shapeId="0" xr:uid="{0DA5EAEE-1D66-4D12-B3A9-441A7E384807}">
      <text>
        <r>
          <rPr>
            <sz val="8"/>
            <color indexed="81"/>
            <rFont val="Tahoma"/>
            <family val="2"/>
          </rPr>
          <t xml:space="preserve">Mudança de Ponto:
16/1/2012
</t>
        </r>
      </text>
    </comment>
    <comment ref="Z80" authorId="7" shapeId="0" xr:uid="{00353B45-77F1-4F0A-89D2-DD89013B12F2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Z81" authorId="7" shapeId="0" xr:uid="{254F1A1A-8F2E-4459-A6F1-11D8626503F7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85" authorId="1" shapeId="0" xr:uid="{EF57F2E3-DD1D-4FAA-A0B4-E333AA3C0B23}">
      <text>
        <r>
          <rPr>
            <sz val="8"/>
            <color indexed="81"/>
            <rFont val="Tahoma"/>
            <family val="2"/>
          </rPr>
          <t xml:space="preserve">Mudança de Ponto:
8/11/2011
</t>
        </r>
      </text>
    </comment>
    <comment ref="C89" authorId="7" shapeId="0" xr:uid="{6B6D8833-B27D-4F86-8F09-7C96DA03AAB4}">
      <text>
        <r>
          <rPr>
            <sz val="9"/>
            <color indexed="81"/>
            <rFont val="Segoe UI"/>
            <family val="2"/>
          </rPr>
          <t xml:space="preserve">mud. Ponto da matriz Indianópolis p/ Pinheiros em 08/20.
</t>
        </r>
      </text>
    </comment>
    <comment ref="C92" authorId="7" shapeId="0" xr:uid="{B611FA5C-61DC-420A-A29C-9689D80EB1FD}">
      <text>
        <r>
          <rPr>
            <sz val="9"/>
            <color indexed="81"/>
            <rFont val="Segoe UI"/>
            <family val="2"/>
          </rPr>
          <t>Troca de grupo
Max Motors --&gt; Toriba jan/17
Fechamento temporário em SET/17 com reabertura em novo endereço em MAI/19</t>
        </r>
      </text>
    </comment>
    <comment ref="C93" authorId="7" shapeId="0" xr:uid="{BB412DA8-E476-42A0-B014-B86B2DE12BF8}">
      <text>
        <r>
          <rPr>
            <b/>
            <sz val="9"/>
            <color indexed="81"/>
            <rFont val="Segoe UI"/>
            <family val="2"/>
          </rPr>
          <t>KERNBICHLER Vitor:</t>
        </r>
        <r>
          <rPr>
            <sz val="9"/>
            <color indexed="81"/>
            <rFont val="Segoe UI"/>
            <family val="2"/>
          </rPr>
          <t xml:space="preserve">
A concessionária foi oficializada dia 26/09/2017
Mudança de Setor 17/10/18
R2S2--&gt;R2S1</t>
        </r>
      </text>
    </comment>
    <comment ref="C96" authorId="5" shapeId="0" xr:uid="{C4B1BECE-59E0-46D7-94A6-A6419CC57E45}">
      <text>
        <r>
          <rPr>
            <sz val="9"/>
            <color indexed="81"/>
            <rFont val="Tahoma"/>
            <family val="2"/>
          </rPr>
          <t>Data da Rdb no ponto/cidade
Mudança de ponto ocorreu em 24/12/2013</t>
        </r>
      </text>
    </comment>
    <comment ref="C97" authorId="6" shapeId="0" xr:uid="{D26A99DA-5DDE-4D0E-892C-08DBAB23606A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AutoR vendida para Andreta Julho/2023
</t>
        </r>
      </text>
    </comment>
    <comment ref="C98" authorId="6" shapeId="0" xr:uid="{547A5427-3313-4E8C-8800-C6B1B796D033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AutoR vendida para Andreta Julho/2023
</t>
        </r>
      </text>
    </comment>
    <comment ref="C99" authorId="0" shapeId="0" xr:uid="{A6DC8DD5-5EA6-44BF-A538-45EE7B2B0081}">
      <text>
        <r>
          <rPr>
            <b/>
            <sz val="9"/>
            <color indexed="81"/>
            <rFont val="Segoe UI"/>
            <family val="2"/>
          </rPr>
          <t>Automec assumiu a operação da Concorde em 10/04/2017
Andreta assumiu a operação da Automec em 06/01/2020 em novo ponto</t>
        </r>
      </text>
    </comment>
    <comment ref="C108" authorId="8" shapeId="0" xr:uid="{194028CA-D494-4A06-92AC-365DC2278BB4}">
      <text>
        <r>
          <rPr>
            <sz val="10"/>
            <color indexed="81"/>
            <rFont val="Tahoma"/>
            <family val="2"/>
          </rPr>
          <t>Balilla assume operação da Maggi (antiga BIR 509) dia 02/05/2016.</t>
        </r>
      </text>
    </comment>
    <comment ref="C109" authorId="3" shapeId="0" xr:uid="{A1310EDA-799D-405A-9245-E4B0C7E3480E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R2S2--&gt;R2S1</t>
        </r>
      </text>
    </comment>
    <comment ref="C110" authorId="3" shapeId="0" xr:uid="{86BD33BB-B68C-401E-A55D-15A87F145DD5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R2S2--&gt;R2S1</t>
        </r>
      </text>
    </comment>
    <comment ref="C120" authorId="1" shapeId="0" xr:uid="{E4376539-782E-4ADD-ABB5-F2BAC5A88B50}">
      <text>
        <r>
          <rPr>
            <sz val="10"/>
            <color indexed="81"/>
            <rFont val="Tahoma"/>
            <family val="2"/>
          </rPr>
          <t>Sinal assumiu operação (antiga Grand Brasil) em: 01/05/2016
Nobre assumiu operação (antiga Sinal - 939) em junho/20</t>
        </r>
      </text>
    </comment>
    <comment ref="C122" authorId="8" shapeId="0" xr:uid="{FEFEF8BE-EF81-4EA2-91A6-16F2DD514130}">
      <text>
        <r>
          <rPr>
            <sz val="10"/>
            <color indexed="81"/>
            <rFont val="Tahoma"/>
            <family val="2"/>
          </rPr>
          <t>Proeste assumiu operação (antiga Viviani) em: 18/04/2016
Proeste Bauru será a nova Matriz do grupo assumindo a BIR 7600895.
BIR 7600919 será passada para futura filial de Avaré</t>
        </r>
      </text>
    </comment>
    <comment ref="C123" authorId="8" shapeId="0" xr:uid="{0F9D2F10-64FD-4D5F-B4BA-6EFEE04D5194}">
      <text>
        <r>
          <rPr>
            <sz val="10"/>
            <color indexed="81"/>
            <rFont val="Tahoma"/>
            <family val="2"/>
          </rPr>
          <t>Proeste assumiu operação (antiga Viviani) em: 18/04/2016</t>
        </r>
      </text>
    </comment>
    <comment ref="C124" authorId="8" shapeId="0" xr:uid="{4CB50E54-9435-4B65-8595-6037E7324434}">
      <text>
        <r>
          <rPr>
            <sz val="10"/>
            <color indexed="81"/>
            <rFont val="Tahoma"/>
            <family val="2"/>
          </rPr>
          <t>Proeste assumiu operação (antiga Viviani) em: 18/04/2016</t>
        </r>
      </text>
    </comment>
    <comment ref="C125" authorId="8" shapeId="0" xr:uid="{ABCBA535-1F04-40F0-8563-58E644B8390E}">
      <text>
        <r>
          <rPr>
            <sz val="10"/>
            <color indexed="81"/>
            <rFont val="Tahoma"/>
            <family val="2"/>
          </rPr>
          <t>Proeste assumiu operação (antiga Viviani) em: 18/04/2016</t>
        </r>
      </text>
    </comment>
    <comment ref="C127" authorId="7" shapeId="0" xr:uid="{43D34527-3DC7-41E3-95B3-4D2FA0425467}">
      <text>
        <r>
          <rPr>
            <b/>
            <sz val="9"/>
            <color indexed="81"/>
            <rFont val="Segoe UI"/>
            <family val="2"/>
          </rPr>
          <t>Euro assumiu a ZI em nov/17 em novo ponto. 
Antiga Dante BIR 309</t>
        </r>
      </text>
    </comment>
    <comment ref="C128" authorId="7" shapeId="0" xr:uid="{D374EF71-047A-408E-AA87-5A22DE54B111}">
      <text>
        <r>
          <rPr>
            <sz val="9"/>
            <color indexed="81"/>
            <rFont val="Segoe UI"/>
            <family val="2"/>
          </rPr>
          <t>Euro iniciou operações em 01/08/2017
Euro comprou e encerrou o ponto da Santa Emília (BIR 784) em junho/18.</t>
        </r>
      </text>
    </comment>
    <comment ref="C132" authorId="8" shapeId="0" xr:uid="{B497AAB0-87EB-4E1D-B176-49A4E1D8C28A}">
      <text>
        <r>
          <rPr>
            <sz val="10"/>
            <color indexed="81"/>
            <rFont val="Tahoma"/>
            <family val="2"/>
          </rPr>
          <t>Proeste assumiu operação (antiga Ville) em: 04/01/2016
Mudança de grupo em 08/2019
Antiga Proeste Pres. Prudente (07600895) para Muchiutt Pres. Prudente (07601097)</t>
        </r>
      </text>
    </comment>
    <comment ref="C133" authorId="3" shapeId="0" xr:uid="{975D575F-A34E-4851-AC60-26A413B0235B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34" authorId="3" shapeId="0" xr:uid="{4E3CCBFE-17C1-4E7D-B5B0-1D0339B6312B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35" authorId="3" shapeId="0" xr:uid="{FA3CF133-2728-437F-A75F-E0E6881CDA4C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36" authorId="3" shapeId="0" xr:uid="{D5D564D8-94FE-4A14-BD02-D44D96A31422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37" authorId="10" shapeId="0" xr:uid="{9C95E2BD-B340-4F4C-819A-3DF03DF845CC}">
      <text>
        <r>
          <rPr>
            <sz val="9"/>
            <color indexed="81"/>
            <rFont val="Segoe UI"/>
            <family val="2"/>
          </rPr>
          <t>Mudança para o Grupo R.Point em 01/02/2016. Antiga Bir 7600504
Abertura RM: 10/10/2017</t>
        </r>
      </text>
    </comment>
    <comment ref="C138" authorId="10" shapeId="0" xr:uid="{23AFA0AA-510B-4D9F-A509-B3BAEB40B914}">
      <text>
        <r>
          <rPr>
            <sz val="9"/>
            <color indexed="81"/>
            <rFont val="Segoe UI"/>
            <family val="2"/>
          </rPr>
          <t>Mudança para o Grupo R.Point em 01/02/2016. Antiga Bir 7600505</t>
        </r>
      </text>
    </comment>
    <comment ref="C141" authorId="8" shapeId="0" xr:uid="{C357D0FD-7024-4E69-A33E-71247C80041E}">
      <text>
        <r>
          <rPr>
            <sz val="10"/>
            <color indexed="81"/>
            <rFont val="Tahoma"/>
            <family val="2"/>
          </rPr>
          <t>Sinal assumiu operação (antiga Grand Brasil) em: 01/05/2016</t>
        </r>
      </text>
    </comment>
    <comment ref="C142" authorId="1" shapeId="0" xr:uid="{7F0CAD0C-67B6-4092-95A3-330E17B1F5B9}">
      <text>
        <r>
          <rPr>
            <sz val="10"/>
            <color indexed="81"/>
            <rFont val="Tahoma"/>
            <family val="2"/>
          </rPr>
          <t xml:space="preserve">Mudança de Ponto:
26.08.2011
================
Sinal assumiu operação (antiga Grand Brasil) em: 01/05/2016
================
Mudança de ponto Ibirapuera --&gt; Bandeirantes em: 06/11/2023
</t>
        </r>
      </text>
    </comment>
    <comment ref="C144" authorId="4" shapeId="0" xr:uid="{8215B93A-62D9-4510-9CE3-B9C18F2A49BD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Itavema Indianopolis para Sinal Frence Indianopolis Em:27/11/2020
</t>
        </r>
      </text>
    </comment>
    <comment ref="C145" authorId="10" shapeId="0" xr:uid="{81E44EB9-EF9D-451A-879B-85FDC26FF191}">
      <text>
        <r>
          <rPr>
            <b/>
            <sz val="9"/>
            <color indexed="81"/>
            <rFont val="Tahoma"/>
            <family val="2"/>
          </rPr>
          <t>Grupo Sinal assumiu operação do ponto em Dez/14. Antigo ponto: AR Motors (Bir 07600443)
Mudança de ponto em 8/2015</t>
        </r>
      </text>
    </comment>
    <comment ref="C146" authorId="10" shapeId="0" xr:uid="{05E3823B-1323-485B-9A50-38376F83003C}">
      <text>
        <r>
          <rPr>
            <b/>
            <sz val="9"/>
            <color indexed="81"/>
            <rFont val="Tahoma"/>
            <family val="2"/>
          </rPr>
          <t>Mudança de ponto em 12.09.11
Grupo Sinal assumiu operação do ponto em Dez/14. Antigo ponto Matriz: AR Motors (Bir 07600434)</t>
        </r>
      </text>
    </comment>
    <comment ref="C148" authorId="8" shapeId="0" xr:uid="{307BAD95-06E9-48DD-87D0-0B8E343C84BA}">
      <text>
        <r>
          <rPr>
            <sz val="10"/>
            <color indexed="81"/>
            <rFont val="Tahoma"/>
            <family val="2"/>
          </rPr>
          <t>Sinal assumiu operação (antiga Grand Brasil) em: 01/05/2016</t>
        </r>
      </text>
    </comment>
    <comment ref="C149" authorId="10" shapeId="0" xr:uid="{83AD22DB-7866-4652-AE59-F289D29EB6DA}">
      <text>
        <r>
          <rPr>
            <b/>
            <sz val="9"/>
            <color indexed="81"/>
            <rFont val="Tahoma"/>
            <family val="2"/>
          </rPr>
          <t>Grupo Nasa assumiu a operação da Renauto (7600260) em Anápolis em Junho/2015.</t>
        </r>
      </text>
    </comment>
    <comment ref="C150" authorId="10" shapeId="0" xr:uid="{AECD37DB-0529-451C-A891-E6C82E64A07D}">
      <text>
        <r>
          <rPr>
            <b/>
            <sz val="9"/>
            <color indexed="81"/>
            <rFont val="Tahoma"/>
            <family val="2"/>
          </rPr>
          <t>Grupo Navesa assumiu a operação da Renauto em Goiânia em Março/15</t>
        </r>
      </text>
    </comment>
    <comment ref="C151" authorId="10" shapeId="0" xr:uid="{7D58904B-6C35-4F59-8E07-7D969EE87A47}">
      <text>
        <r>
          <rPr>
            <b/>
            <sz val="9"/>
            <color indexed="81"/>
            <rFont val="Tahoma"/>
            <family val="2"/>
          </rPr>
          <t>Grupo Ravel assumiu a operação da Renauto em Rio Verde em Março/15. 
Separação do Show Room em Março 2016</t>
        </r>
      </text>
    </comment>
    <comment ref="C154" authorId="1" shapeId="0" xr:uid="{96ADB407-AE84-4452-89DF-43DF328582B6}">
      <text>
        <r>
          <rPr>
            <sz val="10"/>
            <color indexed="81"/>
            <rFont val="Tahoma"/>
            <family val="2"/>
          </rPr>
          <t>Grupo Azzurra comprou CNPJ em Novembro / 2003
Em Dez/2013 trocou o nome para Leauto</t>
        </r>
      </text>
    </comment>
    <comment ref="C155" authorId="8" shapeId="0" xr:uid="{DB8CA0F9-A770-49E4-8AE5-088C59F59696}">
      <text>
        <r>
          <rPr>
            <sz val="9"/>
            <color indexed="81"/>
            <rFont val="Segoe UI"/>
            <family val="2"/>
          </rPr>
          <t>Inauguração RM:
20/05/2016</t>
        </r>
      </text>
    </comment>
    <comment ref="F156" authorId="11" shapeId="0" xr:uid="{F05201BB-0AC4-433D-9266-D736C9090887}">
      <text>
        <r>
          <rPr>
            <sz val="10"/>
            <color indexed="81"/>
            <rFont val="Segoe UI"/>
            <family val="2"/>
          </rPr>
          <t>Retomou operações após obras</t>
        </r>
      </text>
    </comment>
    <comment ref="C157" authorId="7" shapeId="0" xr:uid="{BEF742CD-A810-4364-891A-ED138AC7345B}">
      <text>
        <r>
          <rPr>
            <b/>
            <sz val="9"/>
            <color indexed="81"/>
            <rFont val="Segoe UI"/>
            <family val="2"/>
          </rPr>
          <t>Antigo ponto Provence Volta Redonda (Data RdB 08/12/2011 - BIR 625)
Troca p/ o grupo Rio Sena em 13/03/18</t>
        </r>
      </text>
    </comment>
    <comment ref="C160" authorId="12" shapeId="0" xr:uid="{07F2527D-3088-4B6A-8B06-64B08C8B7A31}">
      <text>
        <r>
          <rPr>
            <sz val="9"/>
            <color indexed="81"/>
            <rFont val="Tahoma"/>
            <family val="2"/>
          </rPr>
          <t>Até JAN/15 era somente PV. Fechamos a BIR 729 (Araruama Centro) para acoplar Showroom neste ponto.</t>
        </r>
      </text>
    </comment>
    <comment ref="C165" authorId="7" shapeId="0" xr:uid="{029792E4-7C39-48B4-9AA2-3E2F211487F7}">
      <text>
        <r>
          <rPr>
            <b/>
            <sz val="9"/>
            <color indexed="81"/>
            <rFont val="Segoe UI"/>
            <family val="2"/>
          </rPr>
          <t>Troca de Grupos (Eiffel --&gt; Azzurra) em 11/09/2020</t>
        </r>
      </text>
    </comment>
    <comment ref="C171" authorId="9" shapeId="0" xr:uid="{4B2B27BF-3A83-49EB-8423-059545A33AEE}">
      <text>
        <r>
          <rPr>
            <b/>
            <sz val="9"/>
            <color indexed="81"/>
            <rFont val="Segoe UI"/>
            <family val="2"/>
          </rPr>
          <t>Troca de grupo:</t>
        </r>
        <r>
          <rPr>
            <sz val="9"/>
            <color indexed="81"/>
            <rFont val="Segoe UI"/>
            <family val="2"/>
          </rPr>
          <t xml:space="preserve"> Versalhes para Leva em 16/05/2022.
</t>
        </r>
      </text>
    </comment>
    <comment ref="C173" authorId="10" shapeId="0" xr:uid="{607B58F2-53BB-498A-A5A0-4E94AE5D2B03}">
      <text>
        <r>
          <rPr>
            <sz val="9"/>
            <color indexed="81"/>
            <rFont val="Segoe UI"/>
            <family val="2"/>
          </rPr>
          <t>Trocar da Itacar para o Grupo Auto France em DEZ/15. Antinga BIR 714
Grupo Orvel assumiu pontos da Auto France em Jul/21</t>
        </r>
      </text>
    </comment>
    <comment ref="C174" authorId="10" shapeId="0" xr:uid="{EEFEE962-FC4A-42D7-AFD5-BE327DD55820}">
      <text>
        <r>
          <rPr>
            <b/>
            <sz val="9"/>
            <color indexed="81"/>
            <rFont val="Tahoma"/>
            <family val="2"/>
          </rPr>
          <t xml:space="preserve">Antiga BIR 800 pertencente ao Grupo Itacar RN Linhares que foi vendido ao grupo Atlântica Automotor
Alteração de nome e razão social de Atlântica para Orvel em Jun/21
</t>
        </r>
      </text>
    </comment>
    <comment ref="C175" authorId="1" shapeId="0" xr:uid="{3850B24E-DC21-4B1E-995C-07F1DB61A1CB}">
      <text>
        <r>
          <rPr>
            <sz val="11"/>
            <color indexed="81"/>
            <rFont val="Tahoma"/>
            <family val="2"/>
          </rPr>
          <t>Grupo Indiana comprou CNPJ em Agosto / 2010
====================
Grupo Orletti sob o nome de Atlantica Automotor assumiu o ponto em Jan/15
====================
Alteração de nome e razão social de Atlântica para Orvel em Jun/21</t>
        </r>
      </text>
    </comment>
    <comment ref="C176" authorId="10" shapeId="0" xr:uid="{3A81ECC4-5AD0-4027-9C87-482EBCB03354}">
      <text>
        <r>
          <rPr>
            <sz val="9"/>
            <color indexed="81"/>
            <rFont val="Tahoma"/>
            <family val="2"/>
          </rPr>
          <t>Grupo AutoFrance sobre outra Razão Social (AutoFrance Veiculos) assumiu o ponto em Jan/15
Grupo Orvel assumiu pontos da Auto France em Jul/21</t>
        </r>
      </text>
    </comment>
    <comment ref="C177" authorId="10" shapeId="0" xr:uid="{8037A210-1DBF-4438-B363-1768A83D5B36}">
      <text>
        <r>
          <rPr>
            <sz val="9"/>
            <color indexed="81"/>
            <rFont val="Tahoma"/>
            <family val="2"/>
          </rPr>
          <t>Grupo Orletti sob o nome de Atlantica Automotor assumiu o ponto em Jan/15
Alteração de nome e razão social de Atlântica para Orvel em Jun/21</t>
        </r>
      </text>
    </comment>
    <comment ref="C179" authorId="7" shapeId="0" xr:uid="{AA2B6D77-7585-417E-848C-F974341FBE99}">
      <text>
        <r>
          <rPr>
            <sz val="9"/>
            <color indexed="81"/>
            <rFont val="Segoe UI"/>
            <family val="2"/>
          </rPr>
          <t xml:space="preserve">Antiga Terra Norte (BIR 615) - encerramento abr/17
Abertura Carmo em outro ponto (BIR 1004) 16/02/2018
</t>
        </r>
      </text>
    </comment>
    <comment ref="C181" authorId="6" shapeId="0" xr:uid="{0C0C9759-9330-4453-91EB-AB2386994D83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Dijon adquiriu o ponto de Divinópolis em 01/12/2021 da AutoRede.</t>
        </r>
      </text>
    </comment>
    <comment ref="C184" authorId="4" shapeId="0" xr:uid="{BD0A42C2-99FB-464B-BC57-7187894BEF19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Valence Barão para Minas Frence Barão Em:25/04/2021</t>
        </r>
      </text>
    </comment>
    <comment ref="C189" authorId="7" shapeId="0" xr:uid="{A30684E6-94A1-46D0-B5C1-D18CDC96372A}">
      <text>
        <r>
          <rPr>
            <sz val="9"/>
            <color indexed="81"/>
            <rFont val="Segoe UI"/>
            <family val="2"/>
          </rPr>
          <t xml:space="preserve">Mudança de BIR em 11/05/2018
BIR 738 --&gt; BIR 1038 devido a separaçaõ das operações do grupo BR France
</t>
        </r>
      </text>
    </comment>
    <comment ref="C191" authorId="7" shapeId="0" xr:uid="{FAD9C9BD-46CF-418E-A23B-C194BF4BD997}">
      <text>
        <r>
          <rPr>
            <sz val="9"/>
            <color indexed="81"/>
            <rFont val="Segoe UI"/>
            <family val="2"/>
          </rPr>
          <t>Mudança de BIR em 11/05/2018
BIR 629 --&gt; BIR 1037 devido a separaçaõ das operações do grupo BR France</t>
        </r>
      </text>
    </comment>
    <comment ref="C193" authorId="8" shapeId="0" xr:uid="{70B23171-2619-45FC-8D3C-52582D0FFDD2}">
      <text>
        <r>
          <rPr>
            <sz val="10"/>
            <color indexed="81"/>
            <rFont val="Tahoma"/>
            <family val="2"/>
          </rPr>
          <t>Mudança de Regional em 05/16:
antiga R5S1 -&gt; nova R4S3
Mudança de grupo em 07/2021
Antiga Via Automóveis Uberaba (07601130) para Urca France Uberaba (07601176)</t>
        </r>
      </text>
    </comment>
    <comment ref="C194" authorId="11" shapeId="0" xr:uid="{A108F295-E911-4006-B578-D524168B58F2}">
      <text>
        <r>
          <rPr>
            <sz val="9"/>
            <color indexed="81"/>
            <rFont val="Segoe UI"/>
            <family val="2"/>
          </rPr>
          <t>Data da inauguração da antiga Cical.
Data de inauguração da Prima Via: 27/12/2018
Data de inauguração da Urca: 31/05/2021
Mudança de grupo em 07/2021
Antiga Via Automóveis Uberlândia (07601068) para Urca France Uberlândia (07601175)</t>
        </r>
      </text>
    </comment>
    <comment ref="C198" authorId="11" shapeId="0" xr:uid="{D83C20C4-2492-4FB6-89A0-F8C5674504CF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Grupo Besouro inagurou o ponto em Fevereiro de 2019. Grupo Serra encerrou as operções em  Junho de 2018.</t>
        </r>
      </text>
    </comment>
    <comment ref="C199" authorId="1" shapeId="0" xr:uid="{F4DC7204-3702-4740-82E2-5C1B43053100}">
      <text>
        <r>
          <rPr>
            <sz val="10"/>
            <color indexed="81"/>
            <rFont val="Tahoma"/>
            <family val="2"/>
          </rPr>
          <t>Grupo Original comprou CNPJ em Setembro / 2008
Troca de Grupo (para Eiffel Serra) em Junho/2012
Troca de Grupo - Serra p/ Besouro em junho/2018. Reabertura do ponto em ago/18.</t>
        </r>
      </text>
    </comment>
    <comment ref="C200" authorId="4" shapeId="0" xr:uid="{BB1E11F6-3D2E-4645-8C15-BD3330CDC526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Valence Contagem para Roma Contagem Em:25/04/2021</t>
        </r>
      </text>
    </comment>
    <comment ref="C201" authorId="4" shapeId="0" xr:uid="{6ED67154-6253-4744-B6B4-AF82F9C4E364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Valence Norte para Roma Norte Em:25/04/2021</t>
        </r>
      </text>
    </comment>
    <comment ref="C202" authorId="8" shapeId="0" xr:uid="{194F505D-58CD-4057-889E-00EEE1161609}">
      <text>
        <r>
          <rPr>
            <sz val="10"/>
            <color indexed="81"/>
            <rFont val="Tahoma"/>
            <family val="2"/>
          </rPr>
          <t>Mudança de Regional em 05/16:
antiga R5S1 -&gt; nova R4S3</t>
        </r>
      </text>
    </comment>
    <comment ref="C203" authorId="11" shapeId="0" xr:uid="{D175EC3B-3310-47C7-B13F-27DB44515341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Mudança de setor em Janeiro de 2019
R5S3 -&gt; R5S1</t>
        </r>
      </text>
    </comment>
    <comment ref="C204" authorId="11" shapeId="0" xr:uid="{C74C30B1-629F-4810-8CB7-9EA2DE326159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Mudança de setor em Janeiro de 2019
R5S3 -&gt; R5S1</t>
        </r>
      </text>
    </comment>
    <comment ref="C208" authorId="1" shapeId="0" xr:uid="{D3DC8245-CC71-4371-B1B9-D93C885C08E3}">
      <text>
        <r>
          <rPr>
            <sz val="10"/>
            <color indexed="81"/>
            <rFont val="Tahoma"/>
            <family val="2"/>
          </rPr>
          <t>Grupo Rodaleve comprou CNPJ em Outubro / 2007
Mudança e Ponto
9/1/2012</t>
        </r>
      </text>
    </comment>
    <comment ref="C211" authorId="3" shapeId="0" xr:uid="{68D994A2-298A-4FAA-BE92-6C9801A02E6E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Troca de Grupo: Antiga Viva France Araguaína (BIR 7600880)</t>
        </r>
      </text>
    </comment>
    <comment ref="C212" authorId="7" shapeId="0" xr:uid="{E2BC14E8-EF1C-4399-A124-95E068749753}">
      <text>
        <r>
          <rPr>
            <b/>
            <sz val="9"/>
            <color indexed="81"/>
            <rFont val="Segoe UI"/>
            <family val="2"/>
          </rPr>
          <t>KERNBICHLER Vitor:</t>
        </r>
        <r>
          <rPr>
            <sz val="9"/>
            <color indexed="81"/>
            <rFont val="Segoe UI"/>
            <family val="2"/>
          </rPr>
          <t xml:space="preserve">
Troca de Grupo (Alliance --&gt; Caetes antiga BIR 469) ago/17</t>
        </r>
      </text>
    </comment>
    <comment ref="C215" authorId="8" shapeId="0" xr:uid="{6B091ADD-2C8F-4F5D-9898-2D96F73DC964}">
      <text>
        <r>
          <rPr>
            <b/>
            <sz val="9"/>
            <color indexed="81"/>
            <rFont val="Segoe UI"/>
            <family val="2"/>
          </rPr>
          <t>IAMUNDO Gabriel:</t>
        </r>
        <r>
          <rPr>
            <sz val="9"/>
            <color indexed="81"/>
            <rFont val="Segoe UI"/>
            <family val="2"/>
          </rPr>
          <t xml:space="preserve">
BIR Matriz transferida para este ponto em julho/2016.
Inclusão PRO+ em 24/08/2018</t>
        </r>
      </text>
    </comment>
    <comment ref="C216" authorId="7" shapeId="0" xr:uid="{99CE925C-2465-471C-9A84-A6EFD91AFC09}">
      <text>
        <r>
          <rPr>
            <b/>
            <sz val="9"/>
            <color indexed="81"/>
            <rFont val="Segoe UI"/>
            <family val="2"/>
          </rPr>
          <t>Troca de Grupos em 27/08/2018
Grupo Porto (369) --&gt; Grupo Saga Lemans (1061)</t>
        </r>
      </text>
    </comment>
    <comment ref="C218" authorId="6" shapeId="0" xr:uid="{334E403E-9C03-4D1C-BB82-E8850D12338D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Venda da operação J.Carneiro em 14.11.2024 para Eurovia</t>
        </r>
      </text>
    </comment>
    <comment ref="C219" authorId="6" shapeId="0" xr:uid="{B2A702E8-CD95-423C-A26D-E15D1F03EC68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Venda da operação J.Carneiro em 14.11.2024 para Eurovia</t>
        </r>
      </text>
    </comment>
    <comment ref="C220" authorId="6" shapeId="0" xr:uid="{9B0BCB3A-0DA1-4767-ADEF-08C4FB8F5F8F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Venda da operação J.Carneiro em 14.11.2024 para Eurovia</t>
        </r>
      </text>
    </comment>
    <comment ref="C225" authorId="11" shapeId="0" xr:uid="{F99D81E6-28E2-4A4F-B182-3D161E451C4B}">
      <text>
        <r>
          <rPr>
            <sz val="9"/>
            <color indexed="81"/>
            <rFont val="Segoe UI"/>
            <family val="2"/>
          </rPr>
          <t xml:space="preserve">Data de inauguração da antiga Renacar.
Inauguração JPN em 09/2019
</t>
        </r>
      </text>
    </comment>
    <comment ref="C227" authorId="1" shapeId="0" xr:uid="{9EC194FA-D5D5-4C26-ACBE-CB3713440D0D}">
      <text>
        <r>
          <rPr>
            <sz val="10"/>
            <color indexed="81"/>
            <rFont val="Tahoma"/>
            <family val="2"/>
          </rPr>
          <t>Sinal assumiu operação (antiga Grand Brasil) em: 01/05/2016
Grupo Nobre assumiu operação (antiga Sinal) em: 16/03/2020</t>
        </r>
      </text>
    </comment>
    <comment ref="C230" authorId="8" shapeId="0" xr:uid="{49EAF6B6-353E-4833-A1AA-05DFACE48F55}">
      <text>
        <r>
          <rPr>
            <sz val="9"/>
            <color indexed="81"/>
            <rFont val="Segoe UI"/>
            <family val="2"/>
          </rPr>
          <t xml:space="preserve">Grupo Gamboa adquiriu Mossoró. Transição: 23/08/2016.
Mundança de ponto em 11/11/2019
</t>
        </r>
      </text>
    </comment>
    <comment ref="C239" authorId="7" shapeId="0" xr:uid="{0A6E5FC2-460B-493E-8E6D-BCF4B057AC9C}">
      <text>
        <r>
          <rPr>
            <b/>
            <sz val="9"/>
            <color indexed="81"/>
            <rFont val="Segoe UI"/>
            <family val="2"/>
          </rPr>
          <t>Data Contrato de Concessão Jangada:
03/06/2002</t>
        </r>
      </text>
    </comment>
    <comment ref="C243" authorId="8" shapeId="0" xr:uid="{68FC1EAA-A118-4927-A350-8757C0266457}">
      <text>
        <r>
          <rPr>
            <sz val="10"/>
            <color indexed="81"/>
            <rFont val="Tahoma"/>
            <family val="2"/>
          </rPr>
          <t xml:space="preserve">Proeste assumiu operação (antiga Ville) em: 04/01/2016
Mudança de grupo em 08/2019
Antiga Proeste Pres. Prudente (07600895) para Muchiutt Pres. Prudente (07601097)
Dical juazeiro para Terra santana (13/11/2020)
</t>
        </r>
      </text>
    </comment>
    <comment ref="C244" authorId="1" shapeId="0" xr:uid="{1584BCA9-3F0E-4C5B-AA2A-69AB033D4891}">
      <text>
        <r>
          <rPr>
            <sz val="8"/>
            <color indexed="81"/>
            <rFont val="Tahoma"/>
            <family val="2"/>
          </rPr>
          <t>Mudança de Ponto:
07.4.2011</t>
        </r>
      </text>
    </comment>
    <comment ref="C245" authorId="7" shapeId="0" xr:uid="{CC0C0E80-AF64-4852-BACE-7FC98E5EA360}">
      <text>
        <r>
          <rPr>
            <b/>
            <sz val="9"/>
            <color indexed="81"/>
            <rFont val="Segoe UI"/>
            <family val="2"/>
          </rPr>
          <t>Mudança de ponto e inclusão do RM em 14/05/18</t>
        </r>
      </text>
    </comment>
    <comment ref="C247" authorId="7" shapeId="0" xr:uid="{09099864-0323-401B-A09C-92C5F01D882E}">
      <text>
        <r>
          <rPr>
            <b/>
            <sz val="9"/>
            <color indexed="81"/>
            <rFont val="Segoe UI"/>
            <family val="2"/>
          </rPr>
          <t>O ponto de Mossoró (07600559 - Matriz) foi adquirido pelo novo Grupo Gamboa (07600935).
Assim, a BIR 678 se tornou a nova Matriz do grupo (04/05/2018)</t>
        </r>
      </text>
    </comment>
    <comment ref="C253" authorId="8" shapeId="0" xr:uid="{A2E023CF-7468-4A60-8EFE-B7BF89752CDE}">
      <text>
        <r>
          <rPr>
            <sz val="10"/>
            <color indexed="81"/>
            <rFont val="Tahoma"/>
            <family val="2"/>
          </rPr>
          <t>Mudança de Regional em 05/16:
antiga R5S1 -&gt; nova R4S3</t>
        </r>
      </text>
    </comment>
    <comment ref="C257" authorId="11" shapeId="0" xr:uid="{146C6A0E-F67B-40F1-99C7-9D74D34C823B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Mudança de grupo em 01/2019
Antiga Porto Manaus (7600347) para Du Nort Manaus (7601077)
Du nort manaus (matriz) Para Du nort Manaus (filial) em: 25/11/2020)</t>
        </r>
      </text>
    </comment>
    <comment ref="C259" authorId="4" shapeId="0" xr:uid="{C0DF91B4-ED81-4480-920E-00F5104C1F7D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Du Nort Marabá(matriz) Para Du Nort Marabá (Filial) em: 25/11/2020
</t>
        </r>
      </text>
    </comment>
    <comment ref="C261" authorId="11" shapeId="0" xr:uid="{69913E47-6F28-4075-95B8-A2A4E48C8C66}">
      <text>
        <r>
          <rPr>
            <sz val="9"/>
            <color indexed="81"/>
            <rFont val="Segoe UI"/>
            <family val="2"/>
          </rPr>
          <t xml:space="preserve">Mudança de grupo em 09/2019.
Antiga Entreposto Imperatriz (07600161) para Du Nort Imperatriz (07601100)
Du nort  Imperatriz (matriz) para Du nort imperatriz (filial) Em:25/11/2020
</t>
        </r>
      </text>
    </comment>
    <comment ref="C262" authorId="11" shapeId="0" xr:uid="{4A125D4F-BF31-49D3-9471-FB6326C54BF3}">
      <text>
        <r>
          <rPr>
            <sz val="9"/>
            <color indexed="81"/>
            <rFont val="Segoe UI"/>
            <family val="2"/>
          </rPr>
          <t xml:space="preserve">Mudança de grupo em 09/2019.
Antiga Entreposto Calhau (07600144) para Du Nort São Luis (07601099)
Du nort São luis (matriz) para Du nort São luis (filial) Em: 25/11/2020
 </t>
        </r>
      </text>
    </comment>
    <comment ref="C263" authorId="11" shapeId="0" xr:uid="{D238E228-A466-432E-A3EC-9F5085DFD433}">
      <text>
        <r>
          <rPr>
            <sz val="9"/>
            <color indexed="81"/>
            <rFont val="Segoe UI"/>
            <family val="2"/>
          </rPr>
          <t xml:space="preserve">Mudança de grupo em 09/2019.
Antiga Entreposto São Luís RM (07600981) para Du Nort São Luís RM (a definir)
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C264" authorId="5" shapeId="0" xr:uid="{9714D971-9F8D-4A60-B358-8B8720285897}">
      <text>
        <r>
          <rPr>
            <sz val="10"/>
            <color indexed="81"/>
            <rFont val="Tahoma"/>
            <family val="2"/>
          </rPr>
          <t xml:space="preserve">Data da Rdb no ponto/cidade
Antiga BIR 421 Porto Boa Vista cancelada
Nova BIR 764 para o grupo Marlin - Out/2013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PARMIGIANI Daniela</author>
    <author>lb92260</author>
    <author>tc={840C3330-4622-419C-88D4-3D463990676F}</author>
    <author>MARIM Allan</author>
    <author>TORRES Fabiana</author>
    <author>PINTO Gisele</author>
    <author>ALVES Rennan</author>
    <author>KERNBICHLER Vitor</author>
    <author>IAMUNDO Gabriel</author>
    <author>OLIVEIRA Izabella</author>
    <author>RAHHAL Rafael</author>
    <author>SCARDELATTO Lucas</author>
    <author>FRIZO Roberta</author>
  </authors>
  <commentList>
    <comment ref="W4" authorId="0" shapeId="0" xr:uid="{2E84FCE3-8959-44B7-84C5-1FAF99C7C320}">
      <text>
        <r>
          <rPr>
            <b/>
            <sz val="9"/>
            <color indexed="81"/>
            <rFont val="Segoe UI"/>
            <family val="2"/>
          </rPr>
          <t>A ser utilizado pelo DCQS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8" authorId="1" shapeId="0" xr:uid="{FF48ACE6-4424-4426-8245-51E79B7F096C}">
      <text>
        <r>
          <rPr>
            <sz val="10"/>
            <color indexed="81"/>
            <rFont val="Tahoma"/>
            <family val="2"/>
          </rPr>
          <t xml:space="preserve">Mudança de Ponto:
1/11/2011
Mudança de grupo em 19/12/2018
Antiga Granvel Guarapuava (7600448)
Mudança de grupo, Vip Car Guarapuava para Fórmula em 01/02/2023.
</t>
        </r>
      </text>
    </comment>
    <comment ref="C11" authorId="2" shapeId="0" xr:uid="{840C3330-4622-419C-88D4-3D463990676F}">
      <text>
        <t>[Threaded comment]
Your version of Excel allows you to read this threaded comment; however, any edits to it will get removed if the file is opened in a newer version of Excel. Learn more: https://go.microsoft.com/fwlink/?linkid=870924
Comment:
    Mudança de grupo, Vip Car Paranaguá para Fórmula em 01/02/2023.</t>
      </text>
    </comment>
    <comment ref="C12" authorId="3" shapeId="0" xr:uid="{41E59589-415F-4ACD-AADE-CAAAEBC5BCB7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grupo em 19/12/2018.
Antiga Granvel Ponta Grossa (7600447)
Mudança de grupo, Vip Car Ponta Grossa  para Fórmula em 01/02/2023.</t>
        </r>
      </text>
    </comment>
    <comment ref="C18" authorId="4" shapeId="0" xr:uid="{5AC3E127-D79A-4FD5-A4CE-0B5E22848ED2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Liberté Itajai Para Globo Itajai Em:30/12/2022</t>
        </r>
      </text>
    </comment>
    <comment ref="C19" authorId="5" shapeId="0" xr:uid="{041A7C2A-8C03-49DE-BE96-072E86E0BFA2}">
      <text>
        <r>
          <rPr>
            <sz val="9"/>
            <color indexed="81"/>
            <rFont val="Tahoma"/>
            <family val="2"/>
          </rPr>
          <t xml:space="preserve">Compra do Ponto :
Liberté para Globo 05/02/2013
</t>
        </r>
      </text>
    </comment>
    <comment ref="C22" authorId="6" shapeId="0" xr:uid="{252DE03E-F57C-47B1-9929-65EF76B23CA5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AutoPlus assume as operações da Liberté Jaragua do Sul a partir de 30/12/2022</t>
        </r>
      </text>
    </comment>
    <comment ref="C23" authorId="4" shapeId="0" xr:uid="{F611C74E-343D-4E3C-B48B-613BEDDB0A96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Automega Para AutoPlus Em:01/11/2022</t>
        </r>
      </text>
    </comment>
    <comment ref="C25" authorId="7" shapeId="0" xr:uid="{3A37F41A-AC77-412B-89DB-6958C339D532}">
      <text>
        <r>
          <rPr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R25" authorId="7" shapeId="0" xr:uid="{071E68C2-FB0C-4592-B011-6442B5AF9F18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U25" authorId="7" shapeId="0" xr:uid="{03CB6C8D-8C3A-4C20-9357-67D1F7105D79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X25" authorId="7" shapeId="0" xr:uid="{CCF73A7E-E367-4B33-A019-4AD51C73CA4C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26" authorId="7" shapeId="0" xr:uid="{48400C2F-2C75-48D6-9BA8-9202078CF3AF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R26" authorId="7" shapeId="0" xr:uid="{C5D7E89A-1054-487B-BDA6-87A6FE4D28B7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U26" authorId="7" shapeId="0" xr:uid="{00F1AA0B-6C17-417F-8672-B3A91CCCC9E9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X26" authorId="7" shapeId="0" xr:uid="{3BCAD66A-8ABA-47CA-8C7D-2B2A77EEFE05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27" authorId="7" shapeId="0" xr:uid="{C791CF85-585C-4FCC-9E07-002662AAE516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R27" authorId="7" shapeId="0" xr:uid="{E5138D98-ECF0-4F6D-9410-F252CDC06E20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U27" authorId="7" shapeId="0" xr:uid="{53177328-F337-4257-8D38-C87C5D7892DA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X27" authorId="7" shapeId="0" xr:uid="{DD5B7267-BEB1-4C75-BBC6-60851D994155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29" authorId="6" shapeId="0" xr:uid="{689AAA48-97DF-4659-A1C8-F1E59317C78A}">
      <text>
        <r>
          <rPr>
            <b/>
            <sz val="9"/>
            <color indexed="81"/>
            <rFont val="Segoe UI"/>
            <family val="2"/>
          </rPr>
          <t xml:space="preserve">ALVES Rennan:
Mudança de endereço da BIR Matriz. 
</t>
        </r>
      </text>
    </comment>
    <comment ref="C30" authorId="1" shapeId="0" xr:uid="{C1E3BD3B-AA60-449F-A684-568006D2135C}">
      <text>
        <r>
          <rPr>
            <sz val="10"/>
            <color indexed="81"/>
            <rFont val="Tahoma"/>
            <family val="2"/>
          </rPr>
          <t>Grupo Smaff comprou Pontos Renascença Agosto/2012
Grupo Buritis comprou operação em Mar/2015.
Grupo Guará assumiu operações da ZI em Julho/18.</t>
        </r>
      </text>
    </comment>
    <comment ref="C33" authorId="5" shapeId="0" xr:uid="{7A7970CB-DEF1-46FC-8BB4-806CEF18D862}">
      <text>
        <r>
          <rPr>
            <sz val="9"/>
            <color indexed="81"/>
            <rFont val="Tahoma"/>
            <family val="2"/>
          </rPr>
          <t xml:space="preserve">Data da Rdb no ponto/cidade
Antiga BIR 251 Sulbra Passo Fundo cancelada
Nova BIR 756 para o grupo Itaimbé - Jun/2013
</t>
        </r>
      </text>
    </comment>
    <comment ref="C36" authorId="6" shapeId="0" xr:uid="{47BD3A79-CFA2-4B77-A3E5-545AE6546FC9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De Marco assume as operações da Liberté Blumenau a partir de 30/12/2022</t>
        </r>
      </text>
    </comment>
    <comment ref="C38" authorId="8" shapeId="0" xr:uid="{B4A9D311-8375-46C2-9B90-81309DE8EA22}">
      <text>
        <r>
          <rPr>
            <sz val="10"/>
            <color indexed="81"/>
            <rFont val="Calibri"/>
            <family val="2"/>
          </rPr>
          <t>O ponto de Chapecó, anteriormente da Rüdiger, foi adquirido pelo Grupo De Marco.
Data da transição: 01/08/2016
Mudança de Endereço em 04/06/2018</t>
        </r>
      </text>
    </comment>
    <comment ref="C46" authorId="7" shapeId="0" xr:uid="{F1A7D0B9-70F6-473E-9DFC-74268F151226}">
      <text>
        <r>
          <rPr>
            <sz val="9"/>
            <color indexed="81"/>
            <rFont val="Segoe UI"/>
            <family val="2"/>
          </rPr>
          <t xml:space="preserve">Troca de Grupo Buritis (antiga BIR 380) --&gt; Saga em 11/2017
</t>
        </r>
      </text>
    </comment>
    <comment ref="C48" authorId="7" shapeId="0" xr:uid="{531941F4-DFA0-4A4E-870D-08178BFCF365}">
      <text>
        <r>
          <rPr>
            <sz val="9"/>
            <color indexed="81"/>
            <rFont val="Segoe UI"/>
            <family val="2"/>
          </rPr>
          <t>Gala assumiu a ZI em nov/17 em um novo ponto.
Antiga Weicolo Canoas (BIR 454) foi encerrada em jun/17.</t>
        </r>
      </text>
    </comment>
    <comment ref="C50" authorId="5" shapeId="0" xr:uid="{32A19832-96E8-421D-AD34-D763880FE3F7}">
      <text>
        <r>
          <rPr>
            <sz val="9"/>
            <color indexed="81"/>
            <rFont val="Tahoma"/>
            <family val="2"/>
          </rPr>
          <t>Data da Rdb no ponto/cidade
Antiga BIR 582 Sulbra Erechim cancelada
Nova BIR 750 para o grupo Weicolo - Jun/2013
Antiga BIR 750 para o grupo IESA - Jun/2015</t>
        </r>
      </text>
    </comment>
    <comment ref="C52" authorId="9" shapeId="0" xr:uid="{C238AE22-DA14-4244-8997-7064B03DFCF5}">
      <text>
        <r>
          <rPr>
            <b/>
            <sz val="8"/>
            <color indexed="81"/>
            <rFont val="Segoe UI"/>
            <family val="2"/>
          </rPr>
          <t xml:space="preserve">Data de Inauguração da Antiga Weicolo Montenegro.
Cannes Montenegro inaugurada em 04/12/2018
</t>
        </r>
        <r>
          <rPr>
            <sz val="8"/>
            <color indexed="81"/>
            <rFont val="Segoe UI"/>
            <family val="2"/>
          </rPr>
          <t>Mudança de grupo em 02/2021
Antiga Cannes Montenegro (07601063) para Iesa Montenegro (07601199)</t>
        </r>
      </text>
    </comment>
    <comment ref="C54" authorId="5" shapeId="0" xr:uid="{42C17CBA-86DC-459C-989E-32BEB3427B95}">
      <text>
        <r>
          <rPr>
            <sz val="9"/>
            <color indexed="81"/>
            <rFont val="Tahoma"/>
            <family val="2"/>
          </rPr>
          <t>Data da Rdb no ponto/cidade
Antiga BIR 409 Sulbra Passo Fundo cancelada
Nova BIR 749 para o grupo Weicolo - Jun/2013
Antiga BIR 749 para o grupo IESA - Jun/2015</t>
        </r>
      </text>
    </comment>
    <comment ref="C55" authorId="9" shapeId="0" xr:uid="{AE904F3C-0FFF-46A1-A7C1-A8D19957498E}">
      <text>
        <r>
          <rPr>
            <sz val="9"/>
            <color indexed="81"/>
            <rFont val="Segoe UI"/>
            <family val="2"/>
          </rPr>
          <t>Data Weicolo antiga: 09/11/2007
Mudança de grupo em 02/2021
Antiga Cannes Santa Cruz (07600978) para Iesa Santa Cruz (07601197)</t>
        </r>
      </text>
    </comment>
    <comment ref="C65" authorId="9" shapeId="0" xr:uid="{BBC5E4DD-195D-4AD6-8755-A5670D026EA2}">
      <text>
        <r>
          <rPr>
            <sz val="9"/>
            <color indexed="81"/>
            <rFont val="Segoe UI"/>
            <family val="2"/>
          </rPr>
          <t xml:space="preserve">
Mudança de grupo em 02/2021
Antiga Cannes Lajeado (07600965) para DR Sul Lajeado (07601198)</t>
        </r>
      </text>
    </comment>
    <comment ref="C68" authorId="10" shapeId="0" xr:uid="{BBE16FDA-9721-4992-BCF1-B439865C5666}">
      <text>
        <r>
          <rPr>
            <b/>
            <sz val="9"/>
            <color indexed="81"/>
            <rFont val="Tahoma"/>
            <family val="2"/>
          </rPr>
          <t>Grupo DR SUL assumiu o ponto em Out/14. Antigo ponto da Sulbra (BIR 07600719)</t>
        </r>
      </text>
    </comment>
    <comment ref="C73" authorId="1" shapeId="0" xr:uid="{D770CF74-C5FF-4356-B8FF-AA634DA0FC91}">
      <text>
        <r>
          <rPr>
            <sz val="8"/>
            <color indexed="81"/>
            <rFont val="Tahoma"/>
            <family val="2"/>
          </rPr>
          <t xml:space="preserve">Mudança de Ponto:
16/1/2012
</t>
        </r>
      </text>
    </comment>
    <comment ref="AB79" authorId="7" shapeId="0" xr:uid="{16556CB6-7EA9-49A9-BDF4-D03110BFC6FF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AB80" authorId="7" shapeId="0" xr:uid="{F44D068D-84B8-4FA7-A7EA-A731FBCCECE9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84" authorId="1" shapeId="0" xr:uid="{2EE3481D-1C4F-4DF6-BF53-90D58C3CC029}">
      <text>
        <r>
          <rPr>
            <sz val="8"/>
            <color indexed="81"/>
            <rFont val="Tahoma"/>
            <family val="2"/>
          </rPr>
          <t xml:space="preserve">Mudança de Ponto:
8/11/2011
</t>
        </r>
      </text>
    </comment>
    <comment ref="C88" authorId="7" shapeId="0" xr:uid="{930DE2FE-3814-4C42-9489-9FFF016B3DF5}">
      <text>
        <r>
          <rPr>
            <sz val="9"/>
            <color indexed="81"/>
            <rFont val="Segoe UI"/>
            <family val="2"/>
          </rPr>
          <t xml:space="preserve">mud. Ponto da matriz Indianópolis p/ Pinheiros em 08/20.
</t>
        </r>
      </text>
    </comment>
    <comment ref="C91" authorId="7" shapeId="0" xr:uid="{AC0D2882-62DC-4DC0-8CC4-7D6149B51A40}">
      <text>
        <r>
          <rPr>
            <sz val="9"/>
            <color indexed="81"/>
            <rFont val="Segoe UI"/>
            <family val="2"/>
          </rPr>
          <t>Troca de grupo
Max Motors --&gt; Toriba jan/17
Fechamento temporário em SET/17 com reabertura em novo endereço em MAI/19</t>
        </r>
      </text>
    </comment>
    <comment ref="C92" authorId="7" shapeId="0" xr:uid="{46B681B1-B726-4995-BA7A-D7565B8DFD60}">
      <text>
        <r>
          <rPr>
            <b/>
            <sz val="9"/>
            <color indexed="81"/>
            <rFont val="Segoe UI"/>
            <family val="2"/>
          </rPr>
          <t>KERNBICHLER Vitor:</t>
        </r>
        <r>
          <rPr>
            <sz val="9"/>
            <color indexed="81"/>
            <rFont val="Segoe UI"/>
            <family val="2"/>
          </rPr>
          <t xml:space="preserve">
A concessionária foi oficializada dia 26/09/2017
Mudança de Setor 17/10/18
R2S2--&gt;R2S1</t>
        </r>
      </text>
    </comment>
    <comment ref="C95" authorId="5" shapeId="0" xr:uid="{22EBB35E-16FD-4B14-A83B-404E3878DE86}">
      <text>
        <r>
          <rPr>
            <sz val="9"/>
            <color indexed="81"/>
            <rFont val="Tahoma"/>
            <family val="2"/>
          </rPr>
          <t>Data da Rdb no ponto/cidade
Mudança de ponto ocorreu em 24/12/2013</t>
        </r>
      </text>
    </comment>
    <comment ref="C96" authorId="6" shapeId="0" xr:uid="{3EAFDFDC-7C49-4E78-9E21-453D0F486EAC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AutoR vendida para Andreta Julho/2023
</t>
        </r>
      </text>
    </comment>
    <comment ref="C97" authorId="6" shapeId="0" xr:uid="{4E67CD11-EFAF-437B-A017-D1A65D0E9BF9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AutoR vendida para Andreta Julho/2023
</t>
        </r>
      </text>
    </comment>
    <comment ref="C98" authorId="0" shapeId="0" xr:uid="{D4B9F4DC-CEEA-4B0C-9030-6A1BB56C2844}">
      <text>
        <r>
          <rPr>
            <b/>
            <sz val="9"/>
            <color indexed="81"/>
            <rFont val="Segoe UI"/>
            <family val="2"/>
          </rPr>
          <t>Automec assumiu a operação da Concorde em 10/04/2017
Andreta assumiu a operação da Automec em 06/01/2020 em novo ponto</t>
        </r>
      </text>
    </comment>
    <comment ref="C106" authorId="8" shapeId="0" xr:uid="{F78361B6-3D6F-41C2-9A57-69201DE67D2C}">
      <text>
        <r>
          <rPr>
            <sz val="10"/>
            <color indexed="81"/>
            <rFont val="Tahoma"/>
            <family val="2"/>
          </rPr>
          <t>Balilla assume operação da Maggi (antiga BIR 509) dia 02/05/2016.</t>
        </r>
      </text>
    </comment>
    <comment ref="C107" authorId="3" shapeId="0" xr:uid="{2CB82D55-CD44-4459-931B-19FE7DBFCE4B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R2S2--&gt;R2S1</t>
        </r>
      </text>
    </comment>
    <comment ref="C108" authorId="3" shapeId="0" xr:uid="{90BA6A59-BF66-48B9-A7E4-12D558E85246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R2S2--&gt;R2S1</t>
        </r>
      </text>
    </comment>
    <comment ref="C118" authorId="1" shapeId="0" xr:uid="{9B9CB9BC-67FF-45DD-9E1F-4F54BD30D63A}">
      <text>
        <r>
          <rPr>
            <sz val="10"/>
            <color indexed="81"/>
            <rFont val="Tahoma"/>
            <family val="2"/>
          </rPr>
          <t>Sinal assumiu operação (antiga Grand Brasil) em: 01/05/2016
Nobre assumiu operação (antiga Sinal - 939) em junho/20</t>
        </r>
      </text>
    </comment>
    <comment ref="C120" authorId="8" shapeId="0" xr:uid="{6AE15398-AA17-4AD6-9589-F2A4F2293204}">
      <text>
        <r>
          <rPr>
            <sz val="10"/>
            <color indexed="81"/>
            <rFont val="Tahoma"/>
            <family val="2"/>
          </rPr>
          <t>Proeste assumiu operação (antiga Viviani) em: 18/04/2016
Proeste Bauru será a nova Matriz do grupo assumindo a BIR 7600895.
BIR 7600919 será passada para futura filial de Avaré</t>
        </r>
      </text>
    </comment>
    <comment ref="C121" authorId="8" shapeId="0" xr:uid="{9C25E388-9FDB-45E3-851E-3C519C61F110}">
      <text>
        <r>
          <rPr>
            <sz val="10"/>
            <color indexed="81"/>
            <rFont val="Tahoma"/>
            <family val="2"/>
          </rPr>
          <t>Proeste assumiu operação (antiga Viviani) em: 18/04/2016</t>
        </r>
      </text>
    </comment>
    <comment ref="C122" authorId="8" shapeId="0" xr:uid="{8F4A1BCA-2EF3-481F-A407-B540542EF3A7}">
      <text>
        <r>
          <rPr>
            <sz val="10"/>
            <color indexed="81"/>
            <rFont val="Tahoma"/>
            <family val="2"/>
          </rPr>
          <t>Proeste assumiu operação (antiga Viviani) em: 18/04/2016</t>
        </r>
      </text>
    </comment>
    <comment ref="C123" authorId="8" shapeId="0" xr:uid="{52178F64-0201-4182-A6AA-28EFD37DB708}">
      <text>
        <r>
          <rPr>
            <sz val="10"/>
            <color indexed="81"/>
            <rFont val="Tahoma"/>
            <family val="2"/>
          </rPr>
          <t>Proeste assumiu operação (antiga Viviani) em: 18/04/2016</t>
        </r>
      </text>
    </comment>
    <comment ref="C124" authorId="7" shapeId="0" xr:uid="{9F18F49C-1C33-4112-A285-7AF2504E701C}">
      <text>
        <r>
          <rPr>
            <b/>
            <sz val="9"/>
            <color indexed="81"/>
            <rFont val="Segoe UI"/>
            <family val="2"/>
          </rPr>
          <t>Euro assumiu a ZI em nov/17 em novo ponto. 
Antiga Dante BIR 309</t>
        </r>
      </text>
    </comment>
    <comment ref="C125" authorId="7" shapeId="0" xr:uid="{9F1834D9-147D-4133-B8E5-4DF095E7B1DF}">
      <text>
        <r>
          <rPr>
            <sz val="9"/>
            <color indexed="81"/>
            <rFont val="Segoe UI"/>
            <family val="2"/>
          </rPr>
          <t>Euro iniciou operações em 01/08/2017
Euro comprou e encerrou o ponto da Santa Emília (BIR 784) em junho/18.</t>
        </r>
      </text>
    </comment>
    <comment ref="C129" authorId="8" shapeId="0" xr:uid="{9A682640-27DB-4E83-B297-8106500E642A}">
      <text>
        <r>
          <rPr>
            <sz val="10"/>
            <color indexed="81"/>
            <rFont val="Tahoma"/>
            <family val="2"/>
          </rPr>
          <t>Proeste assumiu operação (antiga Ville) em: 04/01/2016
Mudança de grupo em 08/2019
Antiga Proeste Pres. Prudente (07600895) para Muchiutt Pres. Prudente (07601097)</t>
        </r>
      </text>
    </comment>
    <comment ref="C130" authorId="3" shapeId="0" xr:uid="{D44BB7AA-4EDD-4A4D-B4AB-91BC1F021B0C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31" authorId="3" shapeId="0" xr:uid="{36768851-AB47-453A-A3C4-F315D9EFE6BA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32" authorId="3" shapeId="0" xr:uid="{8A37C28C-406A-40CF-85A8-2EC7006A8294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33" authorId="3" shapeId="0" xr:uid="{9FD361EC-467D-4C57-B238-4CDC652386B3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34" authorId="10" shapeId="0" xr:uid="{BC207B4F-0E47-44A4-A492-81885E0D8BC0}">
      <text>
        <r>
          <rPr>
            <sz val="9"/>
            <color indexed="81"/>
            <rFont val="Segoe UI"/>
            <family val="2"/>
          </rPr>
          <t>Mudança para o Grupo R.Point em 01/02/2016. Antiga Bir 7600504
Abertura RM: 10/10/2017</t>
        </r>
      </text>
    </comment>
    <comment ref="C135" authorId="10" shapeId="0" xr:uid="{CBF510D1-65CF-4FA2-A312-0B2795354B70}">
      <text>
        <r>
          <rPr>
            <sz val="9"/>
            <color indexed="81"/>
            <rFont val="Segoe UI"/>
            <family val="2"/>
          </rPr>
          <t>Mudança para o Grupo R.Point em 01/02/2016. Antiga Bir 7600505</t>
        </r>
      </text>
    </comment>
    <comment ref="C138" authorId="8" shapeId="0" xr:uid="{079486BD-C6AF-4A93-9AC9-501759277BCF}">
      <text>
        <r>
          <rPr>
            <sz val="10"/>
            <color indexed="81"/>
            <rFont val="Tahoma"/>
            <family val="2"/>
          </rPr>
          <t>Sinal assumiu operação (antiga Grand Brasil) em: 01/05/2016</t>
        </r>
      </text>
    </comment>
    <comment ref="C139" authorId="1" shapeId="0" xr:uid="{D7C3D40F-66DF-4365-B8F8-59F58F483EFE}">
      <text>
        <r>
          <rPr>
            <sz val="10"/>
            <color indexed="81"/>
            <rFont val="Tahoma"/>
            <family val="2"/>
          </rPr>
          <t xml:space="preserve">Mudança de Ponto:
26.08.2011
================
Sinal assumiu operação (antiga Grand Brasil) em: 01/05/2016
================
Mudança de ponto Ibirapuera --&gt; Bandeirantes em: 06/11/2023
</t>
        </r>
      </text>
    </comment>
    <comment ref="C141" authorId="4" shapeId="0" xr:uid="{66E6A068-5AF1-4E6E-B4C7-AF37574BF98D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Itavema Indianopolis para Sinal Frence Indianopolis Em:27/11/2020
</t>
        </r>
      </text>
    </comment>
    <comment ref="C142" authorId="10" shapeId="0" xr:uid="{D48C18AC-7589-4321-B75E-C08D63E4E8C1}">
      <text>
        <r>
          <rPr>
            <b/>
            <sz val="9"/>
            <color indexed="81"/>
            <rFont val="Tahoma"/>
            <family val="2"/>
          </rPr>
          <t>Grupo Sinal assumiu operação do ponto em Dez/14. Antigo ponto: AR Motors (Bir 07600443)
Mudança de ponto em 8/2015</t>
        </r>
      </text>
    </comment>
    <comment ref="C143" authorId="10" shapeId="0" xr:uid="{DB888BBB-69A5-475E-8E71-43C93D93215B}">
      <text>
        <r>
          <rPr>
            <b/>
            <sz val="9"/>
            <color indexed="81"/>
            <rFont val="Tahoma"/>
            <family val="2"/>
          </rPr>
          <t>Mudança de ponto em 12.09.11
Grupo Sinal assumiu operação do ponto em Dez/14. Antigo ponto Matriz: AR Motors (Bir 07600434)</t>
        </r>
      </text>
    </comment>
    <comment ref="C145" authorId="8" shapeId="0" xr:uid="{1CF5D7B9-463A-4871-9A4C-174CE26803CE}">
      <text>
        <r>
          <rPr>
            <sz val="10"/>
            <color indexed="81"/>
            <rFont val="Tahoma"/>
            <family val="2"/>
          </rPr>
          <t>Sinal assumiu operação (antiga Grand Brasil) em: 01/05/2016</t>
        </r>
      </text>
    </comment>
    <comment ref="C146" authorId="10" shapeId="0" xr:uid="{04201C23-2370-464C-BA9A-0E79EF555FC4}">
      <text>
        <r>
          <rPr>
            <b/>
            <sz val="9"/>
            <color indexed="81"/>
            <rFont val="Tahoma"/>
            <family val="2"/>
          </rPr>
          <t>Grupo Nasa assumiu a operação da Renauto (7600260) em Anápolis em Junho/2015.</t>
        </r>
      </text>
    </comment>
    <comment ref="C147" authorId="10" shapeId="0" xr:uid="{98F6A9AB-D3F6-43CC-A85C-40BA1A664C6E}">
      <text>
        <r>
          <rPr>
            <b/>
            <sz val="9"/>
            <color indexed="81"/>
            <rFont val="Tahoma"/>
            <family val="2"/>
          </rPr>
          <t>Grupo Navesa assumiu a operação da Renauto em Goiânia em Março/15</t>
        </r>
      </text>
    </comment>
    <comment ref="C148" authorId="10" shapeId="0" xr:uid="{36419106-605E-4A3E-9D91-9EAD1CC85436}">
      <text>
        <r>
          <rPr>
            <b/>
            <sz val="9"/>
            <color indexed="81"/>
            <rFont val="Tahoma"/>
            <family val="2"/>
          </rPr>
          <t>Grupo Ravel assumiu a operação da Renauto em Rio Verde em Março/15. 
Separação do Show Room em Março 2016</t>
        </r>
      </text>
    </comment>
    <comment ref="C151" authorId="1" shapeId="0" xr:uid="{9E3B1362-F9E2-4AE4-8928-FE6900AFF9AF}">
      <text>
        <r>
          <rPr>
            <sz val="10"/>
            <color indexed="81"/>
            <rFont val="Tahoma"/>
            <family val="2"/>
          </rPr>
          <t>Grupo Azzurra comprou CNPJ em Novembro / 2003
Em Dez/2013 trocou o nome para Leauto</t>
        </r>
      </text>
    </comment>
    <comment ref="C152" authorId="8" shapeId="0" xr:uid="{41D50977-B0A2-47CD-84B1-5C79AD746C54}">
      <text>
        <r>
          <rPr>
            <sz val="9"/>
            <color indexed="81"/>
            <rFont val="Segoe UI"/>
            <family val="2"/>
          </rPr>
          <t>Inauguração RM:
20/05/2016</t>
        </r>
      </text>
    </comment>
    <comment ref="F153" authorId="11" shapeId="0" xr:uid="{C46B59B8-61A2-4045-AD0E-178DB960C10C}">
      <text>
        <r>
          <rPr>
            <sz val="10"/>
            <color indexed="81"/>
            <rFont val="Segoe UI"/>
            <family val="2"/>
          </rPr>
          <t>Retomou operações após obras</t>
        </r>
      </text>
    </comment>
    <comment ref="C154" authorId="7" shapeId="0" xr:uid="{8A9FF202-BE39-4A91-961C-DEE81200CE5B}">
      <text>
        <r>
          <rPr>
            <b/>
            <sz val="9"/>
            <color indexed="81"/>
            <rFont val="Segoe UI"/>
            <family val="2"/>
          </rPr>
          <t>Antigo ponto Provence Volta Redonda (Data RdB 08/12/2011 - BIR 625)
Troca p/ o grupo Rio Sena em 13/03/18</t>
        </r>
      </text>
    </comment>
    <comment ref="C157" authorId="12" shapeId="0" xr:uid="{F885BB92-8E3C-4E99-AC53-59D400618A28}">
      <text>
        <r>
          <rPr>
            <sz val="9"/>
            <color indexed="81"/>
            <rFont val="Tahoma"/>
            <family val="2"/>
          </rPr>
          <t>Até JAN/15 era somente PV. Fechamos a BIR 729 (Araruama Centro) para acoplar Showroom neste ponto.</t>
        </r>
      </text>
    </comment>
    <comment ref="C162" authorId="7" shapeId="0" xr:uid="{EB731346-9A89-47A6-9D37-EE0157056C88}">
      <text>
        <r>
          <rPr>
            <b/>
            <sz val="9"/>
            <color indexed="81"/>
            <rFont val="Segoe UI"/>
            <family val="2"/>
          </rPr>
          <t>Troca de Grupos (Eiffel --&gt; Azzurra) em 11/09/2020</t>
        </r>
      </text>
    </comment>
    <comment ref="C168" authorId="9" shapeId="0" xr:uid="{2DB3FCE5-F6D4-4C8D-A19F-7FB833758EC3}">
      <text>
        <r>
          <rPr>
            <b/>
            <sz val="9"/>
            <color indexed="81"/>
            <rFont val="Segoe UI"/>
            <family val="2"/>
          </rPr>
          <t>Troca de grupo:</t>
        </r>
        <r>
          <rPr>
            <sz val="9"/>
            <color indexed="81"/>
            <rFont val="Segoe UI"/>
            <family val="2"/>
          </rPr>
          <t xml:space="preserve"> Versalhes para Leva em 16/05/2022.
</t>
        </r>
      </text>
    </comment>
    <comment ref="C170" authorId="10" shapeId="0" xr:uid="{6AC09875-DC24-4182-8841-53B59C3FA05A}">
      <text>
        <r>
          <rPr>
            <sz val="9"/>
            <color indexed="81"/>
            <rFont val="Segoe UI"/>
            <family val="2"/>
          </rPr>
          <t>Trocar da Itacar para o Grupo Auto France em DEZ/15. Antinga BIR 714
Grupo Orvel assumiu pontos da Auto France em Jul/21</t>
        </r>
      </text>
    </comment>
    <comment ref="C171" authorId="10" shapeId="0" xr:uid="{F376394C-03F1-49AB-9C81-60FF52C426C6}">
      <text>
        <r>
          <rPr>
            <b/>
            <sz val="9"/>
            <color indexed="81"/>
            <rFont val="Tahoma"/>
            <family val="2"/>
          </rPr>
          <t xml:space="preserve">Antiga BIR 800 pertencente ao Grupo Itacar RN Linhares que foi vendido ao grupo Atlântica Automotor
Alteração de nome e razão social de Atlântica para Orvel em Jun/21
</t>
        </r>
      </text>
    </comment>
    <comment ref="C172" authorId="1" shapeId="0" xr:uid="{4D500F4E-C673-45C8-B5CE-490C494D1C88}">
      <text>
        <r>
          <rPr>
            <sz val="11"/>
            <color indexed="81"/>
            <rFont val="Tahoma"/>
            <family val="2"/>
          </rPr>
          <t>Grupo Indiana comprou CNPJ em Agosto / 2010
====================
Grupo Orletti sob o nome de Atlantica Automotor assumiu o ponto em Jan/15
====================
Alteração de nome e razão social de Atlântica para Orvel em Jun/21</t>
        </r>
      </text>
    </comment>
    <comment ref="C173" authorId="10" shapeId="0" xr:uid="{A911969B-53DD-45BF-A795-AADB2932749A}">
      <text>
        <r>
          <rPr>
            <sz val="9"/>
            <color indexed="81"/>
            <rFont val="Tahoma"/>
            <family val="2"/>
          </rPr>
          <t>Grupo AutoFrance sobre outra Razão Social (AutoFrance Veiculos) assumiu o ponto em Jan/15
Grupo Orvel assumiu pontos da Auto France em Jul/21</t>
        </r>
      </text>
    </comment>
    <comment ref="C174" authorId="10" shapeId="0" xr:uid="{34051C09-E9B4-4955-9EF1-6DCA0D0AA1FE}">
      <text>
        <r>
          <rPr>
            <sz val="9"/>
            <color indexed="81"/>
            <rFont val="Tahoma"/>
            <family val="2"/>
          </rPr>
          <t>Grupo Orletti sob o nome de Atlantica Automotor assumiu o ponto em Jan/15
Alteração de nome e razão social de Atlântica para Orvel em Jun/21</t>
        </r>
      </text>
    </comment>
    <comment ref="C176" authorId="7" shapeId="0" xr:uid="{391E06E0-D3F2-4A75-AFBF-3D4CB5610226}">
      <text>
        <r>
          <rPr>
            <sz val="9"/>
            <color indexed="81"/>
            <rFont val="Segoe UI"/>
            <family val="2"/>
          </rPr>
          <t xml:space="preserve">Antiga Terra Norte (BIR 615) - encerramento abr/17
Abertura Carmo em outro ponto (BIR 1004) 16/02/2018
</t>
        </r>
      </text>
    </comment>
    <comment ref="C178" authorId="6" shapeId="0" xr:uid="{28829443-81AB-40A8-A1B1-D5E8C8D12644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Dijon adquiriu o ponto de Divinópolis em 01/12/2021 da AutoRede.</t>
        </r>
      </text>
    </comment>
    <comment ref="C181" authorId="4" shapeId="0" xr:uid="{57F7ED92-06CF-4817-97C7-B0E0CD73AD42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Valence Barão para Minas Frence Barão Em:25/04/2021</t>
        </r>
      </text>
    </comment>
    <comment ref="C186" authorId="7" shapeId="0" xr:uid="{2636B373-C91B-4842-8D5E-87A14AACCEC4}">
      <text>
        <r>
          <rPr>
            <sz val="9"/>
            <color indexed="81"/>
            <rFont val="Segoe UI"/>
            <family val="2"/>
          </rPr>
          <t xml:space="preserve">Mudança de BIR em 11/05/2018
BIR 738 --&gt; BIR 1038 devido a separaçaõ das operações do grupo BR France
</t>
        </r>
      </text>
    </comment>
    <comment ref="C188" authorId="7" shapeId="0" xr:uid="{DB5765A8-F927-45B6-930B-DF74E5B06372}">
      <text>
        <r>
          <rPr>
            <sz val="9"/>
            <color indexed="81"/>
            <rFont val="Segoe UI"/>
            <family val="2"/>
          </rPr>
          <t>Mudança de BIR em 11/05/2018
BIR 629 --&gt; BIR 1037 devido a separaçaõ das operações do grupo BR France</t>
        </r>
      </text>
    </comment>
    <comment ref="C190" authorId="8" shapeId="0" xr:uid="{E7CB4780-7A9E-4F7E-9A20-07D761CF7AA0}">
      <text>
        <r>
          <rPr>
            <sz val="10"/>
            <color indexed="81"/>
            <rFont val="Tahoma"/>
            <family val="2"/>
          </rPr>
          <t>Mudança de Regional em 05/16:
antiga R5S1 -&gt; nova R4S3
Mudança de grupo em 07/2021
Antiga Via Automóveis Uberaba (07601130) para Urca France Uberaba (07601176)</t>
        </r>
      </text>
    </comment>
    <comment ref="C191" authorId="11" shapeId="0" xr:uid="{07B82899-01A3-4A3D-88AE-6834F20D3698}">
      <text>
        <r>
          <rPr>
            <sz val="9"/>
            <color indexed="81"/>
            <rFont val="Segoe UI"/>
            <family val="2"/>
          </rPr>
          <t>Data da inauguração da antiga Cical.
Data de inauguração da Prima Via: 27/12/2018
Data de inauguração da Urca: 31/05/2021
Mudança de grupo em 07/2021
Antiga Via Automóveis Uberlândia (07601068) para Urca France Uberlândia (07601175)</t>
        </r>
      </text>
    </comment>
    <comment ref="C195" authorId="11" shapeId="0" xr:uid="{DC0A5134-F633-4821-A3D2-0F94BE7B193F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Grupo Besouro inagurou o ponto em Fevereiro de 2019. Grupo Serra encerrou as operções em  Junho de 2018.</t>
        </r>
      </text>
    </comment>
    <comment ref="C196" authorId="1" shapeId="0" xr:uid="{16FEA85C-23BD-431F-9560-F2387FFCE587}">
      <text>
        <r>
          <rPr>
            <sz val="10"/>
            <color indexed="81"/>
            <rFont val="Tahoma"/>
            <family val="2"/>
          </rPr>
          <t>Grupo Original comprou CNPJ em Setembro / 2008
Troca de Grupo (para Eiffel Serra) em Junho/2012
Troca de Grupo - Serra p/ Besouro em junho/2018. Reabertura do ponto em ago/18.</t>
        </r>
      </text>
    </comment>
    <comment ref="C197" authorId="4" shapeId="0" xr:uid="{5B6A5D44-DAB8-433B-95CE-DE3A794D55F1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Valence Contagem para Roma Contagem Em:25/04/2021</t>
        </r>
      </text>
    </comment>
    <comment ref="C198" authorId="4" shapeId="0" xr:uid="{95CDCE47-E94C-4876-9DC2-89EF09E3AEB0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Valence Norte para Roma Norte Em:25/04/2021</t>
        </r>
      </text>
    </comment>
    <comment ref="C199" authorId="8" shapeId="0" xr:uid="{F81A9091-407B-4B59-8D0A-BD9B95E3486A}">
      <text>
        <r>
          <rPr>
            <sz val="10"/>
            <color indexed="81"/>
            <rFont val="Tahoma"/>
            <family val="2"/>
          </rPr>
          <t>Mudança de Regional em 05/16:
antiga R5S1 -&gt; nova R4S3</t>
        </r>
      </text>
    </comment>
    <comment ref="C200" authorId="11" shapeId="0" xr:uid="{0DEB2EE2-B13B-4C82-B961-95C380DBA7EE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Mudança de setor em Janeiro de 2019
R5S3 -&gt; R5S1</t>
        </r>
      </text>
    </comment>
    <comment ref="C201" authorId="11" shapeId="0" xr:uid="{A40184C6-1B1E-4A5F-830B-9E29A1B837C7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Mudança de setor em Janeiro de 2019
R5S3 -&gt; R5S1</t>
        </r>
      </text>
    </comment>
    <comment ref="C205" authorId="1" shapeId="0" xr:uid="{D6F6C733-755D-4E70-8197-6E30D9093170}">
      <text>
        <r>
          <rPr>
            <sz val="10"/>
            <color indexed="81"/>
            <rFont val="Tahoma"/>
            <family val="2"/>
          </rPr>
          <t>Grupo Rodaleve comprou CNPJ em Outubro / 2007
Mudança e Ponto
9/1/2012</t>
        </r>
      </text>
    </comment>
    <comment ref="C208" authorId="3" shapeId="0" xr:uid="{D3A22541-B0F7-4ABC-89AC-0F9234EDD9D0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Troca de Grupo: Antiga Viva France Araguaína (BIR 7600880)</t>
        </r>
      </text>
    </comment>
    <comment ref="C209" authorId="7" shapeId="0" xr:uid="{6E4D8668-15E4-46F4-A2DB-FF55DEE3849D}">
      <text>
        <r>
          <rPr>
            <b/>
            <sz val="9"/>
            <color indexed="81"/>
            <rFont val="Segoe UI"/>
            <family val="2"/>
          </rPr>
          <t>KERNBICHLER Vitor:</t>
        </r>
        <r>
          <rPr>
            <sz val="9"/>
            <color indexed="81"/>
            <rFont val="Segoe UI"/>
            <family val="2"/>
          </rPr>
          <t xml:space="preserve">
Troca de Grupo (Alliance --&gt; Caetes antiga BIR 469) ago/17</t>
        </r>
      </text>
    </comment>
    <comment ref="C212" authorId="8" shapeId="0" xr:uid="{8B338AE5-EAD0-4E4A-8971-D0C6C014DCA5}">
      <text>
        <r>
          <rPr>
            <b/>
            <sz val="9"/>
            <color indexed="81"/>
            <rFont val="Segoe UI"/>
            <family val="2"/>
          </rPr>
          <t>IAMUNDO Gabriel:</t>
        </r>
        <r>
          <rPr>
            <sz val="9"/>
            <color indexed="81"/>
            <rFont val="Segoe UI"/>
            <family val="2"/>
          </rPr>
          <t xml:space="preserve">
BIR Matriz transferida para este ponto em julho/2016.
Inclusão PRO+ em 24/08/2018</t>
        </r>
      </text>
    </comment>
    <comment ref="C213" authorId="7" shapeId="0" xr:uid="{93BACD29-DC7D-43F1-B434-5EAD3DFB53AE}">
      <text>
        <r>
          <rPr>
            <b/>
            <sz val="9"/>
            <color indexed="81"/>
            <rFont val="Segoe UI"/>
            <family val="2"/>
          </rPr>
          <t>Troca de Grupos em 27/08/2018
Grupo Porto (369) --&gt; Grupo Saga Lemans (1061)</t>
        </r>
      </text>
    </comment>
    <comment ref="C215" authorId="6" shapeId="0" xr:uid="{4F713C62-560C-48C2-B84F-C281643A9BA4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Venda da operação J.Carneiro em 14.11.2024 para Eurovia</t>
        </r>
      </text>
    </comment>
    <comment ref="C216" authorId="6" shapeId="0" xr:uid="{FBE17BAC-09FA-4C32-B56E-0BDFC5BDE5A6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Venda da operação J.Carneiro em 14.11.2024 para Eurovia</t>
        </r>
      </text>
    </comment>
    <comment ref="C217" authorId="6" shapeId="0" xr:uid="{37076AEB-99DC-449D-9AC7-20C4F4820C74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Venda da operação J.Carneiro em 14.11.2024 para Eurovia</t>
        </r>
      </text>
    </comment>
    <comment ref="C222" authorId="11" shapeId="0" xr:uid="{82455F3E-5EE9-4593-BE22-DDF3ED5EBB3E}">
      <text>
        <r>
          <rPr>
            <sz val="9"/>
            <color indexed="81"/>
            <rFont val="Segoe UI"/>
            <family val="2"/>
          </rPr>
          <t xml:space="preserve">Data de inauguração da antiga Renacar.
Inauguração JPN em 09/2019
</t>
        </r>
      </text>
    </comment>
    <comment ref="C224" authorId="1" shapeId="0" xr:uid="{B4FEB16D-3D50-4B4A-A638-E966CA5FC667}">
      <text>
        <r>
          <rPr>
            <sz val="10"/>
            <color indexed="81"/>
            <rFont val="Tahoma"/>
            <family val="2"/>
          </rPr>
          <t>Sinal assumiu operação (antiga Grand Brasil) em: 01/05/2016
Grupo Nobre assumiu operação (antiga Sinal) em: 16/03/2020</t>
        </r>
      </text>
    </comment>
    <comment ref="C227" authorId="8" shapeId="0" xr:uid="{13257C6D-1872-4170-9ED8-374888745A75}">
      <text>
        <r>
          <rPr>
            <sz val="9"/>
            <color indexed="81"/>
            <rFont val="Segoe UI"/>
            <family val="2"/>
          </rPr>
          <t xml:space="preserve">Grupo Gamboa adquiriu Mossoró. Transição: 23/08/2016.
Mundança de ponto em 11/11/2019
</t>
        </r>
      </text>
    </comment>
    <comment ref="C236" authorId="7" shapeId="0" xr:uid="{7167814A-A874-467F-9D79-49A9CFD1DC23}">
      <text>
        <r>
          <rPr>
            <b/>
            <sz val="9"/>
            <color indexed="81"/>
            <rFont val="Segoe UI"/>
            <family val="2"/>
          </rPr>
          <t>Data Contrato de Concessão Jangada:
03/06/2002</t>
        </r>
      </text>
    </comment>
    <comment ref="C240" authorId="8" shapeId="0" xr:uid="{8F6E2299-C168-436F-B935-8915C9FB0B67}">
      <text>
        <r>
          <rPr>
            <sz val="10"/>
            <color indexed="81"/>
            <rFont val="Tahoma"/>
            <family val="2"/>
          </rPr>
          <t xml:space="preserve">Proeste assumiu operação (antiga Ville) em: 04/01/2016
Mudança de grupo em 08/2019
Antiga Proeste Pres. Prudente (07600895) para Muchiutt Pres. Prudente (07601097)
Dical juazeiro para Terra santana (13/11/2020)
</t>
        </r>
      </text>
    </comment>
    <comment ref="C241" authorId="1" shapeId="0" xr:uid="{338CBF48-AD8F-4680-B099-0D038C2049BC}">
      <text>
        <r>
          <rPr>
            <sz val="8"/>
            <color indexed="81"/>
            <rFont val="Tahoma"/>
            <family val="2"/>
          </rPr>
          <t>Mudança de Ponto:
07.4.2011</t>
        </r>
      </text>
    </comment>
    <comment ref="C242" authorId="7" shapeId="0" xr:uid="{74EE238F-1BCF-4948-A6A0-DA2BDDAF2D5D}">
      <text>
        <r>
          <rPr>
            <b/>
            <sz val="9"/>
            <color indexed="81"/>
            <rFont val="Segoe UI"/>
            <family val="2"/>
          </rPr>
          <t>Mudança de ponto e inclusão do RM em 14/05/18</t>
        </r>
      </text>
    </comment>
    <comment ref="C244" authorId="7" shapeId="0" xr:uid="{CF4DC4F1-0657-41F2-9A24-C98E3137028E}">
      <text>
        <r>
          <rPr>
            <b/>
            <sz val="9"/>
            <color indexed="81"/>
            <rFont val="Segoe UI"/>
            <family val="2"/>
          </rPr>
          <t>O ponto de Mossoró (07600559 - Matriz) foi adquirido pelo novo Grupo Gamboa (07600935).
Assim, a BIR 678 se tornou a nova Matriz do grupo (04/05/2018)</t>
        </r>
      </text>
    </comment>
    <comment ref="C250" authorId="8" shapeId="0" xr:uid="{BE9824C3-59AE-430A-A3E7-EAE484DBDFB2}">
      <text>
        <r>
          <rPr>
            <sz val="10"/>
            <color indexed="81"/>
            <rFont val="Tahoma"/>
            <family val="2"/>
          </rPr>
          <t>Mudança de Regional em 05/16:
antiga R5S1 -&gt; nova R4S3</t>
        </r>
      </text>
    </comment>
    <comment ref="C254" authorId="11" shapeId="0" xr:uid="{6C3177FD-53BD-4428-820C-D79E137BE4FF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Mudança de grupo em 01/2019
Antiga Porto Manaus (7600347) para Du Nort Manaus (7601077)
Du nort manaus (matriz) Para Du nort Manaus (filial) em: 25/11/2020)</t>
        </r>
      </text>
    </comment>
    <comment ref="C256" authorId="4" shapeId="0" xr:uid="{A0D6AEFE-B8A6-4F75-B5DC-812DEA9118F0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Du Nort Marabá(matriz) Para Du Nort Marabá (Filial) em: 25/11/2020
</t>
        </r>
      </text>
    </comment>
    <comment ref="C258" authorId="11" shapeId="0" xr:uid="{C89C8B68-888B-48F9-9E97-F3222533019D}">
      <text>
        <r>
          <rPr>
            <sz val="9"/>
            <color indexed="81"/>
            <rFont val="Segoe UI"/>
            <family val="2"/>
          </rPr>
          <t xml:space="preserve">Mudança de grupo em 09/2019.
Antiga Entreposto Imperatriz (07600161) para Du Nort Imperatriz (07601100)
Du nort  Imperatriz (matriz) para Du nort imperatriz (filial) Em:25/11/2020
</t>
        </r>
      </text>
    </comment>
    <comment ref="C259" authorId="11" shapeId="0" xr:uid="{CDB40F8C-7C77-47ED-A1AD-070F5503A457}">
      <text>
        <r>
          <rPr>
            <sz val="9"/>
            <color indexed="81"/>
            <rFont val="Segoe UI"/>
            <family val="2"/>
          </rPr>
          <t xml:space="preserve">Mudança de grupo em 09/2019.
Antiga Entreposto Calhau (07600144) para Du Nort São Luis (07601099)
Du nort São luis (matriz) para Du nort São luis (filial) Em: 25/11/2020
 </t>
        </r>
      </text>
    </comment>
    <comment ref="C260" authorId="11" shapeId="0" xr:uid="{A53B3A4A-3D5F-4EE7-8EBA-49371BB9DDB9}">
      <text>
        <r>
          <rPr>
            <sz val="9"/>
            <color indexed="81"/>
            <rFont val="Segoe UI"/>
            <family val="2"/>
          </rPr>
          <t xml:space="preserve">Mudança de grupo em 09/2019.
Antiga Entreposto São Luís RM (07600981) para Du Nort São Luís RM (a definir)
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C263" authorId="5" shapeId="0" xr:uid="{60A81FB6-B837-4B7C-A888-B61439012FB6}">
      <text>
        <r>
          <rPr>
            <sz val="10"/>
            <color indexed="81"/>
            <rFont val="Tahoma"/>
            <family val="2"/>
          </rPr>
          <t xml:space="preserve">Data da Rdb no ponto/cidade
Antiga BIR 421 Porto Boa Vista cancelada
Nova BIR 764 para o grupo Marlin - Out/2013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PARMIGIANI Daniela</author>
    <author>MARIM Allan</author>
    <author>KERNBICHLER Vitor</author>
    <author>FRIZO Roberta</author>
    <author>ALVES Rennan</author>
    <author>TORRES Fabiana</author>
    <author>IAMUNDO Gabriel</author>
    <author>lb92260</author>
    <author>tc={A04E8D97-C558-4701-8D9A-4FFCF889FAE9}</author>
    <author>SCARDELATTO Lucas</author>
    <author>OLIVEIRA Izabella</author>
    <author>RAHHAL Rafael</author>
    <author>PINTO Gisele</author>
  </authors>
  <commentList>
    <comment ref="W4" authorId="0" shapeId="0" xr:uid="{0FD90769-2E08-4CBF-BC9D-49D4F854F26E}">
      <text>
        <r>
          <rPr>
            <b/>
            <sz val="9"/>
            <color indexed="81"/>
            <rFont val="Segoe UI"/>
            <family val="2"/>
          </rPr>
          <t>A ser utilizado pelo DCQS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6" authorId="1" shapeId="0" xr:uid="{A78802F2-15A7-408E-A825-2A77BB7E9C75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Troca de Grupo: Antiga Viva France Araguaína (BIR 7600880)</t>
        </r>
      </text>
    </comment>
    <comment ref="C7" authorId="2" shapeId="0" xr:uid="{69FA464A-1E6F-4260-B6CE-E2C04B4BE2E8}">
      <text>
        <r>
          <rPr>
            <b/>
            <sz val="9"/>
            <color indexed="81"/>
            <rFont val="Segoe UI"/>
            <family val="2"/>
          </rPr>
          <t>KERNBICHLER Vitor:</t>
        </r>
        <r>
          <rPr>
            <sz val="9"/>
            <color indexed="81"/>
            <rFont val="Segoe UI"/>
            <family val="2"/>
          </rPr>
          <t xml:space="preserve">
Troca de Grupo (Alliance --&gt; Caetes antiga BIR 469) ago/17</t>
        </r>
      </text>
    </comment>
    <comment ref="C11" authorId="1" shapeId="0" xr:uid="{4CC327B8-F36E-4918-A0A0-F17FBA03DB99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2" authorId="1" shapeId="0" xr:uid="{5534820F-342A-40F1-AB01-A7481AA03E0A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3" authorId="1" shapeId="0" xr:uid="{18452868-B603-459F-A136-1DB75050F80D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4" authorId="1" shapeId="0" xr:uid="{A7DC899F-D4E6-4874-889A-17BDA4F44918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R2S1--&gt;R2S2</t>
        </r>
      </text>
    </comment>
    <comment ref="C15" authorId="3" shapeId="0" xr:uid="{955A7C6A-04B8-4A75-A9F0-78B767794075}">
      <text>
        <r>
          <rPr>
            <sz val="9"/>
            <color indexed="81"/>
            <rFont val="Tahoma"/>
            <family val="2"/>
          </rPr>
          <t>Até JAN/15 era somente PV. Fechamos a BIR 729 (Araruama Centro) para acoplar Showroom neste ponto.</t>
        </r>
      </text>
    </comment>
    <comment ref="C24" authorId="4" shapeId="0" xr:uid="{9F8FE9BC-A041-4C37-BAF5-76FF2CB108BC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AutoPlus assume as operações da Liberté Jaragua do Sul a partir de 30/12/2022</t>
        </r>
      </text>
    </comment>
    <comment ref="C25" authorId="5" shapeId="0" xr:uid="{0C10EC2C-710F-47B4-8289-0536CEEC749C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Automega Para AutoPlus Em:01/11/2022</t>
        </r>
      </text>
    </comment>
    <comment ref="C27" authorId="2" shapeId="0" xr:uid="{A0EBE29E-F1C7-446C-B699-748E6D25E5E9}">
      <text>
        <r>
          <rPr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R27" authorId="2" shapeId="0" xr:uid="{6700E879-E847-4953-917C-4CC2A6F74185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U27" authorId="2" shapeId="0" xr:uid="{76CAB996-BAA3-448D-A53D-908390B05CDA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X27" authorId="2" shapeId="0" xr:uid="{37A0E614-54A4-467F-AC78-A99E1C56973C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28" authorId="2" shapeId="0" xr:uid="{DD7E07B8-3F07-4B0B-BC9A-84C7124B8757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R28" authorId="2" shapeId="0" xr:uid="{C453E4F0-7578-4341-9EFB-EEE71BA6263F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U28" authorId="2" shapeId="0" xr:uid="{827D7D96-7DF2-43EF-BA66-D8D80E7C706E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X28" authorId="2" shapeId="0" xr:uid="{6AA0227B-AF49-463E-A5E1-37DDD3A9B965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29" authorId="2" shapeId="0" xr:uid="{8DC3A2EB-0034-4569-B785-6B33636D73CC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R29" authorId="2" shapeId="0" xr:uid="{64BEDB49-EE8D-4262-9109-A10C796B71A1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U29" authorId="2" shapeId="0" xr:uid="{BAD98BCA-B075-4842-96EF-FF163ADC2383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X29" authorId="2" shapeId="0" xr:uid="{28AA31A5-F894-4F46-9702-0191007D1790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32" authorId="2" shapeId="0" xr:uid="{394EEBE6-94B9-46D1-ADC2-112D25A5859A}">
      <text>
        <r>
          <rPr>
            <b/>
            <sz val="9"/>
            <color indexed="81"/>
            <rFont val="Segoe UI"/>
            <family val="2"/>
          </rPr>
          <t>Troca de Grupos (Eiffel --&gt; Azzurra) em 11/09/2020</t>
        </r>
      </text>
    </comment>
    <comment ref="C35" authorId="6" shapeId="0" xr:uid="{77F70E9E-57BE-4ADC-BFF9-E553014F73C3}">
      <text>
        <r>
          <rPr>
            <sz val="10"/>
            <color indexed="81"/>
            <rFont val="Tahoma"/>
            <family val="2"/>
          </rPr>
          <t>Balilla assume operação da Maggi (antiga BIR 509) dia 02/05/2016.</t>
        </r>
      </text>
    </comment>
    <comment ref="C39" authorId="7" shapeId="0" xr:uid="{71460FF5-5964-480D-AB67-448A1695831D}">
      <text>
        <r>
          <rPr>
            <sz val="10"/>
            <color indexed="81"/>
            <rFont val="Tahoma"/>
            <family val="2"/>
          </rPr>
          <t xml:space="preserve">Mudança de Ponto:
1/11/2011
Mudança de grupo em 19/12/2018
Antiga Granvel Guarapuava (7600448)
Mudança de grupo, Vip Car Guarapuava para Fórmula em 01/02/2023.
</t>
        </r>
      </text>
    </comment>
    <comment ref="C42" authorId="8" shapeId="0" xr:uid="{A04E8D97-C558-4701-8D9A-4FFCF889FAE9}">
      <text>
        <t>[Threaded comment]
Your version of Excel allows you to read this threaded comment; however, any edits to it will get removed if the file is opened in a newer version of Excel. Learn more: https://go.microsoft.com/fwlink/?linkid=870924
Comment:
    Mudança de grupo, Vip Car Paranaguá para Fórmula em 01/02/2023.</t>
      </text>
    </comment>
    <comment ref="C43" authorId="1" shapeId="0" xr:uid="{6D6E80C3-5730-45AC-8E9B-0DB34C4EC60C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grupo em 19/12/2018.
Antiga Granvel Ponta Grossa (7600447)
Mudança de grupo, Vip Car Ponta Grossa  para Fórmula em 01/02/2023.</t>
        </r>
      </text>
    </comment>
    <comment ref="C44" authorId="9" shapeId="0" xr:uid="{F11D5755-6676-4451-B3C2-D6469B012E3D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Grupo Besouro inagurou o ponto em Fevereiro de 2019. Grupo Serra encerrou as operções em  Junho de 2018.</t>
        </r>
      </text>
    </comment>
    <comment ref="C45" authorId="7" shapeId="0" xr:uid="{8DA148E3-0CB2-4C2F-B6DD-62601B9B46DC}">
      <text>
        <r>
          <rPr>
            <sz val="10"/>
            <color indexed="81"/>
            <rFont val="Tahoma"/>
            <family val="2"/>
          </rPr>
          <t>Grupo Original comprou CNPJ em Setembro / 2008
Troca de Grupo (para Eiffel Serra) em Junho/2012
Troca de Grupo - Serra p/ Besouro em junho/2018. Reabertura do ponto em ago/18.</t>
        </r>
      </text>
    </comment>
    <comment ref="C46" authorId="2" shapeId="0" xr:uid="{25022F53-6923-4FA7-96C1-C2C1BB8F68DA}">
      <text>
        <r>
          <rPr>
            <sz val="9"/>
            <color indexed="81"/>
            <rFont val="Segoe UI"/>
            <family val="2"/>
          </rPr>
          <t xml:space="preserve">Mudança de BIR em 11/05/2018
BIR 738 --&gt; BIR 1038 devido a separaçaõ das operações do grupo BR France
</t>
        </r>
      </text>
    </comment>
    <comment ref="C48" authorId="2" shapeId="0" xr:uid="{5A5D5FB1-62C0-4ED7-877F-5EE085C4680F}">
      <text>
        <r>
          <rPr>
            <sz val="9"/>
            <color indexed="81"/>
            <rFont val="Segoe UI"/>
            <family val="2"/>
          </rPr>
          <t>Mudança de BIR em 11/05/2018
BIR 629 --&gt; BIR 1037 devido a separaçaõ das operações do grupo BR France</t>
        </r>
      </text>
    </comment>
    <comment ref="C50" authorId="2" shapeId="0" xr:uid="{E4AE2BDD-E6DC-49FD-B7D9-550A73AA462E}">
      <text>
        <r>
          <rPr>
            <sz val="9"/>
            <color indexed="81"/>
            <rFont val="Segoe UI"/>
            <family val="2"/>
          </rPr>
          <t xml:space="preserve">Antiga Terra Norte (BIR 615) - encerramento abr/17
Abertura Carmo em outro ponto (BIR 1004) 16/02/2018
</t>
        </r>
      </text>
    </comment>
    <comment ref="C52" authorId="4" shapeId="0" xr:uid="{B5B30E4E-3058-4234-A715-B651B0D9D590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De Marco assume as operações da Liberté Blumenau a partir de 30/12/2022</t>
        </r>
      </text>
    </comment>
    <comment ref="C54" authorId="6" shapeId="0" xr:uid="{76CAC4DE-7888-45C2-8525-3A0725918155}">
      <text>
        <r>
          <rPr>
            <sz val="10"/>
            <color indexed="81"/>
            <rFont val="Calibri"/>
            <family val="2"/>
          </rPr>
          <t>O ponto de Chapecó, anteriormente da Rüdiger, foi adquirido pelo Grupo De Marco.
Data da transição: 01/08/2016
Mudança de Endereço em 04/06/2018</t>
        </r>
      </text>
    </comment>
    <comment ref="C63" authorId="2" shapeId="0" xr:uid="{7C9A0E21-A8B2-49B7-867A-06D8127E5F8E}">
      <text>
        <r>
          <rPr>
            <b/>
            <sz val="9"/>
            <color indexed="81"/>
            <rFont val="Segoe UI"/>
            <family val="2"/>
          </rPr>
          <t>O ponto de Mossoró (07600559 - Matriz) foi adquirido pelo novo Grupo Gamboa (07600935).
Assim, a BIR 678 se tornou a nova Matriz do grupo (04/05/2018)</t>
        </r>
      </text>
    </comment>
    <comment ref="C64" authorId="4" shapeId="0" xr:uid="{893EF8BC-F4EC-4CE5-B109-D168D1861073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Dijon adquiriu o ponto de Divinópolis em 01/12/2021 da AutoRede.</t>
        </r>
      </text>
    </comment>
    <comment ref="C74" authorId="10" shapeId="0" xr:uid="{AB4C54C0-BC78-4756-B4D9-E89FEAFACD8E}">
      <text>
        <r>
          <rPr>
            <sz val="9"/>
            <color indexed="81"/>
            <rFont val="Segoe UI"/>
            <family val="2"/>
          </rPr>
          <t xml:space="preserve">
Mudança de grupo em 02/2021
Antiga Cannes Lajeado (07600965) para DR Sul Lajeado (07601198)</t>
        </r>
      </text>
    </comment>
    <comment ref="C77" authorId="11" shapeId="0" xr:uid="{6BB35C80-1EF4-4039-8638-7383EDD2CE97}">
      <text>
        <r>
          <rPr>
            <b/>
            <sz val="9"/>
            <color indexed="81"/>
            <rFont val="Tahoma"/>
            <family val="2"/>
          </rPr>
          <t>Grupo DR SUL assumiu o ponto em Out/14. Antigo ponto da Sulbra (BIR 07600719)</t>
        </r>
      </text>
    </comment>
    <comment ref="C82" authorId="9" shapeId="0" xr:uid="{6D6874B5-50AB-4C5D-8910-1514DCC8A2BA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Mudança de grupo em 01/2019
Antiga Porto Manaus (7600347) para Du Nort Manaus (7601077)
Du nort manaus (matriz) Para Du nort Manaus (filial) em: 25/11/2020)</t>
        </r>
      </text>
    </comment>
    <comment ref="C84" authorId="5" shapeId="0" xr:uid="{1D39DDB3-E60F-4F40-AB6D-D10AF0973D2A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Du Nort Marabá(matriz) Para Du Nort Marabá (Filial) em: 25/11/2020
</t>
        </r>
      </text>
    </comment>
    <comment ref="C86" authorId="9" shapeId="0" xr:uid="{36F11928-F35A-4C57-8DF5-F73471A4ADB6}">
      <text>
        <r>
          <rPr>
            <sz val="9"/>
            <color indexed="81"/>
            <rFont val="Segoe UI"/>
            <family val="2"/>
          </rPr>
          <t xml:space="preserve">Mudança de grupo em 09/2019.
Antiga Entreposto Imperatriz (07600161) para Du Nort Imperatriz (07601100)
Du nort  Imperatriz (matriz) para Du nort imperatriz (filial) Em:25/11/2020
</t>
        </r>
      </text>
    </comment>
    <comment ref="C87" authorId="9" shapeId="0" xr:uid="{EA1F83D7-A452-4524-A1C6-119DC89DEBC2}">
      <text>
        <r>
          <rPr>
            <sz val="9"/>
            <color indexed="81"/>
            <rFont val="Segoe UI"/>
            <family val="2"/>
          </rPr>
          <t xml:space="preserve">Mudança de grupo em 09/2019.
Antiga Entreposto Calhau (07600144) para Du Nort São Luis (07601099)
Du nort São luis (matriz) para Du nort São luis (filial) Em: 25/11/2020
 </t>
        </r>
      </text>
    </comment>
    <comment ref="C88" authorId="9" shapeId="0" xr:uid="{59FE1B47-CFDC-414E-BEE9-8202069667EB}">
      <text>
        <r>
          <rPr>
            <sz val="9"/>
            <color indexed="81"/>
            <rFont val="Segoe UI"/>
            <family val="2"/>
          </rPr>
          <t xml:space="preserve">Mudança de grupo em 09/2019.
Antiga Entreposto São Luís RM (07600981) para Du Nort São Luís RM (a definir)
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C90" authorId="2" shapeId="0" xr:uid="{24C20883-3D7D-43EB-8A27-6E3BFD97AE06}">
      <text>
        <r>
          <rPr>
            <sz val="9"/>
            <color indexed="81"/>
            <rFont val="Segoe UI"/>
            <family val="2"/>
          </rPr>
          <t xml:space="preserve">Troca de Grupo Buritis (antiga BIR 380) --&gt; Saga em 11/2017
</t>
        </r>
      </text>
    </comment>
    <comment ref="C91" authorId="1" shapeId="0" xr:uid="{8E49C330-1317-4A60-B23C-E608F28E0C6B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R2S2--&gt;R2S1</t>
        </r>
      </text>
    </comment>
    <comment ref="C92" authorId="1" shapeId="0" xr:uid="{54DE2245-DBED-4EA5-BD4B-D3C9A1160601}">
      <text>
        <r>
          <rPr>
            <b/>
            <sz val="9"/>
            <color indexed="81"/>
            <rFont val="Segoe UI"/>
            <family val="2"/>
          </rPr>
          <t>MARIM Allan:</t>
        </r>
        <r>
          <rPr>
            <sz val="9"/>
            <color indexed="81"/>
            <rFont val="Segoe UI"/>
            <family val="2"/>
          </rPr>
          <t xml:space="preserve">
Mudança de Setor 17/10/18
R2S2--&gt;R2S1</t>
        </r>
      </text>
    </comment>
    <comment ref="C93" authorId="2" shapeId="0" xr:uid="{3A8E9CA4-DB2C-48E4-9D7A-61BB49F7BBBE}">
      <text>
        <r>
          <rPr>
            <b/>
            <sz val="9"/>
            <color indexed="81"/>
            <rFont val="Segoe UI"/>
            <family val="2"/>
          </rPr>
          <t>Euro assumiu a ZI em nov/17 em novo ponto. 
Antiga Dante BIR 309</t>
        </r>
      </text>
    </comment>
    <comment ref="C94" authorId="2" shapeId="0" xr:uid="{DC28775A-8A4B-4E1B-B158-A79A27732043}">
      <text>
        <r>
          <rPr>
            <sz val="9"/>
            <color indexed="81"/>
            <rFont val="Segoe UI"/>
            <family val="2"/>
          </rPr>
          <t>Euro iniciou operações em 01/08/2017
Euro comprou e encerrou o ponto da Santa Emília (BIR 784) em junho/18.</t>
        </r>
      </text>
    </comment>
    <comment ref="C96" authorId="9" shapeId="0" xr:uid="{02AD671A-AD4F-46BB-92B8-666F33171DFA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Mudança de setor em Janeiro de 2019
R5S3 -&gt; R5S1</t>
        </r>
      </text>
    </comment>
    <comment ref="C97" authorId="9" shapeId="0" xr:uid="{84F2F8C9-9AA6-4439-B4D6-BBEC856F604D}">
      <text>
        <r>
          <rPr>
            <b/>
            <sz val="9"/>
            <color indexed="81"/>
            <rFont val="Segoe UI"/>
            <family val="2"/>
          </rPr>
          <t>SCARDELATTO Lucas:</t>
        </r>
        <r>
          <rPr>
            <sz val="9"/>
            <color indexed="81"/>
            <rFont val="Segoe UI"/>
            <family val="2"/>
          </rPr>
          <t xml:space="preserve">
Mudança de setor em Janeiro de 2019
R5S3 -&gt; R5S1</t>
        </r>
      </text>
    </comment>
    <comment ref="C98" authorId="4" shapeId="0" xr:uid="{2BAD0CFB-8346-4E21-9F3D-EA5A66602271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Venda da operação J.Carneiro em 14.11.2024 para Eurovia</t>
        </r>
      </text>
    </comment>
    <comment ref="C99" authorId="4" shapeId="0" xr:uid="{4C767C19-4FCC-4822-9023-7169AACD74D7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Venda da operação J.Carneiro em 14.11.2024 para Eurovia</t>
        </r>
      </text>
    </comment>
    <comment ref="C100" authorId="4" shapeId="0" xr:uid="{7E30055F-E9A6-4B75-8A73-1FCA3355B9B0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Venda da operação J.Carneiro em 14.11.2024 para Eurovia</t>
        </r>
      </text>
    </comment>
    <comment ref="C105" authorId="7" shapeId="0" xr:uid="{C1D19911-2AE3-4170-AC3B-E79053AE3A86}">
      <text>
        <r>
          <rPr>
            <sz val="10"/>
            <color indexed="81"/>
            <rFont val="Tahoma"/>
            <family val="2"/>
          </rPr>
          <t>Sinal assumiu operação (antiga Grand Brasil) em: 01/05/2016
Nobre assumiu operação (antiga Sinal - 939) em junho/20</t>
        </r>
      </text>
    </comment>
    <comment ref="Z106" authorId="2" shapeId="0" xr:uid="{6B001C5A-5156-46E1-BE73-A87FF95DB0CF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Z107" authorId="2" shapeId="0" xr:uid="{F1395088-4AC9-4722-AA60-49479C30F538}">
      <text>
        <r>
          <rPr>
            <b/>
            <sz val="9"/>
            <color indexed="81"/>
            <rFont val="Segoe UI"/>
            <family val="2"/>
          </rPr>
          <t>Alteração de Nome Comercial e Razão Social (Superauto p/ Autoplus) em 07/08/18 (mesma BIR)</t>
        </r>
      </text>
    </comment>
    <comment ref="C109" authorId="2" shapeId="0" xr:uid="{E0BB782D-987D-46B4-B6E5-0443C38DA630}">
      <text>
        <r>
          <rPr>
            <sz val="9"/>
            <color indexed="81"/>
            <rFont val="Segoe UI"/>
            <family val="2"/>
          </rPr>
          <t>Gala assumiu a ZI em nov/17 em um novo ponto.
Antiga Weicolo Canoas (BIR 454) foi encerrada em jun/17.</t>
        </r>
      </text>
    </comment>
    <comment ref="C110" authorId="7" shapeId="0" xr:uid="{F3DDF51A-398A-4154-AC86-28F146EFAF04}">
      <text>
        <r>
          <rPr>
            <sz val="10"/>
            <color indexed="81"/>
            <rFont val="Tahoma"/>
            <family val="2"/>
          </rPr>
          <t>Grupo Gama comprou operação do Grupo Plus.
11/04/16</t>
        </r>
      </text>
    </comment>
    <comment ref="C111" authorId="7" shapeId="0" xr:uid="{3A93CC11-F1F1-4F27-9FCE-6E3016C06160}">
      <text>
        <r>
          <rPr>
            <sz val="10"/>
            <color indexed="81"/>
            <rFont val="Tahoma"/>
            <family val="2"/>
          </rPr>
          <t>Grupo Gama comprou operação do Grupo Plus.
11/04/16</t>
        </r>
      </text>
    </comment>
    <comment ref="C112" authorId="6" shapeId="0" xr:uid="{8825FA65-6548-4112-81C4-D1F4D76C1439}">
      <text>
        <r>
          <rPr>
            <sz val="9"/>
            <color indexed="81"/>
            <rFont val="Segoe UI"/>
            <family val="2"/>
          </rPr>
          <t xml:space="preserve">Grupo Gamboa adquiriu Mossoró. Transição: 23/08/2016.
Mundança de ponto em 11/11/2019
</t>
        </r>
      </text>
    </comment>
    <comment ref="C118" authorId="5" shapeId="0" xr:uid="{3DF56F34-E511-444E-9201-2324053E557E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Liberté Itajai Para Globo Itajai Em:30/12/2022</t>
        </r>
      </text>
    </comment>
    <comment ref="C119" authorId="12" shapeId="0" xr:uid="{7DB1019C-EFB8-4261-9963-5D5E7272FFA7}">
      <text>
        <r>
          <rPr>
            <sz val="9"/>
            <color indexed="81"/>
            <rFont val="Tahoma"/>
            <family val="2"/>
          </rPr>
          <t xml:space="preserve">Compra do Ponto :
Liberté para Globo 05/02/2013
</t>
        </r>
      </text>
    </comment>
    <comment ref="C124" authorId="4" shapeId="0" xr:uid="{9239D34D-2BF8-4465-9313-17D490E01D45}">
      <text>
        <r>
          <rPr>
            <b/>
            <sz val="9"/>
            <color indexed="81"/>
            <rFont val="Segoe UI"/>
            <family val="2"/>
          </rPr>
          <t xml:space="preserve">ALVES Rennan:
Mudança de endereço da BIR Matriz. 
</t>
        </r>
      </text>
    </comment>
    <comment ref="C125" authorId="7" shapeId="0" xr:uid="{1A30B02E-2DDF-4655-8EB5-E0750F4BAB6E}">
      <text>
        <r>
          <rPr>
            <sz val="10"/>
            <color indexed="81"/>
            <rFont val="Tahoma"/>
            <family val="2"/>
          </rPr>
          <t>Grupo Smaff comprou Pontos Renascença Agosto/2012
Grupo Buritis comprou operação em Mar/2015.
Grupo Guará assumiu operações da ZI em Julho/18.</t>
        </r>
      </text>
    </comment>
    <comment ref="C127" authorId="12" shapeId="0" xr:uid="{8AA3881C-DA74-4B11-80AD-3A4439485514}">
      <text>
        <r>
          <rPr>
            <sz val="9"/>
            <color indexed="81"/>
            <rFont val="Tahoma"/>
            <family val="2"/>
          </rPr>
          <t>Data da Rdb no ponto/cidade
Antiga BIR 582 Sulbra Erechim cancelada
Nova BIR 750 para o grupo Weicolo - Jun/2013
Antiga BIR 750 para o grupo IESA - Jun/2015</t>
        </r>
      </text>
    </comment>
    <comment ref="C129" authorId="10" shapeId="0" xr:uid="{FB76782F-9A63-47BD-B107-B1A7B95193DE}">
      <text>
        <r>
          <rPr>
            <b/>
            <sz val="8"/>
            <color indexed="81"/>
            <rFont val="Segoe UI"/>
            <family val="2"/>
          </rPr>
          <t xml:space="preserve">Data de Inauguração da Antiga Weicolo Montenegro.
Cannes Montenegro inaugurada em 04/12/2018
</t>
        </r>
        <r>
          <rPr>
            <sz val="8"/>
            <color indexed="81"/>
            <rFont val="Segoe UI"/>
            <family val="2"/>
          </rPr>
          <t>Mudança de grupo em 02/2021
Antiga Cannes Montenegro (07601063) para Iesa Montenegro (07601199)</t>
        </r>
      </text>
    </comment>
    <comment ref="C131" authorId="12" shapeId="0" xr:uid="{8A2946C3-3DBA-4173-9970-B49A08862A54}">
      <text>
        <r>
          <rPr>
            <sz val="9"/>
            <color indexed="81"/>
            <rFont val="Tahoma"/>
            <family val="2"/>
          </rPr>
          <t>Data da Rdb no ponto/cidade
Antiga BIR 409 Sulbra Passo Fundo cancelada
Nova BIR 749 para o grupo Weicolo - Jun/2013
Antiga BIR 749 para o grupo IESA - Jun/2015</t>
        </r>
      </text>
    </comment>
    <comment ref="C132" authorId="10" shapeId="0" xr:uid="{6CADFF9E-5EEF-43A2-ACAB-79E59BFA89FA}">
      <text>
        <r>
          <rPr>
            <sz val="9"/>
            <color indexed="81"/>
            <rFont val="Segoe UI"/>
            <family val="2"/>
          </rPr>
          <t>Data Weicolo antiga: 09/11/2007
Mudança de grupo em 02/2021
Antiga Cannes Santa Cruz (07600978) para Iesa Santa Cruz (07601197)</t>
        </r>
      </text>
    </comment>
    <comment ref="C136" authorId="12" shapeId="0" xr:uid="{D258C797-ABCC-4A8B-AD27-454AB406E584}">
      <text>
        <r>
          <rPr>
            <sz val="9"/>
            <color indexed="81"/>
            <rFont val="Tahoma"/>
            <family val="2"/>
          </rPr>
          <t xml:space="preserve">Data da Rdb no ponto/cidade
Antiga BIR 251 Sulbra Passo Fundo cancelada
Nova BIR 756 para o grupo Itaimbé - Jun/2013
</t>
        </r>
      </text>
    </comment>
    <comment ref="C140" authorId="2" shapeId="0" xr:uid="{A03E7BB9-702E-47F9-9187-6B085AFE53B0}">
      <text>
        <r>
          <rPr>
            <sz val="9"/>
            <color indexed="81"/>
            <rFont val="Segoe UI"/>
            <family val="2"/>
          </rPr>
          <t xml:space="preserve">mud. Ponto da matriz Indianópolis p/ Pinheiros em 08/20.
</t>
        </r>
      </text>
    </comment>
    <comment ref="C143" authorId="2" shapeId="0" xr:uid="{4604238B-1AC3-4D31-B6F7-747618E8356E}">
      <text>
        <r>
          <rPr>
            <b/>
            <sz val="9"/>
            <color indexed="81"/>
            <rFont val="Segoe UI"/>
            <family val="2"/>
          </rPr>
          <t>Data Contrato de Concessão Jangada:
03/06/2002</t>
        </r>
      </text>
    </comment>
    <comment ref="C144" authorId="9" shapeId="0" xr:uid="{BEC7C18B-FAEB-481E-8948-5324348B2005}">
      <text>
        <r>
          <rPr>
            <sz val="9"/>
            <color indexed="81"/>
            <rFont val="Segoe UI"/>
            <family val="2"/>
          </rPr>
          <t xml:space="preserve">Data de inauguração da antiga Renacar.
Inauguração JPN em 09/2019
</t>
        </r>
      </text>
    </comment>
    <comment ref="C151" authorId="7" shapeId="0" xr:uid="{BDBC14A5-63FC-4456-8182-B7796725A3DB}">
      <text>
        <r>
          <rPr>
            <sz val="10"/>
            <color indexed="81"/>
            <rFont val="Tahoma"/>
            <family val="2"/>
          </rPr>
          <t>Grupo Azzurra comprou CNPJ em Novembro / 2003
Em Dez/2013 trocou o nome para Leauto</t>
        </r>
      </text>
    </comment>
    <comment ref="C152" authorId="6" shapeId="0" xr:uid="{C5C3A1BD-D698-4C8A-96D1-EF4A09504B01}">
      <text>
        <r>
          <rPr>
            <sz val="9"/>
            <color indexed="81"/>
            <rFont val="Segoe UI"/>
            <family val="2"/>
          </rPr>
          <t>Inauguração RM:
20/05/2016</t>
        </r>
      </text>
    </comment>
    <comment ref="F153" authorId="9" shapeId="0" xr:uid="{A5C76A69-FBEA-418E-84E7-6A02C453087A}">
      <text>
        <r>
          <rPr>
            <sz val="10"/>
            <color indexed="81"/>
            <rFont val="Segoe UI"/>
            <family val="2"/>
          </rPr>
          <t>Retomou operações após obras</t>
        </r>
      </text>
    </comment>
    <comment ref="C155" authorId="10" shapeId="0" xr:uid="{3368689D-DAAB-4011-9261-D2131DB0A29F}">
      <text>
        <r>
          <rPr>
            <b/>
            <sz val="9"/>
            <color indexed="81"/>
            <rFont val="Segoe UI"/>
            <family val="2"/>
          </rPr>
          <t>Troca de grupo:</t>
        </r>
        <r>
          <rPr>
            <sz val="9"/>
            <color indexed="81"/>
            <rFont val="Segoe UI"/>
            <family val="2"/>
          </rPr>
          <t xml:space="preserve"> Versalhes para Leva em 16/05/2022.
</t>
        </r>
      </text>
    </comment>
    <comment ref="C156" authorId="12" shapeId="0" xr:uid="{141CEEFC-08DA-449B-9F76-8DD78259B34C}">
      <text>
        <r>
          <rPr>
            <sz val="10"/>
            <color indexed="81"/>
            <rFont val="Tahoma"/>
            <family val="2"/>
          </rPr>
          <t xml:space="preserve">Data da Rdb no ponto/cidade
Antiga BIR 421 Porto Boa Vista cancelada
Nova BIR 764 para o grupo Marlin - Out/2013
</t>
        </r>
      </text>
    </comment>
    <comment ref="C161" authorId="12" shapeId="0" xr:uid="{523500D4-A1F7-4DB4-92DC-A37C95BCC7AA}">
      <text>
        <r>
          <rPr>
            <sz val="9"/>
            <color indexed="81"/>
            <rFont val="Tahoma"/>
            <family val="2"/>
          </rPr>
          <t>Data da Rdb no ponto/cidade
Mudança de ponto ocorreu em 24/12/2013</t>
        </r>
      </text>
    </comment>
    <comment ref="C162" authorId="4" shapeId="0" xr:uid="{A6E90468-3FF0-4F52-B89D-32FF2DF94827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AutoR vendida para Andreta Julho/2023
</t>
        </r>
      </text>
    </comment>
    <comment ref="C163" authorId="4" shapeId="0" xr:uid="{62235D39-4299-4AEF-ADCD-A6F6381CB4B6}">
      <text>
        <r>
          <rPr>
            <b/>
            <sz val="9"/>
            <color indexed="81"/>
            <rFont val="Segoe UI"/>
            <family val="2"/>
          </rPr>
          <t>ALVES Rennan:</t>
        </r>
        <r>
          <rPr>
            <sz val="9"/>
            <color indexed="81"/>
            <rFont val="Segoe UI"/>
            <family val="2"/>
          </rPr>
          <t xml:space="preserve">
AutoR vendida para Andreta Julho/2023
</t>
        </r>
      </text>
    </comment>
    <comment ref="C164" authorId="0" shapeId="0" xr:uid="{29F738F5-36EB-4F77-AC8F-7954913F8E9B}">
      <text>
        <r>
          <rPr>
            <b/>
            <sz val="9"/>
            <color indexed="81"/>
            <rFont val="Segoe UI"/>
            <family val="2"/>
          </rPr>
          <t>Automec assumiu a operação da Concorde em 10/04/2017
Andreta assumiu a operação da Automec em 06/01/2020 em novo ponto</t>
        </r>
      </text>
    </comment>
    <comment ref="C168" authorId="5" shapeId="0" xr:uid="{F2500E03-CB1F-4046-AFF7-2C5BC9D65477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Valence Barão para Minas Frence Barão Em:25/04/2021</t>
        </r>
      </text>
    </comment>
    <comment ref="C173" authorId="11" shapeId="0" xr:uid="{6B24AD52-59D1-4417-8C70-C882015EE752}">
      <text>
        <r>
          <rPr>
            <b/>
            <sz val="9"/>
            <color indexed="81"/>
            <rFont val="Tahoma"/>
            <family val="2"/>
          </rPr>
          <t>Grupo Nasa assumiu a operação da Renauto (7600260) em Anápolis em Junho/2015.</t>
        </r>
      </text>
    </comment>
    <comment ref="C174" authorId="11" shapeId="0" xr:uid="{0863B3E2-F580-4D63-85E1-5C0446486152}">
      <text>
        <r>
          <rPr>
            <b/>
            <sz val="9"/>
            <color indexed="81"/>
            <rFont val="Tahoma"/>
            <family val="2"/>
          </rPr>
          <t>Grupo Navesa assumiu a operação da Renauto em Goiânia em Março/15</t>
        </r>
      </text>
    </comment>
    <comment ref="C182" authorId="7" shapeId="0" xr:uid="{989EAA0E-67B9-4641-B3AE-FB51C63B810E}">
      <text>
        <r>
          <rPr>
            <sz val="8"/>
            <color indexed="81"/>
            <rFont val="Tahoma"/>
            <family val="2"/>
          </rPr>
          <t xml:space="preserve">Mudança de Ponto:
8/11/2011
</t>
        </r>
      </text>
    </comment>
    <comment ref="C184" authorId="11" shapeId="0" xr:uid="{A2F994E7-3B4C-4B9F-9F91-0B43586425C2}">
      <text>
        <r>
          <rPr>
            <sz val="9"/>
            <color indexed="81"/>
            <rFont val="Segoe UI"/>
            <family val="2"/>
          </rPr>
          <t>Trocar da Itacar para o Grupo Auto France em DEZ/15. Antinga BIR 714
Grupo Orvel assumiu pontos da Auto France em Jul/21</t>
        </r>
      </text>
    </comment>
    <comment ref="C185" authorId="11" shapeId="0" xr:uid="{F070CE4E-80DF-405C-8490-77AB7A56A943}">
      <text>
        <r>
          <rPr>
            <b/>
            <sz val="9"/>
            <color indexed="81"/>
            <rFont val="Tahoma"/>
            <family val="2"/>
          </rPr>
          <t xml:space="preserve">Antiga BIR 800 pertencente ao Grupo Itacar RN Linhares que foi vendido ao grupo Atlântica Automotor
Alteração de nome e razão social de Atlântica para Orvel em Jun/21
</t>
        </r>
      </text>
    </comment>
    <comment ref="C186" authorId="7" shapeId="0" xr:uid="{03D9E04A-C070-433A-9C2D-5B0EE0D61BF0}">
      <text>
        <r>
          <rPr>
            <sz val="11"/>
            <color indexed="81"/>
            <rFont val="Tahoma"/>
            <family val="2"/>
          </rPr>
          <t>Grupo Indiana comprou CNPJ em Agosto / 2010
====================
Grupo Orletti sob o nome de Atlantica Automotor assumiu o ponto em Jan/15
====================
Alteração de nome e razão social de Atlântica para Orvel em Jun/21</t>
        </r>
      </text>
    </comment>
    <comment ref="C187" authorId="11" shapeId="0" xr:uid="{C7F6E05E-34B3-48B8-B5E1-CFD1DF375D20}">
      <text>
        <r>
          <rPr>
            <sz val="9"/>
            <color indexed="81"/>
            <rFont val="Tahoma"/>
            <family val="2"/>
          </rPr>
          <t>Grupo AutoFrance sobre outra Razão Social (AutoFrance Veiculos) assumiu o ponto em Jan/15
Grupo Orvel assumiu pontos da Auto France em Jul/21</t>
        </r>
      </text>
    </comment>
    <comment ref="C188" authorId="11" shapeId="0" xr:uid="{36B60EDF-B832-4BCB-8D4F-7FC61D1BF261}">
      <text>
        <r>
          <rPr>
            <sz val="9"/>
            <color indexed="81"/>
            <rFont val="Tahoma"/>
            <family val="2"/>
          </rPr>
          <t>Grupo Orletti sob o nome de Atlantica Automotor assumiu o ponto em Jan/15
Alteração de nome e razão social de Atlântica para Orvel em Jun/21</t>
        </r>
      </text>
    </comment>
    <comment ref="C191" authorId="6" shapeId="0" xr:uid="{41C3DF96-7BAB-4561-9F2C-E59AF417FCB9}">
      <text>
        <r>
          <rPr>
            <sz val="10"/>
            <color indexed="81"/>
            <rFont val="Tahoma"/>
            <family val="2"/>
          </rPr>
          <t>Mudança de Regional em 05/16:
antiga R5S1 -&gt; nova R4S3</t>
        </r>
      </text>
    </comment>
    <comment ref="C193" authorId="6" shapeId="0" xr:uid="{F451F6CF-1B27-4169-A0F7-9CD6B1B0374B}">
      <text>
        <r>
          <rPr>
            <sz val="10"/>
            <color indexed="81"/>
            <rFont val="Tahoma"/>
            <family val="2"/>
          </rPr>
          <t>Proeste assumiu operação (antiga Viviani) em: 18/04/2016
Proeste Bauru será a nova Matriz do grupo assumindo a BIR 7600895.
BIR 7600919 será passada para futura filial de Avaré</t>
        </r>
      </text>
    </comment>
    <comment ref="C194" authorId="6" shapeId="0" xr:uid="{CAFB404C-C0BB-4402-ACA2-F341E5074D4A}">
      <text>
        <r>
          <rPr>
            <sz val="10"/>
            <color indexed="81"/>
            <rFont val="Tahoma"/>
            <family val="2"/>
          </rPr>
          <t>Proeste assumiu operação (antiga Viviani) em: 18/04/2016</t>
        </r>
      </text>
    </comment>
    <comment ref="C195" authorId="6" shapeId="0" xr:uid="{5676C078-1F83-4D70-9A5B-7765AE769DBA}">
      <text>
        <r>
          <rPr>
            <sz val="10"/>
            <color indexed="81"/>
            <rFont val="Tahoma"/>
            <family val="2"/>
          </rPr>
          <t>Proeste assumiu operação (antiga Viviani) em: 18/04/2016</t>
        </r>
      </text>
    </comment>
    <comment ref="C196" authorId="6" shapeId="0" xr:uid="{113CD71C-994E-4A7C-8E21-FCA9CE3EEBBF}">
      <text>
        <r>
          <rPr>
            <sz val="10"/>
            <color indexed="81"/>
            <rFont val="Tahoma"/>
            <family val="2"/>
          </rPr>
          <t>Proeste assumiu operação (antiga Viviani) em: 18/04/2016</t>
        </r>
      </text>
    </comment>
    <comment ref="C197" authorId="11" shapeId="0" xr:uid="{C188A34C-6C31-4CAC-AE7D-153D53730722}">
      <text>
        <r>
          <rPr>
            <sz val="9"/>
            <color indexed="81"/>
            <rFont val="Segoe UI"/>
            <family val="2"/>
          </rPr>
          <t>Mudança para o Grupo R.Point em 01/02/2016. Antiga Bir 7600504
Abertura RM: 10/10/2017</t>
        </r>
      </text>
    </comment>
    <comment ref="C198" authorId="11" shapeId="0" xr:uid="{202016CF-D97C-4A86-A1AE-84F47892A0F4}">
      <text>
        <r>
          <rPr>
            <sz val="9"/>
            <color indexed="81"/>
            <rFont val="Segoe UI"/>
            <family val="2"/>
          </rPr>
          <t>Mudança para o Grupo R.Point em 01/02/2016. Antiga Bir 7600505</t>
        </r>
      </text>
    </comment>
    <comment ref="C201" authorId="11" shapeId="0" xr:uid="{5D9B32DC-0406-494B-940C-D1FDE4C6C519}">
      <text>
        <r>
          <rPr>
            <b/>
            <sz val="9"/>
            <color indexed="81"/>
            <rFont val="Tahoma"/>
            <family val="2"/>
          </rPr>
          <t>Grupo Ravel assumiu a operação da Renauto em Rio Verde em Março/15. 
Separação do Show Room em Março 2016</t>
        </r>
      </text>
    </comment>
    <comment ref="C211" authorId="6" shapeId="0" xr:uid="{5812384B-508D-413C-9F1A-9F7269C827A8}">
      <text>
        <r>
          <rPr>
            <b/>
            <sz val="9"/>
            <color indexed="81"/>
            <rFont val="Segoe UI"/>
            <family val="2"/>
          </rPr>
          <t>IAMUNDO Gabriel:</t>
        </r>
        <r>
          <rPr>
            <sz val="9"/>
            <color indexed="81"/>
            <rFont val="Segoe UI"/>
            <family val="2"/>
          </rPr>
          <t xml:space="preserve">
BIR Matriz transferida para este ponto em julho/2016.
Inclusão PRO+ em 24/08/2018</t>
        </r>
      </text>
    </comment>
    <comment ref="C212" authorId="2" shapeId="0" xr:uid="{B632EDE8-9171-4DE8-9652-EB89DA430D40}">
      <text>
        <r>
          <rPr>
            <b/>
            <sz val="9"/>
            <color indexed="81"/>
            <rFont val="Segoe UI"/>
            <family val="2"/>
          </rPr>
          <t>Antigo ponto Provence Volta Redonda (Data RdB 08/12/2011 - BIR 625)
Troca p/ o grupo Rio Sena em 13/03/18</t>
        </r>
      </text>
    </comment>
    <comment ref="C214" authorId="7" shapeId="0" xr:uid="{14B08D2A-E081-4606-87D5-B24EF1A666C0}">
      <text>
        <r>
          <rPr>
            <sz val="10"/>
            <color indexed="81"/>
            <rFont val="Tahoma"/>
            <family val="2"/>
          </rPr>
          <t>Grupo Rodaleve comprou CNPJ em Outubro / 2007
Mudança e Ponto
9/1/2012</t>
        </r>
      </text>
    </comment>
    <comment ref="C215" authorId="5" shapeId="0" xr:uid="{051A09E9-91AF-4BF8-AD52-7C2EFFC2CC97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Valence Contagem para Roma Contagem Em:25/04/2021</t>
        </r>
      </text>
    </comment>
    <comment ref="C216" authorId="5" shapeId="0" xr:uid="{C32FBA90-1C1D-448E-91D3-18E5020831D9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Valence Norte para Roma Norte Em:25/04/2021</t>
        </r>
      </text>
    </comment>
    <comment ref="C221" authorId="2" shapeId="0" xr:uid="{7BCA90EF-756A-4C91-81DE-CD0A26006F77}">
      <text>
        <r>
          <rPr>
            <b/>
            <sz val="9"/>
            <color indexed="81"/>
            <rFont val="Segoe UI"/>
            <family val="2"/>
          </rPr>
          <t>Troca de Grupos em 27/08/2018
Grupo Porto (369) --&gt; Grupo Saga Lemans (1061)</t>
        </r>
      </text>
    </comment>
    <comment ref="C226" authorId="6" shapeId="0" xr:uid="{06AB3633-4A0D-49E6-9849-E9E1DFE630F3}">
      <text>
        <r>
          <rPr>
            <sz val="10"/>
            <color indexed="81"/>
            <rFont val="Tahoma"/>
            <family val="2"/>
          </rPr>
          <t>Sinal assumiu operação (antiga Grand Brasil) em: 01/05/2016</t>
        </r>
      </text>
    </comment>
    <comment ref="C227" authorId="7" shapeId="0" xr:uid="{2F45633C-8DD5-43DF-92F3-71E63256F61E}">
      <text>
        <r>
          <rPr>
            <sz val="10"/>
            <color indexed="81"/>
            <rFont val="Tahoma"/>
            <family val="2"/>
          </rPr>
          <t xml:space="preserve">Mudança de Ponto:
26.08.2011
================
Sinal assumiu operação (antiga Grand Brasil) em: 01/05/2016
================
Mudança de ponto Ibirapuera --&gt; Bandeirantes em: 06/11/2023
</t>
        </r>
      </text>
    </comment>
    <comment ref="C229" authorId="5" shapeId="0" xr:uid="{8EE5281C-D65D-45A1-B28F-92714717990E}">
      <text>
        <r>
          <rPr>
            <b/>
            <sz val="9"/>
            <color indexed="81"/>
            <rFont val="Segoe UI"/>
            <family val="2"/>
          </rPr>
          <t>TORRES Fabiana:</t>
        </r>
        <r>
          <rPr>
            <sz val="9"/>
            <color indexed="81"/>
            <rFont val="Segoe UI"/>
            <family val="2"/>
          </rPr>
          <t xml:space="preserve">
Itavema Indianopolis para Sinal Frence Indianopolis Em:27/11/2020
</t>
        </r>
      </text>
    </comment>
    <comment ref="C230" authorId="11" shapeId="0" xr:uid="{2040A8B8-4145-4759-9EB1-BCAE392EDFC1}">
      <text>
        <r>
          <rPr>
            <b/>
            <sz val="9"/>
            <color indexed="81"/>
            <rFont val="Tahoma"/>
            <family val="2"/>
          </rPr>
          <t>Grupo Sinal assumiu operação do ponto em Dez/14. Antigo ponto: AR Motors (Bir 07600443)
Mudança de ponto em 8/2015</t>
        </r>
      </text>
    </comment>
    <comment ref="C231" authorId="11" shapeId="0" xr:uid="{96405D20-7CA5-45D1-A32B-53E67FC0211F}">
      <text>
        <r>
          <rPr>
            <b/>
            <sz val="9"/>
            <color indexed="81"/>
            <rFont val="Tahoma"/>
            <family val="2"/>
          </rPr>
          <t>Mudança de ponto em 12.09.11
Grupo Sinal assumiu operação do ponto em Dez/14. Antigo ponto Matriz: AR Motors (Bir 07600434)</t>
        </r>
      </text>
    </comment>
    <comment ref="C233" authorId="6" shapeId="0" xr:uid="{4D0FB375-F2D0-4BA5-857E-AB7C7FE97F20}">
      <text>
        <r>
          <rPr>
            <sz val="10"/>
            <color indexed="81"/>
            <rFont val="Tahoma"/>
            <family val="2"/>
          </rPr>
          <t>Sinal assumiu operação (antiga Grand Brasil) em: 01/05/2016</t>
        </r>
      </text>
    </comment>
    <comment ref="C239" authorId="6" shapeId="0" xr:uid="{13150272-FF89-4803-B349-5A5FB94350C2}">
      <text>
        <r>
          <rPr>
            <sz val="10"/>
            <color indexed="81"/>
            <rFont val="Tahoma"/>
            <family val="2"/>
          </rPr>
          <t xml:space="preserve">Proeste assumiu operação (antiga Ville) em: 04/01/2016
Mudança de grupo em 08/2019
Antiga Proeste Pres. Prudente (07600895) para Muchiutt Pres. Prudente (07601097)
Dical juazeiro para Terra santana (13/11/2020)
</t>
        </r>
      </text>
    </comment>
    <comment ref="C240" authorId="2" shapeId="0" xr:uid="{8FF575FB-156D-4EAE-ABCE-5A267A306A6D}">
      <text>
        <r>
          <rPr>
            <sz val="9"/>
            <color indexed="81"/>
            <rFont val="Segoe UI"/>
            <family val="2"/>
          </rPr>
          <t>Troca de grupo
Max Motors --&gt; Toriba jan/17
Fechamento temporário em SET/17 com reabertura em novo endereço em MAI/19</t>
        </r>
      </text>
    </comment>
    <comment ref="C241" authorId="2" shapeId="0" xr:uid="{6C065F63-5896-4CE3-94E0-DE535678F876}">
      <text>
        <r>
          <rPr>
            <b/>
            <sz val="9"/>
            <color indexed="81"/>
            <rFont val="Segoe UI"/>
            <family val="2"/>
          </rPr>
          <t>KERNBICHLER Vitor:</t>
        </r>
        <r>
          <rPr>
            <sz val="9"/>
            <color indexed="81"/>
            <rFont val="Segoe UI"/>
            <family val="2"/>
          </rPr>
          <t xml:space="preserve">
A concessionária foi oficializada dia 26/09/2017
Mudança de Setor 17/10/18
R2S2--&gt;R2S1</t>
        </r>
      </text>
    </comment>
    <comment ref="C243" authorId="6" shapeId="0" xr:uid="{85506558-95F2-4D10-A20F-33F18E8D2514}">
      <text>
        <r>
          <rPr>
            <sz val="10"/>
            <color indexed="81"/>
            <rFont val="Tahoma"/>
            <family val="2"/>
          </rPr>
          <t>Mudança de Regional em 05/16:
antiga R5S1 -&gt; nova R4S3
Mudança de grupo em 07/2021
Antiga Via Automóveis Uberaba (07601130) para Urca France Uberaba (07601176)</t>
        </r>
      </text>
    </comment>
    <comment ref="C244" authorId="9" shapeId="0" xr:uid="{5C3499A2-DA6A-4DB3-88D1-3D2E2BA97358}">
      <text>
        <r>
          <rPr>
            <sz val="9"/>
            <color indexed="81"/>
            <rFont val="Segoe UI"/>
            <family val="2"/>
          </rPr>
          <t>Data da inauguração da antiga Cical.
Data de inauguração da Prima Via: 27/12/2018
Data de inauguração da Urca: 31/05/2021
Mudança de grupo em 07/2021
Antiga Via Automóveis Uberlândia (07601068) para Urca France Uberlândia (07601175)</t>
        </r>
      </text>
    </comment>
    <comment ref="C245" authorId="6" shapeId="0" xr:uid="{B9D7416C-ED97-4167-9DEB-1358D8390C93}">
      <text>
        <r>
          <rPr>
            <sz val="10"/>
            <color indexed="81"/>
            <rFont val="Tahoma"/>
            <family val="2"/>
          </rPr>
          <t>Proeste assumiu operação (antiga Ville) em: 04/01/2016
Mudança de grupo em 08/2019
Antiga Proeste Pres. Prudente (07600895) para Muchiutt Pres. Prudente (07601097)</t>
        </r>
      </text>
    </comment>
    <comment ref="C251" authorId="7" shapeId="0" xr:uid="{419D4A7D-6FB5-4C97-B8A3-AA30E645859B}">
      <text>
        <r>
          <rPr>
            <sz val="10"/>
            <color indexed="81"/>
            <rFont val="Tahoma"/>
            <family val="2"/>
          </rPr>
          <t>Sinal assumiu operação (antiga Grand Brasil) em: 01/05/2016
Grupo Nobre assumiu operação (antiga Sinal) em: 16/03/2020</t>
        </r>
      </text>
    </comment>
    <comment ref="C252" authorId="6" shapeId="0" xr:uid="{5E9B731A-51D5-4C2E-ADBA-57F39B699F5A}">
      <text>
        <r>
          <rPr>
            <sz val="10"/>
            <color indexed="81"/>
            <rFont val="Tahoma"/>
            <family val="2"/>
          </rPr>
          <t>Mudança de Regional em 05/16:
antiga R5S1 -&gt; nova R4S3</t>
        </r>
      </text>
    </comment>
    <comment ref="C256" authorId="7" shapeId="0" xr:uid="{D33E8B82-E635-452D-98A8-9C6F97430AF2}">
      <text>
        <r>
          <rPr>
            <sz val="8"/>
            <color indexed="81"/>
            <rFont val="Tahoma"/>
            <family val="2"/>
          </rPr>
          <t>Mudança de Ponto:
07.4.2011</t>
        </r>
      </text>
    </comment>
    <comment ref="C257" authorId="2" shapeId="0" xr:uid="{33E86AE1-8AAA-44EC-911A-16730F450BF6}">
      <text>
        <r>
          <rPr>
            <b/>
            <sz val="9"/>
            <color indexed="81"/>
            <rFont val="Segoe UI"/>
            <family val="2"/>
          </rPr>
          <t>Mudança de ponto e inclusão do RM em 14/05/18</t>
        </r>
      </text>
    </comment>
    <comment ref="C266" authorId="7" shapeId="0" xr:uid="{50219429-19C1-4FAD-ACAE-6F889F3C9942}">
      <text>
        <r>
          <rPr>
            <sz val="8"/>
            <color indexed="81"/>
            <rFont val="Tahoma"/>
            <family val="2"/>
          </rPr>
          <t xml:space="preserve">Mudança de Ponto:
16/1/2012
</t>
        </r>
      </text>
    </comment>
  </commentList>
</comments>
</file>

<file path=xl/sharedStrings.xml><?xml version="1.0" encoding="utf-8"?>
<sst xmlns="http://schemas.openxmlformats.org/spreadsheetml/2006/main" count="27874" uniqueCount="2311">
  <si>
    <t xml:space="preserve"> &lt;&gt;</t>
  </si>
  <si>
    <t>Email de Contato</t>
  </si>
  <si>
    <t>Envio</t>
  </si>
  <si>
    <t>BIR dealer</t>
  </si>
  <si>
    <t>nome dealer</t>
  </si>
  <si>
    <t>Região</t>
  </si>
  <si>
    <t>Setor</t>
  </si>
  <si>
    <t>DIRETORES</t>
  </si>
  <si>
    <t>TITULARES</t>
  </si>
  <si>
    <t>GVN</t>
  </si>
  <si>
    <t>GPV</t>
  </si>
  <si>
    <t>Qualidade</t>
  </si>
  <si>
    <t>Outros</t>
  </si>
  <si>
    <t>Globo Joinville RM + SR</t>
  </si>
  <si>
    <t>alessandro@grupoglobo.com.br; flavio.b@globoveiculos.com.br; wagner@grupoglobo.com.br</t>
  </si>
  <si>
    <t>mario@grupoglobo.com.br; alessandro@grupoglobo.com.br; gabriel@grupoglobo.com.br; mariojunior@grupoglobo.com.br;</t>
  </si>
  <si>
    <t xml:space="preserve"> pedro.pereira@globoveiculos.com.br; wagner.p@globoveiculos.com.br; joao.h@globoveiculos.com.br </t>
  </si>
  <si>
    <t>maicon.ristal@globoveiculos.com.br; gerenteposvendasgf4@globoford.com.br</t>
  </si>
  <si>
    <t>lucimara.b@globoveiculos.com.br; cristiani.souza@globoveiculos.com.br; agatha.oliveira@grupoglobo.com.br</t>
  </si>
  <si>
    <t>mauricio.fernandes@globoveiculos.com.br; garantiajoinville@globoveiculos.com.br; garantiajoinville@globoveiculos.com.br; emily.pereira@globoveiculos.com.br</t>
  </si>
  <si>
    <t>Globo Veiculos Água Verde</t>
  </si>
  <si>
    <t>alessandro@grupoglobo.com.br;  luiz.rezende@grupoglobo.com.br;</t>
  </si>
  <si>
    <t>sherlon.b@globoveiculos.com.br</t>
  </si>
  <si>
    <t>juliano.a@globoveiculos.com.br</t>
  </si>
  <si>
    <t>lucimara.b@globoveiculos.com.br; agatha.oliveira@grupoglobo.com.br</t>
  </si>
  <si>
    <t>luciano.b@globoveiculos.com.br; agatha.oliveira@grupoglobo.com.br</t>
  </si>
  <si>
    <t>Globo Veiculos Alto da XV</t>
  </si>
  <si>
    <t>giba@globoveiculos.com.br;alessandro@grupoglobo.com.br; luiz.rezende@grupoglobo.com.br</t>
  </si>
  <si>
    <t>diego.antunes@globoveiculos.com.br</t>
  </si>
  <si>
    <t>giba@globoveiculos.com.br</t>
  </si>
  <si>
    <t>joao.o@globoveiculos.com.br; agatha.oliveira@grupoglobo.com.br</t>
  </si>
  <si>
    <t>Globo Veiculos Florianopolis</t>
  </si>
  <si>
    <t>alessandro@grupoglobo.com.br;flavio.b@globoveiculos.com.br</t>
  </si>
  <si>
    <t>ronaldo.leao@globoveiculos.com.br; wagner@grupoglobo.com.br</t>
  </si>
  <si>
    <t>lucimara.b@globoveiculos.com.br; priscila.duma@globoveiculos.com.br; agatha.oliveira@grupoglobo.com.br</t>
  </si>
  <si>
    <t>; Cristiano.luz@globoveiculos.com.br</t>
  </si>
  <si>
    <t>Globo Veículos Itajaí</t>
  </si>
  <si>
    <t>evandro.brasileiro@globoveiculos.com.br; wagner.p@globoveiculos.com.br</t>
  </si>
  <si>
    <t>valerio.hack@globoveiculos.com.br; rogerio.nascimento@globoveiculos.com.br</t>
  </si>
  <si>
    <t>daiane.padilha@grupoglobo.com.br</t>
  </si>
  <si>
    <t>Globo Veiculos Joinville</t>
  </si>
  <si>
    <t>mauricio.f@globoveiculos.com.br;alessandro@grupoglobo.com.br;flavio.b@globoveiculos.com.br</t>
  </si>
  <si>
    <t>gabriel.oliveira@globoveiculos.com.br; wagner@grupoglobo.com.br</t>
  </si>
  <si>
    <t>maicon.ristal@globoveiculos.com.br; mauricio.fernandes@globoveiculos.com.br</t>
  </si>
  <si>
    <t>cotech.joinville@globoveiculos.com.br; mauricio.fernandes@globoveiculos.com.br; garantiajoinville@globoveiculos.com.br; garantiajoinville@globoveiculos.com.br; emily.pereira@globoveiculos.com.br</t>
  </si>
  <si>
    <t>Globo Veiculos Palhoca</t>
  </si>
  <si>
    <t>julio.c@globoveiculos.com.br; wagner@grupoglobo.com.br</t>
  </si>
  <si>
    <t>hudson.t@globoveiculos.com.br</t>
  </si>
  <si>
    <t>cotech.fpolis@globoveiculos.com.br</t>
  </si>
  <si>
    <t>Globo Veiculos Sao Jose</t>
  </si>
  <si>
    <t>fernanda.gomes@globoveiculos.com.br; wagner@grupoglobo.com.br</t>
  </si>
  <si>
    <t>ramon.h@globoveiculos.com.br</t>
  </si>
  <si>
    <t>bruno.raimundo@globoveiculos.com.br</t>
  </si>
  <si>
    <t>Globo Veiculos Sao Jose dos Pinhais</t>
  </si>
  <si>
    <t>alessandro@grupoglobo.com.br; luiz.rezende@grupoglobo.com.br</t>
  </si>
  <si>
    <t>anderson.souza@globoveiculos.com.br</t>
  </si>
  <si>
    <t>karytas@globoveiculos.com.br</t>
  </si>
  <si>
    <t>; agatha.oliveira@grupoglobo.com.br</t>
  </si>
  <si>
    <t>Aravel Arapongas</t>
  </si>
  <si>
    <t>paulo@aravel.com.br</t>
  </si>
  <si>
    <t xml:space="preserve">sergio@aravel.com.br; pedro@aravel.com.br; </t>
  </si>
  <si>
    <t>rvendas2.ara@aravel.com.br</t>
  </si>
  <si>
    <t>gerservicos.ara@aravel.com.br</t>
  </si>
  <si>
    <t>pessoal@aravel.com.br; rh@aravel.com.br</t>
  </si>
  <si>
    <t>rpecas.ara@aravel.com.br</t>
  </si>
  <si>
    <t>Barigui Curitiba - Campina do Siqueira</t>
  </si>
  <si>
    <t>eduardo.mattos@formularenault.com.br; fabio.ito@grupobarigui.com.br</t>
  </si>
  <si>
    <t>ivo.roveda@grupobarigui.com.br;sauer.filho@grupobarigui.com.br;</t>
  </si>
  <si>
    <t>marcelo.oliveira@nissanbarigui.com.br;ademir.ferreira@formularenault.com.br</t>
  </si>
  <si>
    <t>william.toporoski@formularenault.com.br</t>
  </si>
  <si>
    <t>; rubia.breunig@formularenault.com.br; oscar.ito@formularenault.com.br; rivaldo.junior@formularenault.com.br</t>
  </si>
  <si>
    <t>eder.freitas@formularenault.com.br; bruno.almeida@formularenault.com.br; aline.straube@formularenault.com.br; guilherme.barbosa@formularenault.com.br; sidney.damacena@formularenault.com.br</t>
  </si>
  <si>
    <t>Barigui Curitiba Parolin</t>
  </si>
  <si>
    <t>marcelo.oliveira@nissanbarigui.com.br; paulo.lema@formularenault.com.br</t>
  </si>
  <si>
    <t>carlos.maia@formularenault.com.br</t>
  </si>
  <si>
    <t>edson.nagao@formularenault.com.br; rubia.breunig@formularenault.com.br; oscar.ito@formularenault.com.br; rivaldo.junior@formularenault.com.br</t>
  </si>
  <si>
    <t>; aline.straube@formularenault.com.br; guilherme.barbosa@formularenault.com.br; sidney.damacena@formularenault.com.br</t>
  </si>
  <si>
    <t>Barigui Guarapuava</t>
  </si>
  <si>
    <t>marcelo.oliveira@nissanbarigui.com.br; marlize.fogaca@nissanbarigui.com.br</t>
  </si>
  <si>
    <t>michel.fernandes@grupobarigui.com.br; volmir.rottava@grupobarigui.com.br</t>
  </si>
  <si>
    <t>sandy.souza@formularenault.com.br; ; oscar.ito@formularenault.com.br; rubia.breunig@formularenault.com.br</t>
  </si>
  <si>
    <t>sandy.souza@formularenault.com.br; aline.straube@formularenault.com.br; eimili.martins@formularenault.com.br; guilherme.barbosa@formularenault.com.br; sidney.damacena@formularenault.com.br; thaise.souza@formularenault.com.br</t>
  </si>
  <si>
    <t>Barigui Londrina</t>
  </si>
  <si>
    <t>luis.leite@grupobarigui.com.br; marcelo.oliveira@nissanbarigui.com.br; jefferson.rosa@formularenault.com.br; gesse.cunha@formularenault.com.br</t>
  </si>
  <si>
    <t xml:space="preserve">; </t>
  </si>
  <si>
    <t>aline.straube@formularenault.com.br; sandy.souza@formularenault.com.br; guilherme.barbosa@formularenault.com.br; sidney.damacena@formularenault.com.br</t>
  </si>
  <si>
    <t>Barigui Maringa</t>
  </si>
  <si>
    <t>ivo.roveda@grupobarigui.com.br;sauer.filho@grupobarigui.com.br; ; ;  jefferson.rosa@formularenault.com.br; eduardo.macedo@formularenault.com.br</t>
  </si>
  <si>
    <t>marcelo.oliveira@nissanbarigui.com.br; eduardo.macedo@formularenault.com.br</t>
  </si>
  <si>
    <t>; ; eduardo.macedo@formularenault.com.br; ; jefferson.rosa@formularenault.com.br; leonardo.silva@formularenault.com.br</t>
  </si>
  <si>
    <t>sandy.souza@renaultbarigui.com.br ;oscar.ito@formularenault.com.br; rubia.breunig@formularenault.com.br; flavia.ferreira@formularenault.com.br</t>
  </si>
  <si>
    <t>aline.straube@formularenault.com.br; guilherme.barbosa@formularenault.com.br; sidney.damacena@formularenault.com.br</t>
  </si>
  <si>
    <t>Barigui Paranaguá</t>
  </si>
  <si>
    <t>marcelo.oliveira@nissanbarigui.com.br; luis.ribeiro@formularenault.com.br</t>
  </si>
  <si>
    <t>; oscar.ito@formularenault.com.br; rubia.breunig@formularenault.com.br</t>
  </si>
  <si>
    <t>thassia.siqueira@formularenault.com.br; aline.straube@formularenault.com.br; guilherme.barbosa@formularenault.com.br; sidney.damacena@formularenault.com.br</t>
  </si>
  <si>
    <t>Barigui Ponta Grossa</t>
  </si>
  <si>
    <t xml:space="preserve">ivo.roveda@grupobarigui.com.br;sauer.filho@grupobarigui.com.br; ; </t>
  </si>
  <si>
    <t>marcelo.oliveira@nissanbarigui.com.br; clayton.santos@formularenault.com.br</t>
  </si>
  <si>
    <t>oseias.constantino@grupobarigui.com.br</t>
  </si>
  <si>
    <t>aline.straube@formularenault.com.br; eimili.martins@formularenault.com.br; guilherme.barbosa@formularenault.com.br; sidney.damacena@formularenault.com.br</t>
  </si>
  <si>
    <t>Automega Brusque</t>
  </si>
  <si>
    <t>job.castro@grupoautomega.com.br; vicente@grupoautomega.com.br</t>
  </si>
  <si>
    <t>leonardo@repecon.com.br</t>
  </si>
  <si>
    <t>alan.gregory@grupoautomega.com.br</t>
  </si>
  <si>
    <t>leandro.soares@grupoautomega.com.br</t>
  </si>
  <si>
    <t>bruna.badin@grupoautomega.com.br</t>
  </si>
  <si>
    <t>patricia@grupoautomega.com.br; fabio@grupoautomega.com.br; josemara.silva@grupoautomega.com.br</t>
  </si>
  <si>
    <t>Automega Florianopolis</t>
  </si>
  <si>
    <t>adriano.silva@grupoautomega.com.br</t>
  </si>
  <si>
    <t>jairo.nandi@grupoautomega.com.br</t>
  </si>
  <si>
    <t>Automega Sao Jose</t>
  </si>
  <si>
    <t>marcelo.meireles@grupoautomega.com.br</t>
  </si>
  <si>
    <t>sidnei.camilo@grupoautomega.com.br</t>
  </si>
  <si>
    <t>Automega Sul da Ilha</t>
  </si>
  <si>
    <t>jaime.nunes@grupoautomega.com.br</t>
  </si>
  <si>
    <t>eduardo.tamura@grupoautomega.com.br</t>
  </si>
  <si>
    <t>Automega Tijucas</t>
  </si>
  <si>
    <t>jossias.dalla@grupoautomega.com.br</t>
  </si>
  <si>
    <t>Estação Cuiaba</t>
  </si>
  <si>
    <t>julio.csilva@gruposaga.com.br</t>
  </si>
  <si>
    <t>alex.minas@gruposaga.com.br</t>
  </si>
  <si>
    <t>gerson.sjunior@gruposaga.com.br</t>
  </si>
  <si>
    <t>ana.psales@gruposaga.com.br</t>
  </si>
  <si>
    <t>; joyce.pbarreto@gruposaga.com.br; tamy.asilva@gruposaga.com.br</t>
  </si>
  <si>
    <t>Estacao Varzea Grande</t>
  </si>
  <si>
    <t>hellen.spaz@gruposaga.com.br</t>
  </si>
  <si>
    <t>Guará Costa e Silva</t>
  </si>
  <si>
    <t>fernando.sales@grupoenzo.com.br; Paulo.mori@grupoenzo.com.br</t>
  </si>
  <si>
    <t>kcf@grupoenzo.com.br</t>
  </si>
  <si>
    <t>douglas.laranjeira@guaracampogrande.com.br</t>
  </si>
  <si>
    <t>luis.nascimento@guaracampogrande.com.br</t>
  </si>
  <si>
    <t>carolina.martins@guaracampogrande.com.br</t>
  </si>
  <si>
    <t>morgana.costa@grupoenzo.com.br; ; alexandro.zuconelli@grupoenzo.com.br; gildo.amaral@grupoenzo.com.br</t>
  </si>
  <si>
    <t>Guara Dourados</t>
  </si>
  <si>
    <t>marcelo.silva@guararenaultdourados.com.br</t>
  </si>
  <si>
    <t>gilberto.melgarejo@guararenaultdourados.com.br</t>
  </si>
  <si>
    <t>Autoplus Jaragua do Sul</t>
  </si>
  <si>
    <t xml:space="preserve">adenilson@autoplusrenault.com.br </t>
  </si>
  <si>
    <t>eglerayner.goncalves@autoplusrenault.com.br</t>
  </si>
  <si>
    <t>ronaldo.felipe@autoplusrenault.com.br</t>
  </si>
  <si>
    <t>qualidade@autoplusrenault.com.br</t>
  </si>
  <si>
    <t>Autoplus Rio do Sul</t>
  </si>
  <si>
    <t>julio.oliveira@autoplusrenault.com.br</t>
  </si>
  <si>
    <t xml:space="preserve">cotech4@autoplusrenault.com.br </t>
  </si>
  <si>
    <t xml:space="preserve">Autoplus SC Balneário Camboriú </t>
  </si>
  <si>
    <t>ricardo.dalvo@autoplusrenault.com.br</t>
  </si>
  <si>
    <t xml:space="preserve">marcos.griten@autoplusrenault.com.br </t>
  </si>
  <si>
    <t>Autoplus SC Canoinhas</t>
  </si>
  <si>
    <t>leandro.dias@autoplusrenault.com.br</t>
  </si>
  <si>
    <t>rodrigo.herbst@autoplusrenault.com.br</t>
  </si>
  <si>
    <t>Autoplus SC Mafra</t>
  </si>
  <si>
    <t>laudelino.junior@autoplusrenault.com.br</t>
  </si>
  <si>
    <t>jessica.alves@autoplusrenault.com.br</t>
  </si>
  <si>
    <t>Autoplus SC Sao Bento do Sul</t>
  </si>
  <si>
    <t>ricardo.p@autoplusrenault.com.br</t>
  </si>
  <si>
    <t>thyago.santos@autoplusrenault.com.br</t>
  </si>
  <si>
    <t>De Marco Blumenau</t>
  </si>
  <si>
    <t>zibetti@demarcoveiculos.com.br;adriano@demarcoveiculos.com.br</t>
  </si>
  <si>
    <t>rafael@demarcoveiculos.com.br</t>
  </si>
  <si>
    <t>danth@demarcoveiculos.com.br; gerente.smo@demarcoveiculos.com.br</t>
  </si>
  <si>
    <t>posvenda@demarcoveiculos.com.br; posvenda.blu@demarcoveiculos.com.br; posvendas.jba@demarcoveiculos.com.br</t>
  </si>
  <si>
    <t>cotech.smo@demarcoveiculos.com.br</t>
  </si>
  <si>
    <t>De Marco Cacador</t>
  </si>
  <si>
    <t>adriano@demarcoveiculos.com.br</t>
  </si>
  <si>
    <t>danth@demarcoveiculos.com.br; gerente.ccd@demarcoveiculos.com.br</t>
  </si>
  <si>
    <t>posvenda@demarcoveiculos.com.br; posvendas.jba@demarcoveiculos.com.br</t>
  </si>
  <si>
    <t>De Marco Chapeco</t>
  </si>
  <si>
    <t>danth@demarcoveiculos.com.br; gerente.cco@demarcoveiculos.com.br</t>
  </si>
  <si>
    <t>cotech.cco@demarcoveiculos.com.br</t>
  </si>
  <si>
    <t>De Marco Concordia</t>
  </si>
  <si>
    <t>danth@demarcoveiculos.com.br; gerente.cda@demarcoveiculos.com.br</t>
  </si>
  <si>
    <t>rafael_volpini8019@hotmail.com</t>
  </si>
  <si>
    <t>De Marco Joacaba</t>
  </si>
  <si>
    <t>danth@demarcoveiculos.com.br; gerente.jba@demarcoveiculos.com.br</t>
  </si>
  <si>
    <t>cotech.jba@demarcoveiculos.com.br</t>
  </si>
  <si>
    <t>De Marco Porto Uniao</t>
  </si>
  <si>
    <t>danth@demarcoveiculos.com.br; gerente.ptu@demarcoveiculos.com.br</t>
  </si>
  <si>
    <t>De Marco Sao Miguel DOeste</t>
  </si>
  <si>
    <t>De Marco Videira</t>
  </si>
  <si>
    <t>danth@demarcoveiculos.com.br; gerente.vda@demarcoveiculos.com.br</t>
  </si>
  <si>
    <t>De Marco Xanxere</t>
  </si>
  <si>
    <t>danth@demarcoveiculos.com.br; gerente.xxe@demarcoveiculos.com.br</t>
  </si>
  <si>
    <t>DR Sul Bento Goncalves</t>
  </si>
  <si>
    <t>vilson.caldas@drsul.com.br; giusepe.scapin@drsulveiculos.com.br</t>
  </si>
  <si>
    <t>rafael.santarem@drsulveiculos.com.br;adriane.santarem@drsulveiculos.com.br;</t>
  </si>
  <si>
    <t>pedrita.flores@drsul.com.br; vilson.caldas@drsul.com.br</t>
  </si>
  <si>
    <t>jorge.castro@drsulveiculos.com.br</t>
  </si>
  <si>
    <t>ubirata.azevedo@drsul.com.br; matheus.ribeiro@drsul.com.br</t>
  </si>
  <si>
    <t>DR Sul Canela</t>
  </si>
  <si>
    <t>alexandre.oliveira@drsul.com.br; vilson.caldas@drsul.com.br</t>
  </si>
  <si>
    <t>patricia.selister@drsul.com.br</t>
  </si>
  <si>
    <t>DR Sul Cavalhada</t>
  </si>
  <si>
    <t>marcilio.junior@drsul.com.br; vilson.caldas@drsul.com.br</t>
  </si>
  <si>
    <t>mauricio.araujo@drsul.com.br</t>
  </si>
  <si>
    <t>DR Sul Caxias do Sul</t>
  </si>
  <si>
    <t>cristiane.costa@drsul.com.br; vilson.caldas@drsul.com.br</t>
  </si>
  <si>
    <t>DR Sul Lajeado</t>
  </si>
  <si>
    <t>rogerio.boeira@drsul.com.br; vilson.caldas@drsul.com.br</t>
  </si>
  <si>
    <t>horacilino.viganigo@drsul.com.br; edmilson.pereira@drsul.com.br</t>
  </si>
  <si>
    <t>DR Sul Novo Hamburgo</t>
  </si>
  <si>
    <t>lorisete.freitas@drsul.com.br; vilson.caldas@drsul.com.br</t>
  </si>
  <si>
    <t>eber.vier@drsulveiculos.com.br</t>
  </si>
  <si>
    <t>DR Sul Porto Alegre RM + SR</t>
  </si>
  <si>
    <t>DR Sul Sao Leopoldo</t>
  </si>
  <si>
    <t>rodrigo.muller@drsul.com.br; vilson.caldas@drsul.com.br</t>
  </si>
  <si>
    <t>DR Sul Taquara</t>
  </si>
  <si>
    <t>luiz.pinhatti@drsul.com.br; vilson.caldas@drsul.com.br</t>
  </si>
  <si>
    <t>Gala Cachoeirinha</t>
  </si>
  <si>
    <t>marcelo@nissulgala.com ; ernani@nissulgala.com</t>
  </si>
  <si>
    <t>jose@nissulgala.com</t>
  </si>
  <si>
    <t>vitor.cesar@nissulgala.com</t>
  </si>
  <si>
    <t>priscila.vargas@nissulgala.com</t>
  </si>
  <si>
    <t>adriana.cabreira@nissulgala.com</t>
  </si>
  <si>
    <t>Gala Canoas</t>
  </si>
  <si>
    <t>estevao.crestani@nissulgala.com</t>
  </si>
  <si>
    <t>Nissul Guaiba</t>
  </si>
  <si>
    <t>joao.marcus@nissulgala.com</t>
  </si>
  <si>
    <t>Nissul Pelotas</t>
  </si>
  <si>
    <t>michael.silva@nissulgala.com</t>
  </si>
  <si>
    <t>alberto.souza@nissulgala.com</t>
  </si>
  <si>
    <t>Nissul Rio Grande</t>
  </si>
  <si>
    <t>leticia.carvalho@nissulgala.com</t>
  </si>
  <si>
    <t>daniel.moura@nissulgala.com</t>
  </si>
  <si>
    <t>Iesa Azenha</t>
  </si>
  <si>
    <t>fabiano.ferrari@grupoiesa.com.br;ari.campanhol@grupoiesa.com.br; luis.dias@grupoiesa.com.br</t>
  </si>
  <si>
    <t>thiago@grupoiesa.com.br</t>
  </si>
  <si>
    <t>flavia.simphronio@grupoiesa.com.br</t>
  </si>
  <si>
    <t>bethielle.molina@grupoiesa.com.br</t>
  </si>
  <si>
    <t>cleusa.rosa@grupoiesa.com.br; brenda.taborda@grupoiesa.com.br</t>
  </si>
  <si>
    <t>wilson.costa@grupoiesa.com.br</t>
  </si>
  <si>
    <t>Iesa Erechim</t>
  </si>
  <si>
    <t>peterson.souza@grupoiesa.com.br</t>
  </si>
  <si>
    <t>robson.cardoso@grupoiesa.com.br</t>
  </si>
  <si>
    <t xml:space="preserve">carlos.tasso@grupoiesa.com.br; </t>
  </si>
  <si>
    <t>Iesa Ipiranga</t>
  </si>
  <si>
    <t xml:space="preserve">saymon.avila@grupoiesa.com.br; </t>
  </si>
  <si>
    <t>Iesa Montenegro</t>
  </si>
  <si>
    <t>pedro.santos@grupoiesa.com.br</t>
  </si>
  <si>
    <t>jonatas.santos@grupoiesa.com.br</t>
  </si>
  <si>
    <t>Iesa Osorio</t>
  </si>
  <si>
    <t>edson.junior@grupoiesa.com.br</t>
  </si>
  <si>
    <t>ana.amaral@grupoiesa.com.br</t>
  </si>
  <si>
    <t>Iesa Passo Fundo</t>
  </si>
  <si>
    <t>alex.martins@grupoiesa.com.br</t>
  </si>
  <si>
    <t>carlos.tasso@grupoiesa.com.br; jonatas.santos@grupoiesa.com.br</t>
  </si>
  <si>
    <t>Iesa Santa Cruz</t>
  </si>
  <si>
    <t>ethiene.melo@grupoiesa.com.br</t>
  </si>
  <si>
    <t>jonatas.santos@grupoiesa.com.br; bethielle.molina@grupoiesa.com.br</t>
  </si>
  <si>
    <t>Iesa Sao Joao</t>
  </si>
  <si>
    <t>saymon.avila@grupoiesa.com.br</t>
  </si>
  <si>
    <t>thiago.coutinho@grupoiesa.com.br</t>
  </si>
  <si>
    <t>Itaimbe Bage</t>
  </si>
  <si>
    <t>felipe@itaimbe.com.br; patricgarcia@itaimbe.com.br; lucasdambros@itaimbe.com.br;</t>
  </si>
  <si>
    <t>daniel@itaimbe.com.br;</t>
  </si>
  <si>
    <t>diegomoura@itaimbe.com.br</t>
  </si>
  <si>
    <t>rodrigodarosa@itaimbe.com.br;janderli.bock@itaimbe.com.br;  juarez.silva@itaimbe.com.br;gustavooliveira@itaimbe.com.br;;marciosilva@itaimbe.com.br;andregrapiglia@itaimbe.com.br;gustavooliveira@itaimbe.com.br;;</t>
  </si>
  <si>
    <t>Itaimbe Cachoeira do Sul</t>
  </si>
  <si>
    <t>marciosilva@itaimbe.com.br</t>
  </si>
  <si>
    <t>rodrigodarosa@itaimbe.com.br;janderli.bock@itaimbe.com.br;  juarez.silva@itaimbe.com.br;gustavooliveira@itaimbe.com.br;;marciosilva@itaimbe.com.br;andregrapiglia@itaimbe.com.br;gustavooliveira@itaimbe.com.br;;;</t>
  </si>
  <si>
    <t>Itaimbe Ijui</t>
  </si>
  <si>
    <t>; ramseslemos@itaimbe.com.br;</t>
  </si>
  <si>
    <t>andregrapiglia@itaimbe.com.br</t>
  </si>
  <si>
    <t>rodrigodarosa@itaimbe.com.br;janderli.bock@itaimbe.com.br;  juarez.silva@itaimbe.com.br;gustavooliveira@itaimbe.com.br;;marciosilva@itaimbe.com.br;andregrapiglia@itaimbe.com.br;gustavooliveira@itaimbe.com.br;;;ramseslemos@itaimbe.com.br</t>
  </si>
  <si>
    <t>Itaimbe Santa Maria</t>
  </si>
  <si>
    <t>lucasdambros@itaimbe.com.br</t>
  </si>
  <si>
    <t>Itaimbe Uruguaiana</t>
  </si>
  <si>
    <t>gustavooliveira@itaimbe.com.br</t>
  </si>
  <si>
    <t>Vip Car Ararangua</t>
  </si>
  <si>
    <t>alessander@vipcarcri.com.br;</t>
  </si>
  <si>
    <t>didi@vipcarcri.com.br;pereira@vipcarcri.com.br;</t>
  </si>
  <si>
    <t>zenolla@vipcarcri.com.br</t>
  </si>
  <si>
    <t>juvenil@vipcarlg.com.br; gerentepv.renault@vipcarar.com.br; mateus@vipcarar.com.br</t>
  </si>
  <si>
    <t>danusa.qualidade@vipcartb.com.br; qualidade@vipcartb.com.br; qualidade@vipcartb.com.br</t>
  </si>
  <si>
    <t>; sergio@vipcartb.com.br; jesse@vipcarcri.com.br</t>
  </si>
  <si>
    <t>Vip Car Criciuma</t>
  </si>
  <si>
    <t xml:space="preserve">jesse@vipcarcri.com.br; gerentepv.renault@vipcarcri.com.br; </t>
  </si>
  <si>
    <t>juvenil@vipcarlg.com.br; gerentepv.renault@vipcarcri.com.br</t>
  </si>
  <si>
    <t>DENIS@VIPCARCRI.COM.BR; sergio@vipcartb.com.br; jesse@vipcarcri.com.br</t>
  </si>
  <si>
    <t>Vip Car Lages</t>
  </si>
  <si>
    <t>gerentepv.renault@vipcarlg.com.br;filipe@vipcarlg.com.br</t>
  </si>
  <si>
    <t>juvenil@vipcarlg.com.br</t>
  </si>
  <si>
    <t>oficinapv.renault@vipcarlg.com.br; sergio@vipcartb.com.br; jesse@vipcarcri.com.br</t>
  </si>
  <si>
    <t>Vip Car Tubarao</t>
  </si>
  <si>
    <t>; fernanda@vipcartb.com.br; gerente.renault@vipcartb.com.br</t>
  </si>
  <si>
    <t xml:space="preserve">juvenil@vipcarlg.com.br; </t>
  </si>
  <si>
    <t>OFICINA@VIPCARTB.COM.BR; sergio@vipcartb.com.br; jesse@vipcarcri.com.br</t>
  </si>
  <si>
    <t>Fancar Campo Mourão</t>
  </si>
  <si>
    <t>dago@fancar.com.br;</t>
  </si>
  <si>
    <t>fabio@grupofancar.com.br; angelica@grupofancar.com.br; nelvio@grupofancar.com.br;</t>
  </si>
  <si>
    <t>willian@fancar.com.br</t>
  </si>
  <si>
    <t>kelly.s@fancar.com.br; anderson.bernardo@fancar.com.br; bruno.ror@fancar.com.br</t>
  </si>
  <si>
    <t>qualidade1@grupofancar.com.br</t>
  </si>
  <si>
    <t>cotech.ror@fancar.com.br; antonio.toczek@fancar.com.br</t>
  </si>
  <si>
    <t>Fancar Rondonopolis</t>
  </si>
  <si>
    <t>bruno.ror@fancar.com.br; thiago.marques@fancar.com.br</t>
  </si>
  <si>
    <t>cotech.ror@fancar.com.br</t>
  </si>
  <si>
    <t>Morel Sinop</t>
  </si>
  <si>
    <t>priscilla@renaultmorel.com.br; claudio@renaultmorel.com.br</t>
  </si>
  <si>
    <t>vendas@renaultmorel.com.br</t>
  </si>
  <si>
    <t>posvendas@renaultmorel.com.br; posvendas@grupovianorte.com.br</t>
  </si>
  <si>
    <t>qualidade@renaultmorel.com.br</t>
  </si>
  <si>
    <t>garantia@renaultmorel.com.br; pecas@renaultmorel.com.br; cotech@renaultmorel.com.br</t>
  </si>
  <si>
    <t>Open Veiculos Cascavel</t>
  </si>
  <si>
    <t>diretoria@openveiculos.com.br</t>
  </si>
  <si>
    <t>marcos@openveiculos.com.br</t>
  </si>
  <si>
    <t>gerenciacvel@openveiculos.com.br</t>
  </si>
  <si>
    <t>posvendas@openveiculos.com.br</t>
  </si>
  <si>
    <t>qualidade@openveiculos.com.br</t>
  </si>
  <si>
    <t>gerentegeral@openveiculos.com.br;treinamento@openveiculos.com,br;cotech1@openveiculos.net.br</t>
  </si>
  <si>
    <t>Open Veiculos Foz do Iguacu</t>
  </si>
  <si>
    <t>gerentefoz@openveiculos.net.br</t>
  </si>
  <si>
    <t>gerentegeral@openveiculos.com.br;treinamento@openveiculos.com.br;cotech-foz@openveiculos.net.br</t>
  </si>
  <si>
    <t>Open Veiculos Toledo</t>
  </si>
  <si>
    <t>gerenciatoledo@openveiculos.com.br</t>
  </si>
  <si>
    <t>gerentegeral@openveiculos.com.br;treinamento@openveiculos.com,br;cotech-too@openveiculos.net.br</t>
  </si>
  <si>
    <t>Amazonas Mooca</t>
  </si>
  <si>
    <t>cristiane.curci@grupoamazonas.com.br; luis.lima@grupoamazonas.com.br</t>
  </si>
  <si>
    <t xml:space="preserve">victor@grupoamazonas.com.br; wladimir@grupoamazonas.com.br </t>
  </si>
  <si>
    <t xml:space="preserve">suellen.vieira@amazonasfrance.com.br </t>
  </si>
  <si>
    <t xml:space="preserve">carlos.silvano@amazonasfrance.com.br </t>
  </si>
  <si>
    <t xml:space="preserve">marcela.rodrigues@grupoamazonas.com.br; felipe.paladini@amazonasfrance.com.br </t>
  </si>
  <si>
    <t>Amazonas Santana</t>
  </si>
  <si>
    <t xml:space="preserve">mara.goncalves@amazonasfrance.com.br  </t>
  </si>
  <si>
    <t xml:space="preserve">rene.silva@amazonasfrance.com.br </t>
  </si>
  <si>
    <t>Mercantil Andreta Americana</t>
  </si>
  <si>
    <t>diretoria.admfinanceiro@grupoandreta.com.br;</t>
  </si>
  <si>
    <t>jr@grupoandreta.com.br;</t>
  </si>
  <si>
    <t>geroficina.andretaamericana@grupoandreta.com.br</t>
  </si>
  <si>
    <t>liderkaizen.mercantilandreta@grupoandreta.com.br</t>
  </si>
  <si>
    <t>cotech.andretaamericana@grupoandreta.com.br; sac@grupoandreta.com.br</t>
  </si>
  <si>
    <t>Mercantil Andreta Atibaia</t>
  </si>
  <si>
    <t>gergeral.mercantilatibaia@grupoandreta.com.br</t>
  </si>
  <si>
    <t>geroficina.mercantilatibaia@grupoandreta.com.br</t>
  </si>
  <si>
    <t>sac@grupoandreta.com.br</t>
  </si>
  <si>
    <t>Mercantil Andreta Bragança Paulista</t>
  </si>
  <si>
    <t>gergeral.mercantilbraganca@grupoandreta.com.br</t>
  </si>
  <si>
    <t>geroficina.mercantilbraganca@grupoandreta.com.br</t>
  </si>
  <si>
    <t>sac@grupoandreta.com.br; geroficina.mercantilbraganca@grupoandreta.com.br</t>
  </si>
  <si>
    <t>Mercantil Andreta Campinas</t>
  </si>
  <si>
    <t>geroficina.mercantilcampinas@grupoandreta.com.br</t>
  </si>
  <si>
    <t>geroficina.mercantilcampinas@grupoandreta.com.br; sac@grupoandreta.com.br</t>
  </si>
  <si>
    <t>Mercantil Andreta Limeira</t>
  </si>
  <si>
    <t>geroficina.andretalimeira@grupoandreta.com.br</t>
  </si>
  <si>
    <t>eletromecanico.andretalimeira@grupoandreta.com.br; sac@grupoandreta.com.br</t>
  </si>
  <si>
    <t>Mercantil Andreta Mogi Mirim</t>
  </si>
  <si>
    <t>geroficina.andretamogi@grupoandreta.com.br</t>
  </si>
  <si>
    <t>cotech.andretamogi@grupoandreta.com.br; sac@grupoandreta.com.br</t>
  </si>
  <si>
    <t>Mercantil Andreta Piracicaba</t>
  </si>
  <si>
    <t>gergeral.mercantilandreta@grupoandreta.com.br</t>
  </si>
  <si>
    <t>geroficina.mercantilandreta@grupoandreta.com.br</t>
  </si>
  <si>
    <t>cotech.mercantilandreta@grupoandreta.com.br; sac@grupoandreta.com.br</t>
  </si>
  <si>
    <t>Ville Aracatuba</t>
  </si>
  <si>
    <t>moacir.bartolomei@grupoville.com.br; andersonpazzini@grupoville.com.br;</t>
  </si>
  <si>
    <t xml:space="preserve">luciano.olivi@grupoville.com.br; alexandre.bozola@grupoville.com.br; ; </t>
  </si>
  <si>
    <t xml:space="preserve">comercial.renault@grupoville.com.br; rafael.rodrigues@grupoville.com.br; </t>
  </si>
  <si>
    <t>ari.junior@grupoville.com.br</t>
  </si>
  <si>
    <t>; andre.paiola@grupoville.com.br</t>
  </si>
  <si>
    <t>cotech.ata@grupoville.com.br; ; Leonardo.harte@grupoville.com.br;</t>
  </si>
  <si>
    <t>Ville Catanduva</t>
  </si>
  <si>
    <t xml:space="preserve">joao.ossana@grupoville.com.br; comercial.renault@grupoville.com.br; ; </t>
  </si>
  <si>
    <t>ronieri.azevedo@grupoville.com.br</t>
  </si>
  <si>
    <t>ronieri.azevedo@grupoville.com.br; ; Leonardo.harte@grupoville.com.br;</t>
  </si>
  <si>
    <t>Ville Rio Preto</t>
  </si>
  <si>
    <t>comercial.renault@grupoville.com.br; marcos.faveri@grupoville.com.br</t>
  </si>
  <si>
    <t>gabriel.poltroniere@grupoville.com.br</t>
  </si>
  <si>
    <t>jose.henrique@grupoville.com.br; ; Leonardo.harte@grupoville.com.br;</t>
  </si>
  <si>
    <t>Ville Votuporanga</t>
  </si>
  <si>
    <t xml:space="preserve">comercial.renault@grupoville.com.br; jefferson.silva@grupoville.com.br; </t>
  </si>
  <si>
    <t>jefferson.silva@grupoville.com.br</t>
  </si>
  <si>
    <t>leonaldo.zanelatto@grupoville.com.br; ; Leonardo.harte@grupoville.com.br;</t>
  </si>
  <si>
    <t>SIM Vinhedo</t>
  </si>
  <si>
    <t>nabi@planaholding.com.br</t>
  </si>
  <si>
    <t>marcos.pimenta@simconcessionarias.com.br</t>
  </si>
  <si>
    <t>jeiza.fernandes@simconcessionarias.com.br</t>
  </si>
  <si>
    <t>cotech@renaultsim.com.br</t>
  </si>
  <si>
    <t>Proeste Avare</t>
  </si>
  <si>
    <t>andremassola@proeste.com.br;</t>
  </si>
  <si>
    <t>pardal@proeste.com.br;</t>
  </si>
  <si>
    <t>denis.matos@proeste.com.br;</t>
  </si>
  <si>
    <t>nelinho@proeste.com.br;</t>
  </si>
  <si>
    <t>afonso.simoes@proeste.com.br; thiagomassola@proeste.com.br;</t>
  </si>
  <si>
    <t>cotech.renaultava@proeste.com.br; oficina.renaultava@proeste.com.br;</t>
  </si>
  <si>
    <t>Proeste Bauru Matriz</t>
  </si>
  <si>
    <t>flavia.peliciotti@proeste.com.br;</t>
  </si>
  <si>
    <t xml:space="preserve">afonso.simoes@proeste.com.br; thiagomassola@proeste.com.br; </t>
  </si>
  <si>
    <t>cotech.renaultbu@proeste.com.br; ludimila.zuccari@proeste.com.br</t>
  </si>
  <si>
    <t>Proeste Botucatu</t>
  </si>
  <si>
    <t>afonso.simoes@proeste.com.br; thiagomassola@proeste.com.br; junior.renaultbtu@proeste.com.br;</t>
  </si>
  <si>
    <t>Proeste Jau</t>
  </si>
  <si>
    <t>marcelo.vancin@proeste.com.br;</t>
  </si>
  <si>
    <t>cotech.renaultju@proeste.com.br</t>
  </si>
  <si>
    <t>Proeste Marilia</t>
  </si>
  <si>
    <t>cotech.renaultmr@proeste.com.br</t>
  </si>
  <si>
    <t>Faberge Penha</t>
  </si>
  <si>
    <t>edemar.nunes@grupofaberge.com.br; denis@grupofaberge.com.br</t>
  </si>
  <si>
    <t>roberto.faberge@grupofaberge.com.br</t>
  </si>
  <si>
    <t>gustavo.visentin@renaultnobre.com.br</t>
  </si>
  <si>
    <t>andre.collier@renaultfaberge.com.br</t>
  </si>
  <si>
    <t>lais.murray@grupofaberge.com.br; beatriz.silva@grupofaberge.com.br</t>
  </si>
  <si>
    <t>posvendas.penha@renaultnobre.com.br; qualidade5@grupofaberge.com.br</t>
  </si>
  <si>
    <t>Toriba Lapa</t>
  </si>
  <si>
    <t>leticia.ribeiro@grupotoriba.com.br</t>
  </si>
  <si>
    <t>rodrigo.faria@grupotoriba.com.br</t>
  </si>
  <si>
    <t>marcio.santos@grupotoriba.com.br; reginaldo.lima@grupotoriba.com.br</t>
  </si>
  <si>
    <t>vanessa.silva@grupotoriba.com.br; kalliny.silva@grupotoriba.com.br; vanessa.barbosa@grupotoriba.com.br; aline.santana@grupotoriba.com.br</t>
  </si>
  <si>
    <t>wellington.nascimento@grupotoriba.com.br; nei.martins@grupotoriba.com.br; fabiana.moreira@grupotoriba.com.br; Vanessa.novais@grupotoriba.com.br</t>
  </si>
  <si>
    <t>Toriba Pirituba</t>
  </si>
  <si>
    <t>douglas.vieira@grupotoriba.com.br</t>
  </si>
  <si>
    <t>douglas.santana@grupotoriba.com.br;nei.martins@grupotoriba.com.br;  fabiana.moreira@grupotoriba.com.br; Vanessa.novais@grupotoriba.com.br</t>
  </si>
  <si>
    <t>Sinal France Barueri</t>
  </si>
  <si>
    <t>penna@gruposinal.com; robson.vieira@gruposinal.com; alexandre.tarin@gruposinal.com; marcello.bruno@gruposinal.com</t>
  </si>
  <si>
    <t>wb@gruposinal.com; graziella@gruposinal.com</t>
  </si>
  <si>
    <t>sergio.pomelli@gruposinal.com</t>
  </si>
  <si>
    <t>adriano.moura@gruposinal.com</t>
  </si>
  <si>
    <t>daniele.lopes@gruposinal.com; karina.silva@gruposinal.com; pedro.ferreira@gruposinal.com</t>
  </si>
  <si>
    <t>Sinal France Joao Dias</t>
  </si>
  <si>
    <t>bruno.souza@gruposinal.com</t>
  </si>
  <si>
    <t>filipe.carvalho@gruposinal.com</t>
  </si>
  <si>
    <t>Sinal France Nacoes Unidas</t>
  </si>
  <si>
    <t>rodrigo.braz@gruposinal.com</t>
  </si>
  <si>
    <t>alexandre.nigmann@gruposinal.com</t>
  </si>
  <si>
    <t>Sinal France Osasco</t>
  </si>
  <si>
    <t>alvaro.alves@gruposinal.com</t>
  </si>
  <si>
    <t>Eduardo.kawamura@gruposinal.com</t>
  </si>
  <si>
    <t>Santa Emilia Sao Carlos</t>
  </si>
  <si>
    <t>rodrigo@santaemilia.com.br;marcelomagrin@santaemilia.com.br</t>
  </si>
  <si>
    <t>rodrigo@santaemilia.com.br;ruiflavio@santaemilia.com.br;vinho@santaemilia.com.br;dado@santaemilia.com.br;</t>
  </si>
  <si>
    <t>nelson.hiroshi@santaemilia.com.br</t>
  </si>
  <si>
    <t xml:space="preserve">cotechsc@santaemilia.com.br; michele.christofoletti@santaemilia.com.br; ; </t>
  </si>
  <si>
    <t>Sinal France Aricanduva</t>
  </si>
  <si>
    <t>wilson.nakasima@gruposinal.com</t>
  </si>
  <si>
    <t>edson.rodrigues@gruposinal.com</t>
  </si>
  <si>
    <t>Sinal France Bandeirantes</t>
  </si>
  <si>
    <t>cristhian.santos@gruposinal.com</t>
  </si>
  <si>
    <t>Sinal France Indianópolis</t>
  </si>
  <si>
    <t>tiago.pereira@gruposinal.com</t>
  </si>
  <si>
    <t>thiago.cardoso@gruposinal.com</t>
  </si>
  <si>
    <t>Sinal France Vl Olimpia RM</t>
  </si>
  <si>
    <t>mailson.oliveira@gruposinal.com</t>
  </si>
  <si>
    <t>Destaque France Mogi</t>
  </si>
  <si>
    <t>fabio.oliveira@grupodestaque.com.br, fabricio@grupodestaque.com.br</t>
  </si>
  <si>
    <t>francemogi@grupodestaque.com.br</t>
  </si>
  <si>
    <t>posvendas.renault@grupodestaque.com.br</t>
  </si>
  <si>
    <t>qualidade.renault@grupodestaque.com.br</t>
  </si>
  <si>
    <t>Destaque France Poa</t>
  </si>
  <si>
    <t>vendas.francepoa@grupodestaque.com.br</t>
  </si>
  <si>
    <t>posvendas.francepoa@grupodestaque.com.br</t>
  </si>
  <si>
    <t>Armando Diadema</t>
  </si>
  <si>
    <t>rodrigo@armandoveiculos.com.br; fernando@armandoveiculos.com.br;</t>
  </si>
  <si>
    <t>priscilaalves@armandoveiculos.com.br</t>
  </si>
  <si>
    <t>Ismael@armandoveiculos.com.br</t>
  </si>
  <si>
    <t>qualidade@armandoveiculos.com.br</t>
  </si>
  <si>
    <t>monicabelice@armandoveiculos.com.br; cotech_diadema@armandoveiculos.com.br; consultor_diadema@armandoveiculos.com.br</t>
  </si>
  <si>
    <t>Armando Santo Andre Dom Pedro</t>
  </si>
  <si>
    <t>monicabelice@armandoveiculos.com.br;; cotech_dpedro@armandoveiculos.com.br; ; consultor_dpedro1@armandoveiculos.com.br; consultor_dpedro2@armandoveiculos.com.br</t>
  </si>
  <si>
    <t>Armando Sao Bernardo Assunção</t>
  </si>
  <si>
    <t>monicabelice@armandoveiculos.com.br</t>
  </si>
  <si>
    <t>rodrigo@armandoveiculos.com.br; fernando@armandoveiculos.com.br; lucianocarvalho@armandoveiculos.com.br</t>
  </si>
  <si>
    <t>elainecarvalho@armandoveiculos.com.br</t>
  </si>
  <si>
    <t xml:space="preserve">fernando@armandoveiculos.com.br;rodrigo@armandoveiculos.com.br; ; </t>
  </si>
  <si>
    <t>Armando Sao Bernardo Centro</t>
  </si>
  <si>
    <t>monicamg1@armandoveiculos.com.br</t>
  </si>
  <si>
    <t>fernando@armandoveiculos.com.br;rodrigo@armandoveiculos.com.br; consultor_ap1@armandoveiculos.com.br; recepcaopv_ap@armandoveiculos.com.br</t>
  </si>
  <si>
    <t>Armando Sao Caetano RM + SR</t>
  </si>
  <si>
    <t>monicabelice@armandoveiculos.com.br;</t>
  </si>
  <si>
    <t>Santa Emilia Araraquara</t>
  </si>
  <si>
    <t>rodrigo@santaemilia.com.br;egno@santaemilia.com.br; marcelomagrin@santaemilia.com.br;</t>
  </si>
  <si>
    <t>rodrigo@santaemilia.com.br;ruiflavio@santaemilia.com.br;vinho@santaemilia.com.br</t>
  </si>
  <si>
    <t>danieldomingos@santaemilia.com.br</t>
  </si>
  <si>
    <t xml:space="preserve">cotecharq@santaemilia.com.br; michele.christofoletti@santaemilia.com.br; </t>
  </si>
  <si>
    <t>Santa Emilia Rio Claro</t>
  </si>
  <si>
    <t xml:space="preserve">thais.guerra@santaemilia.com.br; </t>
  </si>
  <si>
    <t>thais.guerra@santaemilia.com.br</t>
  </si>
  <si>
    <t xml:space="preserve">cotechrc@santaemilia.com.br; michele.christofoletti@santaemilia.com.br; </t>
  </si>
  <si>
    <t>Balilla Indaiatuba</t>
  </si>
  <si>
    <t>felipe@balilla.com.br</t>
  </si>
  <si>
    <t>toninho@balilla.com.br;luiscarlos@balilla.com.br;waine@balilla.com.br;zito@balilla.com.br;</t>
  </si>
  <si>
    <t>nahor@balilla.com.br</t>
  </si>
  <si>
    <t>gabrielle.freitas@balilla.com.br; atendimento@balilla.com.br</t>
  </si>
  <si>
    <t>marcelo.rltind@balilla.com.br; felipe@balilla.com.br; sonia@balilla.com.br;luana.santana@balilla.com.br;qualidade@balilla.com.br</t>
  </si>
  <si>
    <t>Abrao Reze Renault ltu</t>
  </si>
  <si>
    <t>diretoria@abraoreze.com.br;diretoria@abraoreze.com.br;</t>
  </si>
  <si>
    <t>matheus.salata@abraoreze.com.br</t>
  </si>
  <si>
    <t>rafael@abraoreze.com.br</t>
  </si>
  <si>
    <t>giovana.nascimento@abraoreze.com.br; jessica.brasil@abraoreze.com.br</t>
  </si>
  <si>
    <t>plinio.santana@abraoreze.com.br</t>
  </si>
  <si>
    <t>Soma France Itapeva</t>
  </si>
  <si>
    <t>adrianocubas@somaautomoveis.com.br; rossi@somaautomoveis.com.br</t>
  </si>
  <si>
    <t>paulo@fiatsoma.com.br</t>
  </si>
  <si>
    <t>gerencia.itapeva@somafrance.com.br</t>
  </si>
  <si>
    <t>gedson.santos@somaautomoveis.com.br</t>
  </si>
  <si>
    <t>ana.telles@somaautomoveis.com.br</t>
  </si>
  <si>
    <t>liderkaizen@somafrance.com.br</t>
  </si>
  <si>
    <t>Soma France PV</t>
  </si>
  <si>
    <t>gerencia@somafrance.com.br</t>
  </si>
  <si>
    <t>gabriel.bueno@somaautomoveis.com.br</t>
  </si>
  <si>
    <t>Soma Itapetininga</t>
  </si>
  <si>
    <t>R Point Vila Ipiranga</t>
  </si>
  <si>
    <t>devincer.miguel@rpoint.com.br</t>
  </si>
  <si>
    <t>fabio.varella@rpoint.com.br; andressa.froes@rpoint.com.br; willian.damacena@rpoint.com.br</t>
  </si>
  <si>
    <t>suellen.tavares@rpoint.com.br; helio.soares@sonnervig.com.br</t>
  </si>
  <si>
    <t>miguel.silva@rpoint.com.br</t>
  </si>
  <si>
    <t>ronaldo.diniz@rpoint.com.br; emily.jullie@rpoint.com.br; marcos.aurelio@rpoint.com.br; diogo.aparecido@rpoint.com.br; evandro.rsantos@rpoint.com.br;  fabio.varella@rpoint.com.br; eduardo.uchiyama@rpoint.com.br; helio.soares@sonnervig.com.br; miguel.silva@rpoint.com.br; miguel.silva@rpoint.com.br; thamiris.gari@sonnervig.com.br</t>
  </si>
  <si>
    <t>R Point Vila Prudente</t>
  </si>
  <si>
    <t>alessandro.batista@rpoint.com.br; fabio.varella@rpoint.com.br; andressa.froes@rpoint.com.br; willian.damacena@rpoint.com.br</t>
  </si>
  <si>
    <t>viviane.previatello@rpoint.com.br; emily.jullie@rpoint.com.br; thiago.scardoso@rpoint.com.br; jefferson.cicero@rpoint.com.br; fabio.varella@rpoint.com.br;  eduardo.uchiyama@rpoint.com.br; helio.soares@sonnervig.com.br; miguel.silva@rpoint.com.br; thamiris.gari@sonnervig.com.br</t>
  </si>
  <si>
    <t>Itavema France Guarulhos</t>
  </si>
  <si>
    <t>lcferraz@itavema.com.br; jonas.andrade@itavemafrance.com.br;</t>
  </si>
  <si>
    <t>mario.diretoria@itavema.com.br;joaopaulo@itavema.com.br;cesarfranco@itavema.com.br;felipefranco@itavema.com.br</t>
  </si>
  <si>
    <t>mbetuker@itavema.com.br; sergio.msalves@itavemafrance.com.br</t>
  </si>
  <si>
    <t>mbetuker@itavema.com.br; jczanetti@itavema.com.br</t>
  </si>
  <si>
    <t>viviane.amoreau@itavemafrance.com.br; lucas.fvasconcelos@itavemafrance.com.br; gabriela.gsilva@itavemafrance.com.br; andrea.monteiro@itavemafrance.com.br</t>
  </si>
  <si>
    <t>cotech187@itavemafrance.com.br; lcferraz@itavema.com.br;  felipefranco@itavema.com.br; ; jczanetti@itavema.com.br;  ;luciana.ccredigolo@itavemafrance.com.br; mbetuker@itavema.com.br; ; ; gabriela.gsilva@itavema.com.br</t>
  </si>
  <si>
    <t>Itavema France Pinheiros</t>
  </si>
  <si>
    <t>lcferraz@itavema.com.br;jonas.andrade@itavemafrance.com.br</t>
  </si>
  <si>
    <t>mario.diretoria@itavema.com.br;joaopaulo@itavema.com.br;fabio.grupo@itavema.com.br;felipefranco@itavema.com.br;</t>
  </si>
  <si>
    <t>jczanetti@itavema.com.br; ;</t>
  </si>
  <si>
    <t>jczanetti@itavema.com.br</t>
  </si>
  <si>
    <t>viviane.amoreau@itavemafrance.com.br; lucas.fvasconcelos@itavemafrance.com.br; gabriela.gsilva@itavemafrance.com.br; andrea.monteiro@itavemafrance.com.br; marco.lsalinas@itavemafrance.com.br</t>
  </si>
  <si>
    <t>roberto.sakami@itavemafrance.com.br; lcferraz@itavema.com.br;  felipefranco@itavema.com.br; ; jczanetti@itavema.com.br; ; luciana.ccredigolo@itavemafrance.com.br; mbetuker@itavema.com.br; ; ; gabriela.gsilva@itavema.com.br</t>
  </si>
  <si>
    <t>Itavema France Sao Jose dos Campos Serimbura</t>
  </si>
  <si>
    <t>mario.diretoria@itavema.com.br;joaopaulo@itavema.com.br;felipefranco@itavema.com.br</t>
  </si>
  <si>
    <t>luciana.cruz@itavemafrance.com.br; melissa.renno@itavemafrance.com.br;</t>
  </si>
  <si>
    <t>luciana.cruz@itavemafrance.com.br</t>
  </si>
  <si>
    <t xml:space="preserve">cotech.sjc@itavemafrance.com.br; lcferraz@itavema.com.br; ; felipefranco@itavema.com.br; gabriela.gsilva@itavema.com.br; ;  jczanetti@itavema.com.br; luciana.ccredigolo@itavemafrance.com.br; mbetuker@itavema.com.br; ; ; </t>
  </si>
  <si>
    <t>Itavema France Taubate</t>
  </si>
  <si>
    <t>lcferraz@itavema.com.br;</t>
  </si>
  <si>
    <t>luciana.cruz@itavemafrance.com.br; anderson.tau@itavemafrance.com.br;</t>
  </si>
  <si>
    <t>cesar.borges@itavema.com.br; lcferraz@itavema.com.br;  felipefranco@itavema.com.br; ;  jczanetti@itavema.com.br; ; luciana.ccredigolo@itavemafrance.com.br; mbetuker@itavema.com.br; ; ; gabriela.gsilva@itavema.com.br</t>
  </si>
  <si>
    <t>Estoril Praia Grande</t>
  </si>
  <si>
    <t>osmar.peixoto@estorilrenault.com.br;</t>
  </si>
  <si>
    <t>fernando.peralta@grupoperalta.com.br;acp@peraltaatacadista.com.br;basilio.peralta@grupoperalta.com.br;</t>
  </si>
  <si>
    <t>rafael.silva@estorilrenault.com.br</t>
  </si>
  <si>
    <t>rogerio.oliveira@estorilrenault.com.br; paola.silva@estorilrenault.com.br; ; debora.oliveira@estorilrenault.com.br;</t>
  </si>
  <si>
    <t>Estoril Santos</t>
  </si>
  <si>
    <t>leonardo.ranha@estorilrenault.com.br</t>
  </si>
  <si>
    <t xml:space="preserve">; paola.silva@estorilrenault.com.br; </t>
  </si>
  <si>
    <t>Maxvel Tatui</t>
  </si>
  <si>
    <t>jaime@velmax.com.br;</t>
  </si>
  <si>
    <t>gerente.novos@maxveltatui.com.br</t>
  </si>
  <si>
    <t>adm.tatui@velmax.com.br</t>
  </si>
  <si>
    <t>R Point Braz Leme</t>
  </si>
  <si>
    <t>airton.borges@rpoint.com.br; fabio.varella@rpoint.com.br; andressa.froes@rpoint.com.br; willian.damacena@rpoint.com.br</t>
  </si>
  <si>
    <t>marcos.aurelio@rpoint.com.br; helio.soares@sonnervig.com.br</t>
  </si>
  <si>
    <t>airton.borges@rpoint.com.br; emily.jullie@rpoint.com.br; marcos.aurelio@rpoint.com.br; felipe.nsoares@rpoint.com.br; fabio.varella@rpoint.com.br;  eduardo.uchiyama@rpoint.com.br; miguel.silva@rpoint.com.br; thamiris.gari@sonnervig.com.br</t>
  </si>
  <si>
    <t>R Point Vila Guilherme</t>
  </si>
  <si>
    <t>ronaldo.diniz@rpoint.com.br; fabio.varella@rpoint.com.br; andressa.froes@rpoint.com.br; willian.damacena@rpoint.com.br</t>
  </si>
  <si>
    <t>alessandro.batista@rpoint.com.br; emily.jullie@rpoint.com.br; felipe.nsoares@rpoint.com.br; fabio.varella@rpoint.com.br;  eduardo.uchiyama@rpoint.com.br; helio.soares@sonnervig.com.br; miguel.silva@rpoint.com.br; thamiris.gari@sonnervig.com.br</t>
  </si>
  <si>
    <t>Valec Andrade Neves</t>
  </si>
  <si>
    <t>vando@valecrenault.com.br</t>
  </si>
  <si>
    <t>luciano@luchini.com.br</t>
  </si>
  <si>
    <t>-</t>
  </si>
  <si>
    <t>priscila.mitre@valecrenault.com.br</t>
  </si>
  <si>
    <t>andressa.pussa@valecrenault.com.br</t>
  </si>
  <si>
    <t>magno@valecrenault.com.br</t>
  </si>
  <si>
    <t>Valec Jundiai</t>
  </si>
  <si>
    <t>elmer@valecrenault.com.br</t>
  </si>
  <si>
    <t>helton.jacinto@valecrenault.com.br</t>
  </si>
  <si>
    <t>Valec Orosimbo Maia</t>
  </si>
  <si>
    <t>debora.monzani@valecrenault.com.br</t>
  </si>
  <si>
    <t>luis.olavo@valecrenault.com.br</t>
  </si>
  <si>
    <t>Valec Sorocaba</t>
  </si>
  <si>
    <t>flavio.riceto@valecrenault.com.br</t>
  </si>
  <si>
    <t>guilherme.madella@valecrenault.com.br</t>
  </si>
  <si>
    <t>Valec Valinhos</t>
  </si>
  <si>
    <t>alexandre.santos@valecrenault.com.br</t>
  </si>
  <si>
    <t>juarez.junior@valecrenault.com.br</t>
  </si>
  <si>
    <t>Euro Franca</t>
  </si>
  <si>
    <t>renatosaraiva@eurorenault.com.br; ; bressan@atri.com.br</t>
  </si>
  <si>
    <t>tiago@atri.com.br;mazer@atri.com.br;</t>
  </si>
  <si>
    <t>supervisor.eurofr@eurorenault.com.br</t>
  </si>
  <si>
    <t>amanda.evangelista@eurorenault.com.br</t>
  </si>
  <si>
    <t>cotech.eurofrc@eurorenault.com.br; bruna.miranda@eurorenault.com.br; brenda.lanca@eurorenault.com.br; assistente.vendasdiretas@eurorenault.com.br; amanda.souza@eurorenault.com.br; hugo.leonardo@eurorenault.com.br</t>
  </si>
  <si>
    <t>Euro Ribeirao Preto</t>
  </si>
  <si>
    <t>;renatosaraiva@eurorenault.com.br;</t>
  </si>
  <si>
    <t>tiago@atri.com.br; mazer@atri.com.br; bressan@atri.com.br;</t>
  </si>
  <si>
    <t xml:space="preserve">assistente.vendasdiretas@eurorenault.com.br </t>
  </si>
  <si>
    <t>ANDRE.LIMA@EURORENAULT.COM.BR; bruna.miranda@eurorenault.com.br; brenda.lanca@eurorenault.com.br; assistente.vendasdiretas@eurorenault.com.br; marina.maschio@eurorenault.com.br; hugo.leonardo@eurorenault.com.br</t>
  </si>
  <si>
    <t>Muchiutt Presidente Prudente</t>
  </si>
  <si>
    <t>servicos@muchiutt.com.br;luciano@muchiutt.com.br;</t>
  </si>
  <si>
    <t>valter@muchiutt.com.br;luciano@muchiutt.com.br;</t>
  </si>
  <si>
    <t>vendas01prudente@muchiutt.com.br;</t>
  </si>
  <si>
    <t>oficina01prudente@muchiutt.com.br</t>
  </si>
  <si>
    <t>pecas01prudente@muchiutt.com.br</t>
  </si>
  <si>
    <t>Navesa Goiania</t>
  </si>
  <si>
    <t xml:space="preserve">jtjunior@navesa.com.br; </t>
  </si>
  <si>
    <t xml:space="preserve">; jtjunior@navesa.com.br; ; </t>
  </si>
  <si>
    <t>leo.soyer@navesa.com.br</t>
  </si>
  <si>
    <t>carlos.alberto@navesa.com.br</t>
  </si>
  <si>
    <t>keilaaugusta@navesa.com.br</t>
  </si>
  <si>
    <t xml:space="preserve">THAMER.MUNIZ@NAVESA.COM.BR; </t>
  </si>
  <si>
    <t>Pinauto Ceres</t>
  </si>
  <si>
    <t>romildo@pinauto.com.br</t>
  </si>
  <si>
    <t>edmoneto@pinauto.com.br; brenopinheiro@pinauto.com.br</t>
  </si>
  <si>
    <t>marcos.delgado@pinauto.com.br; vilmar.silva@pinauto.com.br</t>
  </si>
  <si>
    <t>Ravel Rio Verde</t>
  </si>
  <si>
    <t>flavio@ravelrenault.com.br</t>
  </si>
  <si>
    <t>rodrigo@ravelrenault.com.br</t>
  </si>
  <si>
    <t>ismael@ravelrenault.com.br</t>
  </si>
  <si>
    <t>crm@ravelrenault.com.br</t>
  </si>
  <si>
    <t>Tecar Goiania</t>
  </si>
  <si>
    <t>marcio.macedo@tecar.com.br</t>
  </si>
  <si>
    <t>JHN@TECAR.COM.BR</t>
  </si>
  <si>
    <t>elquiany.silva@tecar.com.br</t>
  </si>
  <si>
    <t>romildo.freitas@tecar.com.br</t>
  </si>
  <si>
    <t>luma.campos@tecar.com.br</t>
  </si>
  <si>
    <t>Leauto Abolição</t>
  </si>
  <si>
    <t>vitorleta@grupoleauto.com.br;rodrigoleta@grupoleauto.com.br;gabrielleta@grupoleauto.com.br;rafaelleta@grupoleauto.com.br</t>
  </si>
  <si>
    <t>alfredoleta@grupoleauto.com.br;marcoleta@grupoleauto.com.br;francescoleta@grupoleauto.com.br;</t>
  </si>
  <si>
    <t>gervnrab@grupoleauto.com.br</t>
  </si>
  <si>
    <t>supofrab@grupoleauto.com.br</t>
  </si>
  <si>
    <t>Qualidade@grupoleauto.com.br</t>
  </si>
  <si>
    <t>gergeralpv@grupoleauto.com.br;gergeralpc@grupoleauto.com.br</t>
  </si>
  <si>
    <t>Leauto Botafogo</t>
  </si>
  <si>
    <t>alfredoleta@grupoleauto.com.br;marcoleta@grupoleauto.com.br;francescoleta@grupoleauto.com.br</t>
  </si>
  <si>
    <t>gervnrbf@grupoleauto.com.br</t>
  </si>
  <si>
    <t>gerofbf@grupoleauto.com.br</t>
  </si>
  <si>
    <t>Leauto Penha RM + SR</t>
  </si>
  <si>
    <t>supvnrpe@grupoleauto.com.br</t>
  </si>
  <si>
    <t>gerofrpe@grupoleauto.com.br</t>
  </si>
  <si>
    <t>Leauto Tijuca</t>
  </si>
  <si>
    <t>supvnrtj@grupoleauto.com.br</t>
  </si>
  <si>
    <t>geroftj@grupoleauto.com.br</t>
  </si>
  <si>
    <t>Leva Ipatinga</t>
  </si>
  <si>
    <t>guilherme@levarenault.com.br</t>
  </si>
  <si>
    <t>carolina@levarenault.com.br;joao@levarenault.com.br;diretoria@levarenault.com.br</t>
  </si>
  <si>
    <t>gvn@levarenault.com.br</t>
  </si>
  <si>
    <t>rpv@levarenault.com.br</t>
  </si>
  <si>
    <t>oficina@levarenault.com.br; controller@levarenault.com.br</t>
  </si>
  <si>
    <t>Leva Itabira</t>
  </si>
  <si>
    <t>guilherme@levarenault.com.br; rpv@levarenault.com.br</t>
  </si>
  <si>
    <t>carolina@levarenault.com.br</t>
  </si>
  <si>
    <t>ti2@levarenault.com.br; rpv@levarenault.com.br</t>
  </si>
  <si>
    <t>controller@levarenault.com.br</t>
  </si>
  <si>
    <t>Multicar Governador Valadares</t>
  </si>
  <si>
    <t>maxwelllage@grupomulticar.com.br;</t>
  </si>
  <si>
    <t>gerentepvgv.re@grupomulticar.com.br</t>
  </si>
  <si>
    <t>qualidade.gv@kobeveiculos.com.br; comercial.re@grupomulticar.com.br; gerentepvgv.re@grupomulticar.com.br; wagner.g@kobeveiculos.com.br; qualidade.gv@kobeveiculos.com.br</t>
  </si>
  <si>
    <t>cotechgv.re@grupomulticar.com.br; qualidade.gv@kobeveiculos.com.br;</t>
  </si>
  <si>
    <t>Tecar Brasilia</t>
  </si>
  <si>
    <t>jhn@tecar.com.br; jmn@tecar.com.br;</t>
  </si>
  <si>
    <t>piter.rodrigues@tecar.com.br; jackeline.silva@tecar.com.br; elis.reis@tecar.com.br; eudes.silva@tecar.com.br</t>
  </si>
  <si>
    <t>piter.rodrigues@tecar.com.br</t>
  </si>
  <si>
    <t>jackeline.silva@tecar.com.br</t>
  </si>
  <si>
    <t>osmano.alves@tecar.com.br; maria.nazare@tecar.com.br</t>
  </si>
  <si>
    <t>Auto France Araruama</t>
  </si>
  <si>
    <t>geraldo.oggioni@grupoautomotive.com.br;joao@grupoautomotive.com.br;rita.oggioni@grupoautomotive.com.br;</t>
  </si>
  <si>
    <t>g2.pv@renaultautofrance.com.br</t>
  </si>
  <si>
    <t>g2.pv@renaultautofrance.com.br; pv1@grupoautomotive.com.br</t>
  </si>
  <si>
    <t>; qualidade@grupoautomotive.com.br; fabio@grupoautomotive.com.br; aux.qualidade2@grupoautomotive.com.br; aux.qualidade@grupoautomotive.com.br</t>
  </si>
  <si>
    <t xml:space="preserve">g2.cotech@renaultautofrance.com.br; pv1@grupoautomotive.com.br; g1.pv@renaultautofrance.com.br; g2.pv@renaultautofrance.com.br; g7.pv@renaultautofrance.com.br;  g10.pv@renaultautofrance.com.br; g1.vn@renaultautofrance.com.br; g2.vn@renaultautofrance.com.br;  g7.vn@renaultautofrance.com.br; g10.vn@renaultautofrance.com.br; qualidade@grupoautomotive.com.br; ;  </t>
  </si>
  <si>
    <t>Auto France Cabo Frio</t>
  </si>
  <si>
    <t>geraldo.oggioni@grupoautomotive.com.br;bharbara@grupoautomotive.com.br;rita.oggioni@grupoautomotive.com.br;joao@grupoautomotive.com.br;</t>
  </si>
  <si>
    <t>g1.pv@renaultautofrance.com.br</t>
  </si>
  <si>
    <t>g1.pv@renaultautofrance.com.br; pv1@grupoautomotive.com.br</t>
  </si>
  <si>
    <t xml:space="preserve">g1.cotech@renaultautofrance.com.br; pv1@grupoautomotive.com.br; g1.pv@renaultautofrance.com.br; g2.pv@renaultautofrance.com.br; g7.pv@renaultautofrance.com.br;  g10.pv@renaultautofrance.com.br; g1.vn@renaultautofrance.com.br; g2.vn@renaultautofrance.com.br;  g7.vn@renaultautofrance.com.br; g10.vn@renaultautofrance.com.br; qualidade@grupoautomotive.com.br; ;  </t>
  </si>
  <si>
    <t>Auto France Campos</t>
  </si>
  <si>
    <t>geraldo.oggioni@grupoautomotive.com.br;rita.oggioni@grupoautomotive.com.br;joao@grupoautomotive.com.br;</t>
  </si>
  <si>
    <t>g10.pv@renaultautofrance.com.br</t>
  </si>
  <si>
    <t>g10.pv@renaultautofrance.com.br; pv1@grupoautomotive.com.br</t>
  </si>
  <si>
    <t xml:space="preserve">pv1@grupoautomotive.com.br; g1.pv@renaultautofrance.com.br; g2.pv@renaultautofrance.com.br; g7.pv@renaultautofrance.com.br;  g10.pv@renaultautofrance.com.br; g1.vn@renaultautofrance.com.br; g2.vn@renaultautofrance.com.br;  g7.vn@renaultautofrance.com.br; g10.vn@renaultautofrance.com.br; qualidade@grupoautomotive.com.br; ;  </t>
  </si>
  <si>
    <t>Auto France Macae</t>
  </si>
  <si>
    <t>g7.pv@renaultautofrance.com.br&gt;</t>
  </si>
  <si>
    <t>g7.pv@renaultautofrance.com.br; pv1@grupoautomotive.com.br</t>
  </si>
  <si>
    <t xml:space="preserve">; pv1@grupoautomotive.com.br; g1.pv@renaultautofrance.com.br; g2.pv@renaultautofrance.com.br; g7.pv@renaultautofrance.com.br;  g10.pv@renaultautofrance.com.br; g1.vn@renaultautofrance.com.br; g2.vn@renaultautofrance.com.br;  g7.vn@renaultautofrance.com.br; g10.vn@renaultautofrance.com.br; qualidade@grupoautomotive.com.br; ;  </t>
  </si>
  <si>
    <t>Azzurra France Ayrton Senna</t>
  </si>
  <si>
    <t>sandro.of@azzurranet.com.br;
bruno.vn@azzurranet.com.br;
leandro.pc@azzurranet.com.br</t>
  </si>
  <si>
    <t>lellopepe@azzurranet.com.br; 
pasquale@azzurranet.com.br;
hugo@azzurranet.com.br;
stefano@azzurranet.com.br</t>
  </si>
  <si>
    <t>rafael.vn@azzurranet.com.br</t>
  </si>
  <si>
    <t>julio.of@azzurranet.com.br</t>
  </si>
  <si>
    <t>aline.cqa@azzurranet.com.br;
sabrina.cqa@azzurranet.com.br;
vitoria.cqa@azzurranet.com.br;
jessica.cqa@azzurranet.com.br</t>
  </si>
  <si>
    <t>juliana.rh@azzurranet.com.br;
ana.sac@azzurranet.com.br;
eliene.crm@azzurranet.com.br</t>
  </si>
  <si>
    <t>Azzurra France Duque de Caxias</t>
  </si>
  <si>
    <t>viniciusrcg@azzurranet.com.br</t>
  </si>
  <si>
    <t>eduardo.of@azzurranet.com.br</t>
  </si>
  <si>
    <t>Azzurra France Ilha do Governador PV</t>
  </si>
  <si>
    <t>murilo.vn@azzurranet.com.br</t>
  </si>
  <si>
    <t>supervisao.garantia@azzurranet.com.br</t>
  </si>
  <si>
    <t>Azzurra Ilha do Governador SR</t>
  </si>
  <si>
    <t>rafaelmoreno.vn@azzurranet.com.br</t>
  </si>
  <si>
    <t>jardel.of@azzurranet.com.br</t>
  </si>
  <si>
    <t>Dijon Divinópolis</t>
  </si>
  <si>
    <t>felippe.mota@renaultdijon.com.br; aloisio@renaultdijon.com.br</t>
  </si>
  <si>
    <t>gvendas@renaultdijon.com.br; gvendasdiv@renaultdijon.com.br</t>
  </si>
  <si>
    <t>aloisio@renaultdijon.com.br; gpvdiv@renaultdijon.com.br</t>
  </si>
  <si>
    <t>jacqueline.nunes@nissannagai.com.br; admindijondiv@renaultdijon.com.br</t>
  </si>
  <si>
    <t>Dijon Juiz de Fora</t>
  </si>
  <si>
    <t>gvendas@renaultdijon.com.br; fabio.luiz@renaultdijon.com.br</t>
  </si>
  <si>
    <t>aloisio@renaultdijon.com.br; gpv@renaultdijon.com.br</t>
  </si>
  <si>
    <t>jocemara@renaultdijon.com.br; julianade.almeida@renaultdijon.com.br</t>
  </si>
  <si>
    <t>Dijon Uba</t>
  </si>
  <si>
    <t>gvendas@renaultdijon.com.br; vendasuba@renaultdijon.com.br</t>
  </si>
  <si>
    <t>jocemara@renaultdijon.com.br; assistenteuba@renaultdijon.com.br</t>
  </si>
  <si>
    <t>Nasa Anapolis</t>
  </si>
  <si>
    <t>breno@gruponasa.com.br</t>
  </si>
  <si>
    <t>celio.junior@gruponasa.com.br;</t>
  </si>
  <si>
    <t>thayrine.pereira@gruponasa.com.br;</t>
  </si>
  <si>
    <t>gabryelle.rodrigues@gruponasa.com.br</t>
  </si>
  <si>
    <t>Orvel Cachoeiro do Itapemirim</t>
  </si>
  <si>
    <t>wagner.orletti@grupoorletti.com.br;willian.orletti@grupoorletti.com.br;</t>
  </si>
  <si>
    <t>andre.bessi@orvelrenault.com.br</t>
  </si>
  <si>
    <t xml:space="preserve"> huewerton.braganca@grupoorletti.com.br</t>
  </si>
  <si>
    <t>; max.erikson@orvelrenault.com.br; joao.rodrigues@grupoorletti.com.br; max.erikson@orvelrenault.com.br; sabrina.borges@orvelrenault.com.br; bruno.fortes@orvelrenault.com.br; ;  ; hudson.junior@orvelrenault.com.br;</t>
  </si>
  <si>
    <t>Orvel Guarapari</t>
  </si>
  <si>
    <t>max.erikson@orvelrenault.com.br</t>
  </si>
  <si>
    <t>;  joao.rodrigues@grupoorletti.com.br; max.erikson@orvelrenault.com.br; sabrina.borges@orvelrenault.com.br; bruno.fortes@orvelrenault.com.br; ;  ; hudson.junior@orvelrenault.com.br; taendri.cardozo@orvelrenault.com.br</t>
  </si>
  <si>
    <t>Orvel Linhares</t>
  </si>
  <si>
    <t>;wagner.orletti@grupoorletti.com.br;wagner.orletti@grupoorletti.com.br</t>
  </si>
  <si>
    <t>antonio.rosa@orvelrenault.com.br</t>
  </si>
  <si>
    <t>sabrina.borges@orvelrenault.com.br;  huewerton.braganca@grupoorletti.com.br</t>
  </si>
  <si>
    <t>; joao.rodrigues@grupoorletti.com.br; max.erikson@orvelrenault.com.br;  sabrina.borges@orvelrenault.com.br; bruno.fortes@orvelrenault.com.br; ;  ; hudson.junior@orvelrenault.com.br; taendri.cardozo@orvelrenault.com.br</t>
  </si>
  <si>
    <t>Orvel Serra</t>
  </si>
  <si>
    <t>francisco.junior@orvelrenault.com.br</t>
  </si>
  <si>
    <t>; alexandre.barroso@orvelrenault.com.br; joao.rodrigues@grupoorletti.com.br; max.erikson@orvelrenault.com.br;  sabrina.borges@orvelrenault.com.br; bruno.fortes@orvelrenault.com.br; ;  ; hudson.junior@orvelrenault.com.br; taendri.cardozo@orvelrenault.com.br</t>
  </si>
  <si>
    <t>Orvel Vila Velha</t>
  </si>
  <si>
    <t>hudson.junior@orvelrenault.com.br</t>
  </si>
  <si>
    <t>;joao.rodrigues@grupoorletti.com.br; max.erikson@orvelrenault.com.br;  sabrina.borges@orvelrenault.com.br; bruno.fortes@orvelrenault.com.br; ;  ; hudson.junior@orvelrenault.com.br; taendri.cardozo@orvelrenault.com.br</t>
  </si>
  <si>
    <t>Orvel Vitória</t>
  </si>
  <si>
    <t>;wagner.orletti@grupoorletti.com.br;</t>
  </si>
  <si>
    <t>sabrina.borges@orvelrenault.com.br</t>
  </si>
  <si>
    <t>; joao.rodrigues@grupoorletti.com.br; max.erikson@orvelrenault.com.br; sabrina.borges@orvelrenault.com.br; bruno.fortes@orvelrenault.com.br; ;  ; hudson.junior@orvelrenault.com.br; taendri.cardozo@orvelrenault.com.br</t>
  </si>
  <si>
    <t>Premier Brasilia SIA Sul</t>
  </si>
  <si>
    <t>leandro@premierveiculos.com.br;</t>
  </si>
  <si>
    <t xml:space="preserve"> ; daiane.silva@premierveiculos.com.br; edmilson.lourenco@grupopremierveiculos.com.br</t>
  </si>
  <si>
    <t>marcos.milanez@grupopremierveiculos.com.br; fernando.barros@premierveiculos.com.br</t>
  </si>
  <si>
    <t>naiane.ramos@grupopremierveiculos.com.br; fernanda.morais@grupopremierveiculos.com.br</t>
  </si>
  <si>
    <t>naiane.ramos@grupopremierveiculos.com.br; daiane.silva@premierveiculos.com.br; ronaldo@premierveiculos.com.br; alex@premierveiculos.com.br</t>
  </si>
  <si>
    <t>BR France Colorado</t>
  </si>
  <si>
    <t xml:space="preserve">ericson.silva@grupojorlan.com.br; </t>
  </si>
  <si>
    <t>luis.fernando@jorlan.com;landin.jr@jorlan.com;</t>
  </si>
  <si>
    <t>ana.louzeiro@grupojorlan.com.br</t>
  </si>
  <si>
    <t>BR France Gama</t>
  </si>
  <si>
    <t>ericson.silva@grupojorlan.com.br</t>
  </si>
  <si>
    <t>marcos.andre@brfrance.com.br</t>
  </si>
  <si>
    <t>raphael.farias@grupojorlan.com.br</t>
  </si>
  <si>
    <t>BR France Taguatinga</t>
  </si>
  <si>
    <t>landin.jr@jorlan.com;</t>
  </si>
  <si>
    <t>marcos.medeiros@brfrance.com.br; juliano.faria@brfrance.com.br</t>
  </si>
  <si>
    <t xml:space="preserve">fabio.ferreira@brfrance.com.br; </t>
  </si>
  <si>
    <t>Carmo Montes Claros</t>
  </si>
  <si>
    <t>sione@carmoveiculos.com.br; timcarmo@terra.com.br;sandramcarmo@terra.com.br;secarmo@uol.com.br;</t>
  </si>
  <si>
    <t>posvendasmoc@carmoveiculos.com.br</t>
  </si>
  <si>
    <t>crm.moc@carmoveiculos.com.br</t>
  </si>
  <si>
    <t>moc@carmoveiculos.com.br; crm@carmoveiculos.com.br; crm.vendas@carmoveiculos.com.br; gerenciamoc@carmoveiculos.com.br;</t>
  </si>
  <si>
    <t>Carmo Veiculos Sete Lagoas</t>
  </si>
  <si>
    <t>sione@carmoveiculos.com.br; timcarmo@terra.com.br;</t>
  </si>
  <si>
    <t>posvendas@carmoveiculos.com.br</t>
  </si>
  <si>
    <t>crm@carmoveiculos.com.br;</t>
  </si>
  <si>
    <t>Cotech@carmoveiculos.com.br; ivan@carmoveiculos.com.br; crm.vendas@carmoveiculos.com.br; gerenciamoc@carmoveiculos.com.br;</t>
  </si>
  <si>
    <t>Minas France Barão</t>
  </si>
  <si>
    <t>landin.jr@jorlan.com;luis.fernando@jorlan.com;joao.filipe@minasfrance.com.br</t>
  </si>
  <si>
    <t>cristina.rezende@minasfrance.com.br</t>
  </si>
  <si>
    <t xml:space="preserve">renato.freitas@minasfrance.com.br; </t>
  </si>
  <si>
    <t xml:space="preserve">cleusiane.santos@minasfrance.com.br; raissa.rezende@grupojorlan.com.br; </t>
  </si>
  <si>
    <t>; nayara.ferreira@minasfrance.com.br</t>
  </si>
  <si>
    <t>Minas France Pampulha</t>
  </si>
  <si>
    <t>joao.filipe@minasfrance.com.br;</t>
  </si>
  <si>
    <t>landin.jr@jorlan.com;luis.fernando@jorlan.com;</t>
  </si>
  <si>
    <t>renata.canhestro@minasfrance.com.br</t>
  </si>
  <si>
    <t>;nayara.ferreira@minasfrance.com.br</t>
  </si>
  <si>
    <t>Minas France Savassi</t>
  </si>
  <si>
    <t>cacio.santos@minasfrance.com.br; nayara.ferreira@minasfrance.com.br</t>
  </si>
  <si>
    <t>Besouro Petropolis</t>
  </si>
  <si>
    <t>posvendas@besourorenault.com.br;luizalbuquerque@besouro.com.br;luizdrumond@besouro.com.br</t>
  </si>
  <si>
    <t>luizalbuquerque@besouro.com.br;luizdrumond@besouro.com.br;lucasdrumond@besouro.com.br</t>
  </si>
  <si>
    <t>posvendas@besourorenault.com.br</t>
  </si>
  <si>
    <t>qualidade@besourorenault.com.br;kaizenrio@besourorenault.com.br;kaizen2@besourorenault.com.br</t>
  </si>
  <si>
    <t>oficina2.1054@besourorenault.com.br</t>
  </si>
  <si>
    <t>Besouro Teresopolis</t>
  </si>
  <si>
    <t>qualidade@besourorenault.com.br; kaizenrio@besourorenault.com.br;kaizen2@besourorenault.com.br</t>
  </si>
  <si>
    <t>Dinisa Oceanica</t>
  </si>
  <si>
    <t>nilson.bernardo@dinisa.com.br;gustavo.rodrigues@dinisa.com.br</t>
  </si>
  <si>
    <t>;gustavo.rodrigues@dinisa.com.br;mteresa@dinisa.com.br;</t>
  </si>
  <si>
    <t>anderson.mendonca@dinisa.com.br</t>
  </si>
  <si>
    <t xml:space="preserve">nagib.duarte@dinisa.com.br;; lorenna.mororo@dinisa.com.br </t>
  </si>
  <si>
    <t>Dinisa Sao Goncalo PRO+</t>
  </si>
  <si>
    <t>marcelle.oliveira@dinisa.com.br</t>
  </si>
  <si>
    <t xml:space="preserve">anderson.mendonca@dinisa.com.br; vanessa.montenegro@dinisa.com.br </t>
  </si>
  <si>
    <t>Rio Sena Barra Mansa</t>
  </si>
  <si>
    <t>gestorcrm@renaultriosena.com.br</t>
  </si>
  <si>
    <t>raoni.salomao@renaultriosena.com.br;fernando.salomao@renaultriosena.com.br;</t>
  </si>
  <si>
    <t>gestorposvendas@renaultriosena.com.br</t>
  </si>
  <si>
    <t>cotech@renaultriosena.com.br; anaclaudia@renaultriosena.com.br; atacadopecas@renaultriosena.com.br</t>
  </si>
  <si>
    <t>Roma France Nova Iguaçu</t>
  </si>
  <si>
    <t xml:space="preserve">ericsonmiranda@romagroup.com.br; </t>
  </si>
  <si>
    <t>mvinicius@romagroup.com.br</t>
  </si>
  <si>
    <t>flavianearaujo@romagroup.com.br</t>
  </si>
  <si>
    <t>larissacosta@romagroup.com.br; luciodemenezes@romagroup.com.br</t>
  </si>
  <si>
    <t xml:space="preserve">fernandaalves@romagroup.com.br; </t>
  </si>
  <si>
    <t>edgardcarvalho@romagroup.com.br; estefanealves@romagroup.com.br; joaoricardo@romagroup.com.br</t>
  </si>
  <si>
    <t>Roma France Recreio</t>
  </si>
  <si>
    <t>hugoaraujo@romagroup.com.br</t>
  </si>
  <si>
    <t>elipaula@romagroup.com.br</t>
  </si>
  <si>
    <t>fernandaalves@romagroup.com.br; larissacosta@romagroup.com.br</t>
  </si>
  <si>
    <t>Roma Contagem</t>
  </si>
  <si>
    <t>ericsonmiranda@romagroup.com.br</t>
  </si>
  <si>
    <t>mvinicius@romagroup.com.br;marcoteixeira@romagroup.com.br;marcotullio@romagroup.com.br;</t>
  </si>
  <si>
    <t>paulopereira@romagroup.com.br</t>
  </si>
  <si>
    <t>laisbrasil@romagroup.com.br; brennoferreira@romagroup.com.br</t>
  </si>
  <si>
    <t>nayaraalmeida@romagroup.com.br</t>
  </si>
  <si>
    <t>;;thiagomarcolino@romagroup.com.br;danielebarros@romagroup.com.br; gabrielleferreira@romagroup.com.br; ; rodrigocoelho@romagroup.com.br; estefanealves@romagroup.com.br; layenepiuco@romagroup.com.br; joaoricardo@romagroup.com.br</t>
  </si>
  <si>
    <t>Roma Norte</t>
  </si>
  <si>
    <t>; neideazevedo@romagroup.com.br; ericsonmiranda@romagroup.com.br; piterpassos@romagroup.com.br</t>
  </si>
  <si>
    <t>estefanealves@romagroup.com.br;danielebarros@romagroup.com.br; gabrielleferreira@romagroup.com.br; ; tatianeassis@romagroup.com.br; gabrielaalmeida@romagroup.com.br; layenepiuco@romagroup.com.br; joaoricardo@romagroup.com.br</t>
  </si>
  <si>
    <t>Urca France Itumbiara</t>
  </si>
  <si>
    <t>;leandro@suecia.com.br; luciano.tizzo@grupourca.com.br</t>
  </si>
  <si>
    <t>pedro.leite@grupourca.com.br; patricia.ferreira@grupourca.com.br</t>
  </si>
  <si>
    <t xml:space="preserve">qualidade.renault@grupourca.com.br; </t>
  </si>
  <si>
    <t>wesley.santos@grupourca.com.br; adailton.soares@grupourca.com.br</t>
  </si>
  <si>
    <t>Urca France Uberaba</t>
  </si>
  <si>
    <t>cristiano.sousa@grupourca.com.br</t>
  </si>
  <si>
    <t>pedro.leite@grupourca.com.br</t>
  </si>
  <si>
    <t>qualidade.renault@grupourca.com.br; adailton.soares@grupourca.com.br;  ramon.guimaraes@grupourca.com.br</t>
  </si>
  <si>
    <t>adailton.soares@grupourca.com.br</t>
  </si>
  <si>
    <t>Urca France Uberlândia</t>
  </si>
  <si>
    <t>janderson.ferreira@grupourca.com.br</t>
  </si>
  <si>
    <t>pedro.leite@grupourca.com.br; hueder.marquete@grupourca.com.br</t>
  </si>
  <si>
    <t>qualidade.renault@grupourca.com.br; adailton.soares@grupourca.com.br</t>
  </si>
  <si>
    <t>Via Automoveis Unai</t>
  </si>
  <si>
    <t>jaqueline.vieira@grupoprimavia.com.br; rodrigo.rocha@primavia.com.br</t>
  </si>
  <si>
    <t>;elza@primavia.com.br;</t>
  </si>
  <si>
    <t>marco.aurelio@vianissan.com.br</t>
  </si>
  <si>
    <t>chrysney.tathiana@primavia.com.br</t>
  </si>
  <si>
    <t>daniela.carreira@primavia.com.br</t>
  </si>
  <si>
    <t>Via Mondo Pocos de Caldas</t>
  </si>
  <si>
    <t>robson.santana@viamondo.com.br;</t>
  </si>
  <si>
    <t>airton@pneussantahelena.com.br;paulocesar@paautomoveis.com.br;</t>
  </si>
  <si>
    <t>gerenteposvd.pc@viamondorenault.com.br; supervisorvendas.pc@viamondorenault.com.br</t>
  </si>
  <si>
    <t>gerenteposvd.pc@viamondorenault.com.br; qualidade.pc@viamondo.com.br</t>
  </si>
  <si>
    <t>qualidade.vg@viamondo.com.br; carlos.andrade@viamondo.com.br; garantista.pc@viamondorenault.com.br; pesquisa.pa1@viamondo.com.br</t>
  </si>
  <si>
    <t>cotech.pc@viamondorenault.com.br; lidercrm.pv@viamondo.com.br</t>
  </si>
  <si>
    <t>Via Mondo Pouso Alegre</t>
  </si>
  <si>
    <t>gerentevendas.pa@viamondorenault.com.br</t>
  </si>
  <si>
    <t>gerenteposvd.pa@viamondorenault.com.br</t>
  </si>
  <si>
    <t>qualidade.pa@viamondorenault.com.br; qualidade.vg@viamondo.com.br; carlos.andrade@viamondo.com.br; pesquisa.pa1@viamondo.com.br</t>
  </si>
  <si>
    <t>cotech.pa@viamondorenault.com.br; lidercrm.pv@viamondo.com.br; analistaadm.pa@viamondorenault.com.br</t>
  </si>
  <si>
    <t>Via Mondo Varginha</t>
  </si>
  <si>
    <t>gerenteposvd.vg@viamondorenault.com.br; gerentevendas.vg@viamondorenault.com.br; garantista.pc@viamondorenault.com.br</t>
  </si>
  <si>
    <t>gerenteposvd.vg@viamondorenault.com.br</t>
  </si>
  <si>
    <t>qualidade.vg@viamondo.com.br; carlos.andrade@viamondo.com.br; pesquisa.pa1@viamondo.com.br; qualidade.vg@viamondo.com.br</t>
  </si>
  <si>
    <t>cotechvga@viamondorenault.com.br; supervisorposvd.vg@viamondo.com.br; lidercrm.pv@viamondo.com.br</t>
  </si>
  <si>
    <t>Eurovia Lauro de Freitas</t>
  </si>
  <si>
    <t>;pedro.lins@eurovia.com.br;</t>
  </si>
  <si>
    <t>fernando.figueiredo@viasul.com.br;pj@viasul.com.br;</t>
  </si>
  <si>
    <t>pedro.santos@eurovia.com.br; fabio.maraux@eurovia.com.br</t>
  </si>
  <si>
    <t>fabio.maraux@eurovia.com.br; alisson.araujo@grupovia1.com.br</t>
  </si>
  <si>
    <t>bianca.sodre@grupovia1.com.br;Joana.ramos@eurovia.com.br ; alana.andrade@eurovia.com.br</t>
  </si>
  <si>
    <t xml:space="preserve">gardenia.souza@eurovianissan.com.br; pedro.santos@eurovia.com.br; </t>
  </si>
  <si>
    <t>Eurovia Salvador</t>
  </si>
  <si>
    <t>rafael.teixeira@eurovia.com.br; fabio.maraux@eurovia.com.br</t>
  </si>
  <si>
    <t>fabio.maraux@eurovia.com.br; flavia.tavares@eurovia.com.br; alisson.araujo@grupovia1.com.br</t>
  </si>
  <si>
    <t>gardenia.souza@eurovianissan.com.br; luciano.jesus@eurovia.com.br; hugo.santos@eurovia.com.br; claudio.bahia@eurovia.com.br</t>
  </si>
  <si>
    <t>Marselha Santo Antonio de Jesus</t>
  </si>
  <si>
    <t>;marcello@grupoindiana.com.br;marcello@grupoindiana.com.br</t>
  </si>
  <si>
    <t>lalberto@grupoindiana.com.br</t>
  </si>
  <si>
    <t>Supoficina@marselhaveiculos.com.br; ; ; millenajesus@MARSELHAVEICULOS.COM.BR; supvendas@marselhaveiculos.com.br</t>
  </si>
  <si>
    <t>Nova Bahia</t>
  </si>
  <si>
    <t>;adrianacoelho@novabahiaveiculos.com.br</t>
  </si>
  <si>
    <t>nilo@sanave.com;</t>
  </si>
  <si>
    <t>glaucia.matos@novabahiaveiculos.com.br</t>
  </si>
  <si>
    <t>murilodantas@novabahiaveiculos.com.br</t>
  </si>
  <si>
    <t>carlos.santos@novabahiaveiculos.com.br;kaizen@novabahiaveiculos.com.br</t>
  </si>
  <si>
    <t>Rodaleve Jequie</t>
  </si>
  <si>
    <t>;neto@rodaleveveiculos.com.br;neto@rodaleveveiculos.com.br</t>
  </si>
  <si>
    <t>neto@rodaleveveiculos.com.br;silvanatorres@rodaleve.com.br;</t>
  </si>
  <si>
    <t>gpvr@rodaleveveiculos.com.br</t>
  </si>
  <si>
    <t>aud.interno@rodaleveveiculos.com.br</t>
  </si>
  <si>
    <t>Rodaleve Veiculos Vitoria da Conquista</t>
  </si>
  <si>
    <t>cotech2.renault@rodaleveveiculos.com.br;neto@rodaleveveiculos.com.br;neto@rodaleveveiculos.com.br</t>
  </si>
  <si>
    <t>Rubi Eunapolis</t>
  </si>
  <si>
    <t>;rubens.perina@grupoitadil.com.br;</t>
  </si>
  <si>
    <t>diretoria@grupoitadil.com.br;skbinow@gmail.com;</t>
  </si>
  <si>
    <t>supervisorposvendas.rubi@grupoitadil.com.br</t>
  </si>
  <si>
    <t>qualidaderubi.eun@grupoitadil.com.br</t>
  </si>
  <si>
    <t>cotech.rubi@grupoitadil.com.br</t>
  </si>
  <si>
    <t>Rubi Itabuna</t>
  </si>
  <si>
    <t>;rubens.perina@grupoitadil.com.br;henrique@grupoitadil.com.br</t>
  </si>
  <si>
    <t>posvendas.rubi@grupoitadil.com.br</t>
  </si>
  <si>
    <t xml:space="preserve">roberta.rubi@grupoitadil.com.br </t>
  </si>
  <si>
    <t>marcosoliveira@grupoitadil.com.br</t>
  </si>
  <si>
    <t>Brune Salvador</t>
  </si>
  <si>
    <t>douglas@mcgestao.com.br;mozinho@morenaveiculos.com.br;</t>
  </si>
  <si>
    <t>mozinho@morenaveiculos.com.br;pimenta@grupomc-ba.com.br;myllene@mcgestao.com.br</t>
  </si>
  <si>
    <t>deivid.menezes@brune.com.br</t>
  </si>
  <si>
    <t>lane.araujo@mcgestao.com.br; atendimentoaocliente@brune.com.br; atendimentoaocliente2@brune.com.br; Atendimentoaocliente1@Brune.com.br</t>
  </si>
  <si>
    <t>cicero.jesus@brune.com.br</t>
  </si>
  <si>
    <t>Jubiaba Feira de Santana</t>
  </si>
  <si>
    <t>;mozinho@morenaveiculos.com.br;</t>
  </si>
  <si>
    <t>mozinho@morenaveiculos.com.br;pimenta@grupomc-ba.com.br;myllene@morenaveiculos.com.br;</t>
  </si>
  <si>
    <t>lane.araujo@mcgestao.com.br</t>
  </si>
  <si>
    <t>cotech@jubiabaeuro.com.br; atendimentoaocliente1@jubiabaeuro.com.br</t>
  </si>
  <si>
    <t>Renovel Aracaju Jardins</t>
  </si>
  <si>
    <t>angelicagarcez@gruporollemberg.com</t>
  </si>
  <si>
    <t>francisco@gruporollemberg.com;antonio@gruporollemberg.com;heraclito@gruporollemberg.com;</t>
  </si>
  <si>
    <t>marlon@gruporollemberg.com</t>
  </si>
  <si>
    <t>kaizen@gruporollemberg.com; qualidade@renovel.com.br</t>
  </si>
  <si>
    <t>valdison@renovel.com.br; ; ; fabio.vilasboas@gruporollemberg.com; viviane@renovel.com.br</t>
  </si>
  <si>
    <t>Alliance Araguaina</t>
  </si>
  <si>
    <t>cesar.lima@jeepviamotors.com.br; jose.furlan@renaultalliance.com.br;</t>
  </si>
  <si>
    <t>nayra@renaultalliance.com.br</t>
  </si>
  <si>
    <t>Alliance Palmas</t>
  </si>
  <si>
    <t>bruno.abreu@renaultalliance.com.br</t>
  </si>
  <si>
    <t>Saga Lemans Porto Velho</t>
  </si>
  <si>
    <t>jeferson.costa@gruposaga.com.br</t>
  </si>
  <si>
    <t>sergio.maia@gruposaga.com.br;evandro.maia@gruposaga.com.br;</t>
  </si>
  <si>
    <t xml:space="preserve">hatus.helmuth@gruposaga.com.br; </t>
  </si>
  <si>
    <t>qualidaderenaultpvh@gruposaga.com.br</t>
  </si>
  <si>
    <t>rosiane.msilva@gruposaga.com.br; everson.lsantos@gruposaga.com.br; flaviano.scastro@gruposaga.com.br;</t>
  </si>
  <si>
    <t>Eurovia Afogados</t>
  </si>
  <si>
    <t>fernando.figueiredo@viasul.com.br;pj@viasul.com.br;vania@viasul.com.br;</t>
  </si>
  <si>
    <t>edgar.neto@eurovia.com.br; igor.vaz@eurovia.com.br;</t>
  </si>
  <si>
    <t>igor.vaz@eurovia.com.br; flavia.tavares@eurovia.com.br</t>
  </si>
  <si>
    <t>Joana.ramos@eurovia.com.br;; ; silvia.santana@eurovia.com.br</t>
  </si>
  <si>
    <t xml:space="preserve">carlos.filho@eurovia.com.br; pedro.xavier@eurovia.com.br; ednita.pinto@eurovia.com.br;  </t>
  </si>
  <si>
    <t>Eurovia Imbiribeira</t>
  </si>
  <si>
    <t>hugo.santos@eurovia.com.br; alexandre.nunes@eurovia.com.br; edgar.neto@eurovia.com.br</t>
  </si>
  <si>
    <t>alexandre.nunes@eurovia.com.br; flavia.tavares@eurovia.com.br; alexandre.nunes@eurovia.com.br</t>
  </si>
  <si>
    <t xml:space="preserve">jarbas.souza@eurovia.com.br; pedro.xavier@eurovia.com.br; ednita.pinto@eurovia.com.br;  </t>
  </si>
  <si>
    <t>Eurovia Olinda</t>
  </si>
  <si>
    <t xml:space="preserve">edgar.neto@eurovia.com.br; </t>
  </si>
  <si>
    <t xml:space="preserve">flavia.tavares@eurovia.com.br; </t>
  </si>
  <si>
    <t>Joana.ramos@eurovia.com.br; silvia.santana@eurovia.com.br</t>
  </si>
  <si>
    <t>Eurovia Piedade</t>
  </si>
  <si>
    <t>pedro.lins@eurovia.com.br; paulo.junior@viasul.com.br</t>
  </si>
  <si>
    <t>fernando.figueiredo@viasul.com.br; paulo.junior@viasul.com.br;</t>
  </si>
  <si>
    <t>pedro.xavier@eurovia.com.br;</t>
  </si>
  <si>
    <t>flavia.tavares@eurovia.com.br</t>
  </si>
  <si>
    <t>pedro.xavier@eurovia.com.br; ednita.pinto@eurovia.com.br</t>
  </si>
  <si>
    <t>Eurovia Cabedelo RM + SR</t>
  </si>
  <si>
    <t>fernando.figueiredo@viasul.com.br</t>
  </si>
  <si>
    <t>alisson.araujo@grupovia1.com.br; artur.sousa@eurovia.com.br</t>
  </si>
  <si>
    <t>luiza.madruga@eurovia.com.br; joana.ramos@eurovia.com.br</t>
  </si>
  <si>
    <t xml:space="preserve">Eurovia João Pessoa </t>
  </si>
  <si>
    <t>Eurovia João Pessoa Pós Venda</t>
  </si>
  <si>
    <t>JPN Campina Grande</t>
  </si>
  <si>
    <t>diretoria@suapemotos.com.br;diretoria@suapemotos.com.br;</t>
  </si>
  <si>
    <t xml:space="preserve">eduardo.jonas@jpnrenault.com.br; </t>
  </si>
  <si>
    <t>eduardo.jonas@jpnrenault.com.br</t>
  </si>
  <si>
    <t>gilmara@jpnrenault.com.br</t>
  </si>
  <si>
    <t>cotech@jpnrenault.com.br</t>
  </si>
  <si>
    <t>JPN Garanhuns</t>
  </si>
  <si>
    <t>diretoria@suapemotos.com.br</t>
  </si>
  <si>
    <t xml:space="preserve">jonathas.policarpo@jpnrenault.com.br; </t>
  </si>
  <si>
    <t>posvendas@jpngaranhuns.com.br</t>
  </si>
  <si>
    <t>caixafilial@jpnrenault.com.br; gilmara@jpnrenault.com.br</t>
  </si>
  <si>
    <t>Via Leste Patos</t>
  </si>
  <si>
    <t xml:space="preserve">renildogandrade1@hotmail.com; sanderson@vialestepatos.com.br </t>
  </si>
  <si>
    <t>diretor@vialestepatos.com.br;eridan.qf@hotmail.com;</t>
  </si>
  <si>
    <t>vendas.renault@vialestepatos.com.br</t>
  </si>
  <si>
    <t>posvendas.renault@vialestepatos.com.br</t>
  </si>
  <si>
    <t>melrison.renault@vialestepatos.com.br; rariane@vialestepatos.com.br; juliana@vialestepatos.com.br</t>
  </si>
  <si>
    <t>jeffersonrenault123@gmail.com</t>
  </si>
  <si>
    <t>Vivant Carpina</t>
  </si>
  <si>
    <t>josejunior@autobelo.com.br; josejunior@renaultvivant.com.br</t>
  </si>
  <si>
    <t>diego@autobelo.com.br;</t>
  </si>
  <si>
    <t>oficina@renaultvivant.com.br; danilo.lins@renaultvivant.com.br</t>
  </si>
  <si>
    <t>oficina@renaultvivant.com.br</t>
  </si>
  <si>
    <t>Autovia Veiculos Petrolina</t>
  </si>
  <si>
    <t>rubens.perina@grupoitadil.com.br</t>
  </si>
  <si>
    <t>gervendas@autoviarenault.com.br</t>
  </si>
  <si>
    <t>gerposvendas@autoviarenault.com.br</t>
  </si>
  <si>
    <t>cotech@autoviarenault.com.br</t>
  </si>
  <si>
    <t>Gamboa Mossoro</t>
  </si>
  <si>
    <t>cotech.servicos@renaultgamboa.com.br;;</t>
  </si>
  <si>
    <t>wilsonjr1500@hotmail.com;</t>
  </si>
  <si>
    <t>gerencia@renaultgamboa.com.br; supervisordevendas@renaultgamboa.com.br</t>
  </si>
  <si>
    <t>gerencia@renaultgamboa.com.br</t>
  </si>
  <si>
    <t>cotech.servicos@renaultgamboa.com.br</t>
  </si>
  <si>
    <t>La France Senhor do Bonfim</t>
  </si>
  <si>
    <t>posvenda@lafranceveiculos.com.br;gerencia@lafranceveiculos.com.br;gerencia@lafranceveiculos.com.br</t>
  </si>
  <si>
    <t>gerencia@lafranceveiculos.com.br;helio@cavepefiat.com.br;</t>
  </si>
  <si>
    <t>sup.vendas@lafranceveiculos.com.br</t>
  </si>
  <si>
    <t>posvenda@lafranceveiculos.com.br</t>
  </si>
  <si>
    <t>Redenção Natal</t>
  </si>
  <si>
    <t>;moacir@redencao.com.br;henrique@redencao.com.br</t>
  </si>
  <si>
    <t>moacir@redencao.com.br;joacir@redencao.com.br;henrique@redencao.com.br;</t>
  </si>
  <si>
    <t>aline.pessoa@redencao.com.br</t>
  </si>
  <si>
    <t>henrique.soares@redencao.com.br</t>
  </si>
  <si>
    <t>steeffany.ingryd@redencao.com.br; iara.marques@redencao.com.br</t>
  </si>
  <si>
    <t>henrique.soares@redencao.com.br; steeffany.ingryd@redencao.com.br</t>
  </si>
  <si>
    <t>Redenção Natal RM</t>
  </si>
  <si>
    <t>leoncio.queiroz@redencaorenault.com.br</t>
  </si>
  <si>
    <t>steeffany.ingryd@redencaorenault.com.br</t>
  </si>
  <si>
    <t>cotech@redencaorenault.com.br; henrique.soares@redencao.com.br; steeffany.ingryd@redencao.com.br</t>
  </si>
  <si>
    <t>Regence Recife Caxanga RM + SN</t>
  </si>
  <si>
    <t>bruno.tude@adtsa.com.br;francisco.tude@adtsa.com.br; bruno.filho@adtsa.com.br</t>
  </si>
  <si>
    <t>joel.barbosa@adtsa.com.br</t>
  </si>
  <si>
    <t>gilberto.neto@adtsa.com.br; ; lia.militao@adtsa.com.br; liliane.costa@adtsa.com.br</t>
  </si>
  <si>
    <t>; gilberto.neto@adtsa.com.br</t>
  </si>
  <si>
    <t>Regence Veiculos Caruaru</t>
  </si>
  <si>
    <t>rosana.pontes@adtsa.com.br</t>
  </si>
  <si>
    <t xml:space="preserve">luenio.herculino@adtsa.com.br; joel.barbosa@adtsa.com.br; </t>
  </si>
  <si>
    <t>Regence Veiculos Caxanga</t>
  </si>
  <si>
    <t>robson.barbosa@adtsa.com.br</t>
  </si>
  <si>
    <t xml:space="preserve">joel.barbosa@adtsa.com.br; </t>
  </si>
  <si>
    <t>Regence Veiculos Encruzilhada</t>
  </si>
  <si>
    <t>eudes.santos@adtsa.com.br; joel.barbosa@adtsa.com.br</t>
  </si>
  <si>
    <t>Jangada Fortaleza</t>
  </si>
  <si>
    <t>rodrigo@carmais.com.br;</t>
  </si>
  <si>
    <t>danilo.queiroz@carmais.com.br; adrianoventura@carmais.com.br ; dea.pena@carmais.com.br</t>
  </si>
  <si>
    <t>antonio.rodrigues@carmais.com.br</t>
  </si>
  <si>
    <t>dea.pena@carmais.com.br</t>
  </si>
  <si>
    <t xml:space="preserve">ana.carneiro@carmais.com.br; jonathas.santos@carmais.com.br; barbara.nogueira@carmais.com.br; fcoventura@carmais.com.br </t>
  </si>
  <si>
    <t>Nord Sobral</t>
  </si>
  <si>
    <t>antoniowalber@grupohws.com.br</t>
  </si>
  <si>
    <t>diretoria@fortmotos.com.br</t>
  </si>
  <si>
    <t>nayana@nordveiculos.com.br</t>
  </si>
  <si>
    <t>alcinei@nordveiculos.com.br</t>
  </si>
  <si>
    <t>roberjaniapinheiro@fortnissan.com.br</t>
  </si>
  <si>
    <t>Regence Fortaleza</t>
  </si>
  <si>
    <t>bruno.tude@adtsa.com.br; bruno.filho@adtsa.com.br</t>
  </si>
  <si>
    <t>santiago.silva@adtsa.com.br; bruno.lima@adtsa.com.br; natanael.rodrigues@adtsa.com.br</t>
  </si>
  <si>
    <t>lia.militao@adtsa.com.br; ; liliane.costa@adtsa.com.br</t>
  </si>
  <si>
    <t>dalzineide.silva@adtsa.com.br; joel.barbosa@adtsa.com.br; joelton.tavares@adtsa.com.br</t>
  </si>
  <si>
    <t xml:space="preserve">francisco.gleiston@adtsa.com.br; santiago.silva@adtsa.com.br; jose.mendonca@adtsa.com.br;liliane.costa@adtsa.com.br ; </t>
  </si>
  <si>
    <t>Regence Fortaleza RM + SR</t>
  </si>
  <si>
    <t>Terra Santa Juazeiro</t>
  </si>
  <si>
    <t>;marcelo@grupolinhares.com.br;</t>
  </si>
  <si>
    <t>carmen@grupolinhares.com.br;fernando@grupolinhares.com.br;</t>
  </si>
  <si>
    <t>allan.araujo@terrasantarenault.com.br</t>
  </si>
  <si>
    <t xml:space="preserve">fran.arimateia@terrasantahmb.com.br; </t>
  </si>
  <si>
    <t>cotech@terrasantarenault.com.br; thiago.bezerra@grupolinhares.com.br; ; cicera.valdenia@grupolinhares.com.br</t>
  </si>
  <si>
    <t>Via Paris Bairro dos Noivos</t>
  </si>
  <si>
    <t xml:space="preserve">ericoveiga@viaparisnet.com.br </t>
  </si>
  <si>
    <t>fernandomenezes@viaparisnet.com.br</t>
  </si>
  <si>
    <t xml:space="preserve">axena@viaparisnet.com.br </t>
  </si>
  <si>
    <t xml:space="preserve">valcy@viaparisnet.com.br </t>
  </si>
  <si>
    <t>theresahilda@viaparisnet.com.br</t>
  </si>
  <si>
    <t>Via Paris Miguel Rosa RM+SR</t>
  </si>
  <si>
    <t xml:space="preserve">joaosilveira@viaparisnet.com.br </t>
  </si>
  <si>
    <t>Via Paris Parnaiba</t>
  </si>
  <si>
    <t xml:space="preserve">myllenathays@viaparisnet.com.br </t>
  </si>
  <si>
    <t>Gama Veiculos Arapiraca</t>
  </si>
  <si>
    <t>gabriel@gamaautos.com.br;sergio@grupogama.com.br;</t>
  </si>
  <si>
    <t>posvenda@gamaautos.com.br</t>
  </si>
  <si>
    <t>qualidade@renaultgama.com.br</t>
  </si>
  <si>
    <t>oficina@renaultgama.com.br</t>
  </si>
  <si>
    <t>Gama Veiculos Maceio</t>
  </si>
  <si>
    <t>posvenda@renaultgama.com.br</t>
  </si>
  <si>
    <t>posvenda@gamaautos.com.br; posvenda@renaultgama.com.br</t>
  </si>
  <si>
    <t>La Vie Alagoinhas</t>
  </si>
  <si>
    <t>Loreane@grupojcf.com</t>
  </si>
  <si>
    <t>Ana.prm@grupojcf.com.br</t>
  </si>
  <si>
    <t>lilian.prm@grupojcf.com.br</t>
  </si>
  <si>
    <t>Haidee.mvm@grupojcf.com.br</t>
  </si>
  <si>
    <t>La Vie Paulo Afonso</t>
  </si>
  <si>
    <t>Eduardo.prf@grupojcf.com.br</t>
  </si>
  <si>
    <t>Josefa.prf@grupojcf.com.br</t>
  </si>
  <si>
    <t>Dical Cajazeiras</t>
  </si>
  <si>
    <t>supervisor.pv.filial@dicalrenault.com.br;osvaldorui@dicalrenault.com.br;luizamartins@dicalrenault.com.br</t>
  </si>
  <si>
    <t>osvaldorui@dicalfiat.com.br;</t>
  </si>
  <si>
    <t>gerente.matriz@dicalrenault.com.br; supervisor.pv.filial@dicalrenault.com.br</t>
  </si>
  <si>
    <t>supervisor.pv.filial@dicalrenault.com.br</t>
  </si>
  <si>
    <t>qualidade@dicalrenault.com.br</t>
  </si>
  <si>
    <t>cotech.filialcz@dicalrenault.com.br</t>
  </si>
  <si>
    <t>Mazzutti Cacoal</t>
  </si>
  <si>
    <t>diretoria@grupomazzutti.com.br;maristela@grupomazzutti.com.br;</t>
  </si>
  <si>
    <t>; lucas.martins@grupomazzutti.com.br; alexander@grupomazzutti.com.br; alexander@grupomazzutti.com.br</t>
  </si>
  <si>
    <t>qualidade@grupomazzutti.com.br; gerentecomercialre@grupomazzutti.com.br</t>
  </si>
  <si>
    <t>cotechre@grupomazzutti.com.br; pecasre@grupomazzutti.com.br; bryan.magalhaes@grupomazzutti.com.br; vendas1re@grupomazzutti.com.br</t>
  </si>
  <si>
    <t>Mazzutti Vilhena</t>
  </si>
  <si>
    <t>lucas.martins@grupomazzutti.com.br; alexander@grupomazzutti.com.br</t>
  </si>
  <si>
    <t>oficinare.vilhena@grupomazzutti.com.br; pecasre@grupomazzutti.com.br; amanda.trovao@grupomazzutti.com.br</t>
  </si>
  <si>
    <t>Via Automoveis Barreira</t>
  </si>
  <si>
    <t>furlan@renaultalliance.com.br;rodrigo.rocha@primavia.com.br</t>
  </si>
  <si>
    <t>Grand Cite Macapá</t>
  </si>
  <si>
    <t>;jorge@recio.com;jorge@recio.com</t>
  </si>
  <si>
    <t>jorge@recio.com;marilia@recio.com;recio@recio.com;</t>
  </si>
  <si>
    <t>posvendarenault@amauto.com.br</t>
  </si>
  <si>
    <t>crm@amauto.com.br; rosana@amauto.com.br</t>
  </si>
  <si>
    <t>alisoncolares.bruno@gmail.com; kaizen@amauto.com.br; estoquista@amauto.com.br</t>
  </si>
  <si>
    <t>Du Nort Manaus</t>
  </si>
  <si>
    <t>carlos.henrique@revemar.com.br;</t>
  </si>
  <si>
    <t>patricia.alencar@revemar.com.br;</t>
  </si>
  <si>
    <t>livia.lopes@revemar.com.br</t>
  </si>
  <si>
    <t xml:space="preserve">walter.gomes@revemar.com.br; </t>
  </si>
  <si>
    <t>luzia.santos@revemar.com.br;</t>
  </si>
  <si>
    <t>ailson.neto@revemar.com.br;  alice.mesquita@revemar.com.br;   luciana.dias@revemar.com.br;   amanda.costa@revemar.com.br;   janaina.sales@revemar.com.br</t>
  </si>
  <si>
    <t>Du Nort Rio Branco</t>
  </si>
  <si>
    <t>taylor.santos@revemar.com.br</t>
  </si>
  <si>
    <t>walter.gomes@revemar.com.br;</t>
  </si>
  <si>
    <t>luciana.dias@revemar.com.br;  alice.mesquita@revemar.com.br;  qualidade.dno.rbr@revemar.com.br;  leandro.chaves@revemar.com.br;  rayani.silva@revemar.com.br</t>
  </si>
  <si>
    <t>Du Nort Ananindeua</t>
  </si>
  <si>
    <t>paula.morais@revemar.com.br</t>
  </si>
  <si>
    <t xml:space="preserve"> jillis.costa@revemar.com.br;   luciana.dias@revemar.com.br;  alice.mesquita@revemar.com.br; cristiane.sm@revemar.com.br;   jose.rpereira@revemar.com.br;  daniel.souto@revmar.com.br;   camila.xavier@revemar.com.br;   gleica.meliza@revemar.com.br</t>
  </si>
  <si>
    <t>Du Nort Belem Marco</t>
  </si>
  <si>
    <t xml:space="preserve"> wildrin.blanco@revemar.com.br;   luciana.dias@revemar.com.br;  alice.mesquita@revemar.com.br;  camila.xavier@revemar.com.br;  cristiane.sm@revemar.com.br;  jose.rpereira@revemar.com.br;   gleica.meliza@revemar.com.br</t>
  </si>
  <si>
    <t>Du Nort Imperatriz</t>
  </si>
  <si>
    <t>reymar.sena@revemar.com.br</t>
  </si>
  <si>
    <t xml:space="preserve">  luciana.dias@revemar.com.br;  alice.mesquita@revemar.com.br;  qualidade.itz.dunort@revemar.com.br;  lorhaine.fraga@revemar.com.br;  aline.araujo@revemar.com.br</t>
  </si>
  <si>
    <t>Du Nort Maraba</t>
  </si>
  <si>
    <t>ieda.soares@revemar.com.br</t>
  </si>
  <si>
    <t xml:space="preserve"> luciana.dias@revemar.com.br;  alice.mesquita@revemar.com.br;  qualidade.dno.mab@revemar.com.br;   wilkleson@revemar.com.br;   amanda.alencar@revemar.com.br;  joyce.glenda@revemar.com.br; qualidade.dno.mab@revemar.com.br; allanny.pinho@revemar.com.br</t>
  </si>
  <si>
    <t>Du Nort Parauapebas</t>
  </si>
  <si>
    <t xml:space="preserve">carlos.henrique@revemar.com.br; </t>
  </si>
  <si>
    <t>carla.xavier@revemar.com.br</t>
  </si>
  <si>
    <t>geise.moraes@revemar.com.br;  luciana.dias@revemar.com.br;  alice.mesquita@revemar.com.br;   amanda.alencar@revemar.com.br;  joyce.glenda@revemar.com.br</t>
  </si>
  <si>
    <t>Du Nort São Luís</t>
  </si>
  <si>
    <t>deyvison.ferreira@revemar.com.br</t>
  </si>
  <si>
    <t>luciana.dias@revemar.com.br;  emerson.costa@revemar.com.br;  alice.mesquita@revemar.com.br;   amanda.evely@revemar.com.br;  aline.araujo@revemar.com.br</t>
  </si>
  <si>
    <t>Du Nort São Luís RM</t>
  </si>
  <si>
    <t>Du Nort Umarizal</t>
  </si>
  <si>
    <t>luciana.dias@revemar.com.br;  alice.mesquita@revemar.com.br;  cristiane.sm@revemar.com.br;   jose.rpereira@revemar.com.br;  camila.xavier@revemar.com.br;   gleica.meliza@revemar.com.br</t>
  </si>
  <si>
    <t>Marlin Boa Vista</t>
  </si>
  <si>
    <t>walter@marlinrenault.com.br; bruno@marlinrenault.com.br</t>
  </si>
  <si>
    <t>luiz@marlinrenault.com.br; karina.araujo@tropicalfiat.com.br;</t>
  </si>
  <si>
    <t>gerenciavendas@marlinrenault.com.br</t>
  </si>
  <si>
    <t>gerenciapv@marlinrenault.com.br</t>
  </si>
  <si>
    <t>qualidade@marlinrenault.com.br</t>
  </si>
  <si>
    <t>assistentecomercial@marlinrenault.com.br; setordepecas@marlinrenault.com.br;  agendamento@marlinrenault.com.br; Samira@marlinrenault.com.br; eric@marlinrenault.com.br</t>
  </si>
  <si>
    <t>Original Nice</t>
  </si>
  <si>
    <t>Fernando.renda@originalautos.com.br; heitor.alves@originalautos.com.br;</t>
  </si>
  <si>
    <t>tarcisio.pinheiro@originalautos.com.br</t>
  </si>
  <si>
    <t>antonia.mendes@originalautos.com.br</t>
  </si>
  <si>
    <t>maria.darleni@originalautos.com.br; rafaela.ralves@originalautos.com.br</t>
  </si>
  <si>
    <t>marco.pinho@originalautos.com.br; juliana.donorte@originalautos.com.br</t>
  </si>
  <si>
    <t>egião</t>
  </si>
  <si>
    <t>eto</t>
  </si>
  <si>
    <t>Gerente Regional</t>
  </si>
  <si>
    <t>Espaço</t>
  </si>
  <si>
    <t>Consultor 360</t>
  </si>
  <si>
    <t>Consultor MKT VN</t>
  </si>
  <si>
    <t>Consultor MKT PV</t>
  </si>
  <si>
    <t>Estag.</t>
  </si>
  <si>
    <t>qmr team</t>
  </si>
  <si>
    <t>ana.neiva@renault.com</t>
  </si>
  <si>
    <t>anderson.fabiani@renault.com ; douglas.da-silva@renault.com</t>
  </si>
  <si>
    <t>kelvin.ferrari@renault.com</t>
  </si>
  <si>
    <t>daniel.rodilha@renault.com</t>
  </si>
  <si>
    <t>felipe.santos@renault.com</t>
  </si>
  <si>
    <t>poliana.cochito@renault.com; douglas.da-silva@renault.com</t>
  </si>
  <si>
    <t>glauder.tasso@renault.com; eduardo.yochi@renault.com</t>
  </si>
  <si>
    <t>Guará Afonso Pena</t>
  </si>
  <si>
    <t>andre.lorenzo@renault.com; eduardo.yochi@renault.com</t>
  </si>
  <si>
    <t>rui.borcath@renault.com</t>
  </si>
  <si>
    <t xml:space="preserve">suzana.muller@renault.com; karine.k.dinardi@renault.com </t>
  </si>
  <si>
    <t xml:space="preserve">luiz.pereira@renault.com </t>
  </si>
  <si>
    <t>lourenco.back-brito@renault.com</t>
  </si>
  <si>
    <t xml:space="preserve">hebert.lourenco@renault.com; karine.k.dinardi@renault.com </t>
  </si>
  <si>
    <t>rafael.anselmo-extern@renault.com; rafael.anselmo-extern@renault.com</t>
  </si>
  <si>
    <t>hebert.lourenco@renault.com; carolina.santos@renault.com</t>
  </si>
  <si>
    <t xml:space="preserve"> mariana.fonseca@renault.com ; carolina.santos@renault.com</t>
  </si>
  <si>
    <t>rennan.alves@renault.com; carolina.santos@renault.com</t>
  </si>
  <si>
    <t xml:space="preserve">rennan.alves@renault.com; karine.k.dinardi@renault.com </t>
  </si>
  <si>
    <t xml:space="preserve"> mariana.fonseca@renault.com ; karine.k.dinardi@renault.com </t>
  </si>
  <si>
    <t>suzana.muller@renault.com; carolina.santos@renault.com</t>
  </si>
  <si>
    <t>Sinal France Adolfo Pinheiro</t>
  </si>
  <si>
    <t>Armando Sao Bernardo Assuncao</t>
  </si>
  <si>
    <t>Armando Sao Bernardo Centro RM + SR</t>
  </si>
  <si>
    <t>valter.canova@renault.com</t>
  </si>
  <si>
    <t>leonardo.l.candido@renault.com; eduardo.e.nogueira@renault.com</t>
  </si>
  <si>
    <t>thiago.braga@renault.com</t>
  </si>
  <si>
    <t>renato.tocantins@renault.com</t>
  </si>
  <si>
    <t>danyke.livramento@renault.com; alexander.serrano@renault.com</t>
  </si>
  <si>
    <t>carlos.utrabo@renault.com; alexander.serrano@renault.com</t>
  </si>
  <si>
    <t>Azzurra Campo Grande</t>
  </si>
  <si>
    <t>carlos.utrabo@renault.com; eduardo.e.nogueira@renault.com</t>
  </si>
  <si>
    <t>renata.r.andrade@renault.com; eduardo.e.nogueira@renault.com</t>
  </si>
  <si>
    <t>renata.r.andrade@renault.com; alexander.serrano@renault.com</t>
  </si>
  <si>
    <t>cesar.mafra@renault.com</t>
  </si>
  <si>
    <t>michele.nojima@renault.com ; aline.albino@renault.com</t>
  </si>
  <si>
    <t>gisele.pinto@renault.com</t>
  </si>
  <si>
    <t>fabio.guedes@renault.com</t>
  </si>
  <si>
    <t>heloisa.landiose-extern@renault.com; heloisa.landiose-extern@renault.com</t>
  </si>
  <si>
    <t>carolina.c.almeida@renault.com; carolina.c.almeida@renault.com</t>
  </si>
  <si>
    <t>gisele.pinto@renault.com; carolina.c.almeida@renault.com</t>
  </si>
  <si>
    <t>aline.albino@renault.com; aline.albino@renault.com</t>
  </si>
  <si>
    <t>michele.nojima@renault.com ; carolina.c.almeida@renault.com</t>
  </si>
  <si>
    <t>Du Nort Maceió</t>
  </si>
  <si>
    <t>Du Nort Arapiraca</t>
  </si>
  <si>
    <t>Open Veículos Francisco Beltrão</t>
  </si>
  <si>
    <t>Iesa Tubarão</t>
  </si>
  <si>
    <t>DR Sul Criciúma</t>
  </si>
  <si>
    <t>DR Sul Lages</t>
  </si>
  <si>
    <t>DR Sul Araranguá</t>
  </si>
  <si>
    <t>Euro Barretos</t>
  </si>
  <si>
    <t>Mercantil Andreta Vinhedo</t>
  </si>
  <si>
    <t>paulo.lema@formularenault.com.br</t>
  </si>
  <si>
    <t>guilherme.barbosa@formularenault.com.br</t>
  </si>
  <si>
    <t>marcelo.oliveira@formularenault.com.br; eduardo.mattos@grupobarigui.com.br; fabio.ito@grupobarigui.com.br</t>
  </si>
  <si>
    <t>rivaldo.junior@formularenault.com.br</t>
  </si>
  <si>
    <t>eder.freitas@formularenault.com.br; bruno.almeida@formularenault.com.br;  guilherme.barbosa@formularenault.com.br;gisele.ocraska@grupobarigui.com.br</t>
  </si>
  <si>
    <t>luis.canales@formularenault.com.br</t>
  </si>
  <si>
    <t>edson.nagao@formularenault.com.br</t>
  </si>
  <si>
    <t>guilherme.barbosa@formularenault.com.br;gisele.ocraska@grupobarigui.com.br</t>
  </si>
  <si>
    <t>marlize.fogaca@formularenault.com.br</t>
  </si>
  <si>
    <t>bruno.almeida@formularenault.com.br</t>
  </si>
  <si>
    <t>guilherme.barbosa@formularenault.com.br; edineia.santos@formularenault.com.br</t>
  </si>
  <si>
    <t xml:space="preserve">sandy.souza@formularenault.com.br;  eimili.martins@formularenault.com.br; guilherme.barbosa@formularenault.com.br;  </t>
  </si>
  <si>
    <t>jovancir.junior@formularenault.com.br</t>
  </si>
  <si>
    <t>gesse.cunha@formularenault.com.br; jefferson.rosa@formularenault.com.br;</t>
  </si>
  <si>
    <t>sandy.souza@formularenault.com.br</t>
  </si>
  <si>
    <t xml:space="preserve"> sandy.souza@formularenault.com.br; guilherme.barbosa@formularenault.com.br; </t>
  </si>
  <si>
    <t>eduardo.macedo@formularenault.com.br</t>
  </si>
  <si>
    <t xml:space="preserve">leonardo.silva@formularenault.com.br; jefferson.rosa@formularenault.com.br; </t>
  </si>
  <si>
    <t>flavia.ferreira@formularenault.com.br</t>
  </si>
  <si>
    <t xml:space="preserve"> guilherme.barbosa@formularenault.com.br;adalberto.junior@formularenault.com.br;leonardo.silva@formularenault.com.br;</t>
  </si>
  <si>
    <t>luis.ribeiro@formularenault.com.br</t>
  </si>
  <si>
    <t>juliana.fonseca@formularenault.com.br</t>
  </si>
  <si>
    <t xml:space="preserve">thassia.siqueira@formularenault.com.br;  guilherme.barbosa@formularenault.com.br; </t>
  </si>
  <si>
    <t>clayton.santos@formularenault.com.br</t>
  </si>
  <si>
    <t>eimili.martins@formularenault.com.br</t>
  </si>
  <si>
    <t xml:space="preserve"> eimili.martins@formularenault.com.br; guilherme.barbosa@formularenault.com.br; </t>
  </si>
  <si>
    <t>alessandro@grupoglobo.com.br; flavio.b@globoveiculos.com.br; wagner@grupoglobo.com.br;cristiano@grupoglobo.com.br</t>
  </si>
  <si>
    <t>lucimara.b@globoveiculos.com.br; julia.venturi@grupoglobo.com.br</t>
  </si>
  <si>
    <t>mauricio.fernandes@globoveiculos.com.br; garantiajoinville@globoveiculos.com.br;priscila.duma@globoveiculos.com.br</t>
  </si>
  <si>
    <t>guilherme.t@globoveiculos.com.br</t>
  </si>
  <si>
    <t>lucimara.b@globoveiculos.com.br; agatha.oliveira@grupoglobo.com.br; julia.venturi@grupoglobo.com.br</t>
  </si>
  <si>
    <t>luciano.b@globoveiculos.com.br;</t>
  </si>
  <si>
    <t>giba@globoveiculos.com.br;alessandro@grupoglobo.com.br; luiz.rezende@grupoglobo.com.br;cristiano@grupoglobo.com.br</t>
  </si>
  <si>
    <t>joao.o@globoveiculos.com.br;</t>
  </si>
  <si>
    <t>ronaldo.leao@globoveiculos.com.br; wagner@grupoglobo.com.br; fernanda.gomes@globoveiculos.com.br; fernanda.gomes@globoveiculos.com.br</t>
  </si>
  <si>
    <t>lucimara.b@globoveiculos.com.br; priscila.duma@globoveiculos.com.br; agatha.oliveira@grupoglobo.com.br; julia.venturi@grupoglobo.com.br</t>
  </si>
  <si>
    <t>marcio.lima@globoveiculos.com.br</t>
  </si>
  <si>
    <t>daiane.padilha@grupoglobo.com.br;priscila.duma@globoveiculos.com.br</t>
  </si>
  <si>
    <t>wagner@grupoglobo.com.br;fernanda.gomes@globoveiculos.com.br;joao.h@globoveiculos.com.br</t>
  </si>
  <si>
    <t>mauricio.f@globoveiculos.com.br;alessandro@grupoglobo.com.br;flavio.b@globoveiculos.com.br;cristiano@grupoglobo.com.br</t>
  </si>
  <si>
    <t>cotech.joinville@globoveiculos.com.br; mauricio.fernandes@globoveiculos.com.br; garantiajoinville@globoveiculos.com.br;priscila.duma@globoveiculos.com.br</t>
  </si>
  <si>
    <t>daniela.castro@globoveiculos.com.br; julio.c@globoveiculos.com.br; wagner@grupoglobo.com.br;fernanda.gomes@globoveiculos.com.br</t>
  </si>
  <si>
    <t>alessandro@grupoglobo.com.br;flavio.b@globoveiculos.com.br;cristiano@grupoglobo.com.br</t>
  </si>
  <si>
    <t>vanessa.correa@globonissan.com.br; hudson.t@globoveiculos.com.br</t>
  </si>
  <si>
    <t>vanessa.correa@globonissan.com.br; ramon.h@globoveiculos.com.br</t>
  </si>
  <si>
    <t>marco.caetano@grupoautomega.com.br</t>
  </si>
  <si>
    <t>vicente@grupoautomega.com.br;gerse.silva@grupoautomega.com.br</t>
  </si>
  <si>
    <t>meri.machado@grupoautomega.com.br</t>
  </si>
  <si>
    <t>patricia@grupoautomega.com.br;</t>
  </si>
  <si>
    <t>hamilton.goia@grupoautomega.com.br</t>
  </si>
  <si>
    <t>jossias.dalla@grupoautomega.com.br; geilson.pires@grupoautomega.com.br</t>
  </si>
  <si>
    <t>amaral@grupoautoshow.com.br; jose.oliveira@grupoautoshow.com.br</t>
  </si>
  <si>
    <t>qualidade@autoplusrenault.com.br;agendamento2@autoplusrenault.com.br</t>
  </si>
  <si>
    <t xml:space="preserve">marcos.matias@autoplusrenault.com.br;marcos.griten@autoplusrenault.com.br </t>
  </si>
  <si>
    <t xml:space="preserve">marcos.griten@autoplusrenault.com.br;marcos.griten@autoplusrenault.com.br </t>
  </si>
  <si>
    <t>joao.kelczeski@autoplusrenault.com.br</t>
  </si>
  <si>
    <t xml:space="preserve">rodrigo.herbst@autoplusrenault.com.br;marcos.griten@autoplusrenault.com.br </t>
  </si>
  <si>
    <t>leandro.dias@autoplusrenault.com.br;</t>
  </si>
  <si>
    <t xml:space="preserve">jessica.alves@autoplusrenault.com.br;marcos.griten@autoplusrenault.com.br </t>
  </si>
  <si>
    <t>cesar.reese@autoplusrenault.com.br</t>
  </si>
  <si>
    <t xml:space="preserve">thyago.santos@autoplusrenault.com.br;marcos.griten@autoplusrenault.com.br </t>
  </si>
  <si>
    <t>marcelo.silva@guaracampogrande.com.br</t>
  </si>
  <si>
    <t>fernando.sales@grupoenzo.com.br; saulo.lima@grupoenzo.com.br</t>
  </si>
  <si>
    <t>arthur.davila@guaracampogrande.com.br;leandro.onofre@guaracampogrande.com.br</t>
  </si>
  <si>
    <t>carolina.martins@guaracampogrande.com.br;emanuelle.silva@guaracampogrande.com.br</t>
  </si>
  <si>
    <t>rhude.hermes@guaracampogrande.com.br</t>
  </si>
  <si>
    <t>leandro.onofre@guaracampogrande.com.br;arthur.davila@guaracampogrande.com.br</t>
  </si>
  <si>
    <t>larissa.quadro@guararenaultdourados.com.br</t>
  </si>
  <si>
    <t>gilberto.melgarejo@guararenaultdourados.com.Br;</t>
  </si>
  <si>
    <t>isidoro.leon@itaimbe.com.br</t>
  </si>
  <si>
    <t>daniel@itaimbe.com.br; felipedoeler@itaimbe.com.br</t>
  </si>
  <si>
    <t>felipe@itaimbe.com.br; lucasdambros@itaimbe.com.br; rodrigodarosa@itaimbe.com.br</t>
  </si>
  <si>
    <t>ronaldo.freitas@itaimbe.com.br</t>
  </si>
  <si>
    <t>lucasdambros@itaimbe.com.br; janderli.bock@itaimbe.com.br;</t>
  </si>
  <si>
    <t>luziano.grellmann@itaimbe.com.br</t>
  </si>
  <si>
    <t xml:space="preserve">lucasdambros@itaimbe.com.br; jordanoalves@itaimbe.com.br; janderli.bock@itaimbe.com.br; </t>
  </si>
  <si>
    <t>lucasdambros@itaimbe.com.br; roger.oliveira@itaimbe.com.br; janderli.bock@itaimbe.com.br;</t>
  </si>
  <si>
    <t>lucasdambros@itaimbe.com.br; juarezsilva@itaimbe.com.br; janderli.bock@itaimbe.com.br;</t>
  </si>
  <si>
    <t>lucasdambros@itaimbe.com.br; gustavooliveira@itaimbe.com.br; janderli.bock@itaimbe.com.br;</t>
  </si>
  <si>
    <t>gerson.sjunior@gruposaga.com.br;jeovanne.aprado@gruposaga.com.br</t>
  </si>
  <si>
    <t>joyce.pbarreto@gruposaga.com.br; tamy.asilva@gruposaga.com.br;jeovane.dmachado@gruposaga.com.br ;hennesthayane.aguiar@gruposaga.com.br;ester.sboabaide@gruposaga.com.br;lorraynne.gsilva@gruposaga.com.br</t>
  </si>
  <si>
    <t>ernani@nissulgala.com;marcelo@nissulgala.com</t>
  </si>
  <si>
    <t>bruna.bandeira@nissulgala.com;joelise@nissulgala.com;ana.dias@nissulgala.com;rogerio@nissulgala.com</t>
  </si>
  <si>
    <t>pedro.feijo@nissulgala.com</t>
  </si>
  <si>
    <t>vitor.rade@grupoiesa.com.br;ari.campanhol@grupoiesa.com.br; luis.dias@grupoiesa.com.br</t>
  </si>
  <si>
    <t>andre.dare@grupoiesa.com.br;</t>
  </si>
  <si>
    <t>lucas.silva@grupoiesa.com.br</t>
  </si>
  <si>
    <t>claudia.bertotto@grupoiesa.com.br</t>
  </si>
  <si>
    <t>andre.dare@grupoiesa.com.br</t>
  </si>
  <si>
    <t>Iesa Tubarão</t>
  </si>
  <si>
    <t>alexandre.cancellier@grupoiesa.com.br</t>
  </si>
  <si>
    <t>vitor.rade@grupoiesa.com.br;ari.campanhol@grupoiesa.com.br; luis.dias@grupoiesa.com.br;</t>
  </si>
  <si>
    <t>brenda.taborda@grupoiesa.com.br</t>
  </si>
  <si>
    <t>brenda.castro@grupoiesa.com.br; monica.lessa@grupoiesa.com.br; carmen.barbosa@grupoiesa.com.br</t>
  </si>
  <si>
    <t>luiz.federissi@drsulveiculos.com.br; vilson.caldas@drsul.com.br</t>
  </si>
  <si>
    <t>jorge.castro@drsulveiculos.com.br;marcio.coelho@drsul.com.br</t>
  </si>
  <si>
    <t>Eber.vier@drsulveiculos.com.br</t>
  </si>
  <si>
    <t>Michel.almeida@drsul.com.br; vilson.caldas@drsul.com.br</t>
  </si>
  <si>
    <t>sigrid.rutzen@drsul.com.br</t>
  </si>
  <si>
    <t>Daniel.valente@drsul.com.br</t>
  </si>
  <si>
    <t>marcio.coelho@drsul.com.br</t>
  </si>
  <si>
    <t>wilson.costa@drsul.com.br;</t>
  </si>
  <si>
    <t>Sigrid.rutzen@drsul.com.br</t>
  </si>
  <si>
    <t>Luiz.pinhatti@drsul.com.br; vilson.caldas@drsul.com.br</t>
  </si>
  <si>
    <t>Rodrigo.muller@drsul.com.br</t>
  </si>
  <si>
    <t>Denis.bernardo@drsul.com.br; juvenil@vipcarlg.com.br</t>
  </si>
  <si>
    <t>Eduardo.sousa@drsul.com.br</t>
  </si>
  <si>
    <t>filipe.guimaraes@drsul.com.br</t>
  </si>
  <si>
    <t>thiago.marques@fancar.com.br</t>
  </si>
  <si>
    <t>kelly.s@fancar.com.br; bruno.ror@fancar.com.br</t>
  </si>
  <si>
    <t>cotech.ror@fancar.com.br;geovane.santos@fancar.com.br</t>
  </si>
  <si>
    <t>gerentegeral@openveiculos.com.br;treinamento@openveiculos.com.br;cotech1@openveiculos.net.br; agendamento01@hyundaiopen.com.br</t>
  </si>
  <si>
    <t>gerentegeral@openveiculos.com.br;treinamento@openveiculos.com.br;cotech-foz@openveiculos.net.br; agendamento01@hyundaiopen.com.br</t>
  </si>
  <si>
    <t>gerentegeral@openveiculos.com.br;treinamento@openveiculos.com.br;cotech-too@openveiculos.net.br; agendamento01@hyundaiopen.com.br</t>
  </si>
  <si>
    <t>gerentefb@openveiculos.com.br</t>
  </si>
  <si>
    <t>armandoperalta@grupoapf.com.br</t>
  </si>
  <si>
    <t>denys.morelli@estorilrenault.com.br; juliana.melo@estorilrenault.com.br; sabrina.barrio@estorilrenault.com.br</t>
  </si>
  <si>
    <t>rogerio.oliveira@estorilrenault.com.br; debora.oliveira@estorilrenault.com.br;</t>
  </si>
  <si>
    <t>debora.oliveira@estorilrenault.com.br; bruna.costa@estorilrenault.com.br; adriana.barbosa@estorilrenault.com.br; thaisa.santos@estorilrenault.com.br</t>
  </si>
  <si>
    <t>supervisor.eurofr@eurorenault.com.br;pablo@ortovel.com.br</t>
  </si>
  <si>
    <t>bruna.miranda@eurorenault.com.br; brenda.lanca@eurorenault.com.br; assistente.vendasdiretas@eurorenault.com.br; amanda.souza@eurorenault.com.br; hugo.leonardo@eurorenault.com.br;arthur.assis@eurorenault.com.br</t>
  </si>
  <si>
    <t>assistente.vendasdiretas@eurorenault.com.br;benigno.junior@eurorenault.com.br</t>
  </si>
  <si>
    <t>anderson.galoni@eurorenault.com.br;pablo@ortovel.com.br</t>
  </si>
  <si>
    <t>ANDRE.LIMA@EURORENAULT.COM.BR; bruna.miranda@eurorenault.com.br; brenda.lanca@eurorenault.com.br; assistente.vendasdiretas@eurorenault.com.br; marina.maschio@eurorenault.com.br; hugo.leonardo@eurorenault.com.br;arthur.assis@eurorenault.com.br</t>
  </si>
  <si>
    <t>supervisor.eurofr@eurorenault.com.br;assistente.vendasdiretas@eurorenault.com.br;eder.nardin@eurorenault.com.br</t>
  </si>
  <si>
    <t xml:space="preserve">renatosaraiva@eurorenault.com.br; </t>
  </si>
  <si>
    <t>pedro.silva@eurorenault.com.br;pablo@ortovel.com.br</t>
  </si>
  <si>
    <t>amanda.souza@eurorenault.com.br;</t>
  </si>
  <si>
    <t>bruna.miranda@eurorenault.com.br;brenda.lanca@eurorenault.com.br; juliana@atri.com.br;hugo.leonardo@eurorenault.com.br;arthur.assis@eurorenault.com.br</t>
  </si>
  <si>
    <t>marcos.rmorais@itavemafrance.com.br</t>
  </si>
  <si>
    <t>felipefranco@itavema.com.br</t>
  </si>
  <si>
    <t>jonas.fandrade@itavemafrance.com.br;waiter.psantos@itavema.com.br</t>
  </si>
  <si>
    <t>mbetuker@itavema.com.br</t>
  </si>
  <si>
    <t>andrea.monteiro@itavemafrance.com.br; gabriela.gsilva@itavemafrance.com.br</t>
  </si>
  <si>
    <t>gabriela.bbsilva@itavemafrance.com.br;mayara.sgonzaga@itavemafrance.com.br;</t>
  </si>
  <si>
    <t>sergio.msalves@itavemafrance.com.br</t>
  </si>
  <si>
    <t>marco.lsalinas@itavemafrance.com.br</t>
  </si>
  <si>
    <t>melissa.rdducco@itavemafrance.com.br</t>
  </si>
  <si>
    <t>luciana.ccredigolo@itavemafrance.com.br</t>
  </si>
  <si>
    <t>anderson.msmidi@itavemafrance.com.br</t>
  </si>
  <si>
    <t>luciano@muchiutt.com.br;</t>
  </si>
  <si>
    <t>raquel.galdina@amazonasfrance.com.br</t>
  </si>
  <si>
    <t>roberlei.junior@amazonasfrance.com.br</t>
  </si>
  <si>
    <t>gergeral.andretaamericana@grupoandreta.com.br</t>
  </si>
  <si>
    <t>liderkaizen.mercantilandreta@grupoandreta.com.br;liderkaizen02.mercantilandreta@grupoandreta.com.br</t>
  </si>
  <si>
    <t>SAC - sac@grupoandreta.com.br</t>
  </si>
  <si>
    <t>gergeral.mercantilcampinas@grupoandreta.com.br</t>
  </si>
  <si>
    <t>gergeral.andretalimeira@grupoandreta.com.br</t>
  </si>
  <si>
    <t>gergeral.andretamogi@grupoandreta.com.br</t>
  </si>
  <si>
    <t>gergeral.mercantilvinhedo@grupoandreta.com.br</t>
  </si>
  <si>
    <t>geroficina.mercantilvinhedo@grupoandreta.com.br</t>
  </si>
  <si>
    <t>felipe.zanforlin@grupoville.com.br</t>
  </si>
  <si>
    <t>ortiz.araujo@grupoville.com.br;clopes@grupoville.com.br;luciano.olivi@grupoville.com.br; alexandre.bozola@grupoville.com.br</t>
  </si>
  <si>
    <t>moacir.bartolomei@grupoville.com.br;andersonpazzini@grupoville.com.br</t>
  </si>
  <si>
    <t>leonardo.harte@grupoville.com.br</t>
  </si>
  <si>
    <t>joao.ossana@grupoville.com.br</t>
  </si>
  <si>
    <t>andre.paiola@grupoville.com.br</t>
  </si>
  <si>
    <t>carlos.cerqueira@grupoville.com.br</t>
  </si>
  <si>
    <t>leonaldo.zanelatto@grupoville.com.br;Leonardo.harte@grupoville.com.br;</t>
  </si>
  <si>
    <t>qualidade@balilla.com.br; gabrielle.freitas@balilla.com.br; atendimento@balilla.com.br</t>
  </si>
  <si>
    <t>marcelo.rltind@balilla.com.br; felipe@balilla.com.br; sonia@balilla.com.br;</t>
  </si>
  <si>
    <t>gerenteposvenda.tatui@velmax.com.br</t>
  </si>
  <si>
    <t>adm.tatui@velmax.com.br; rui@velmax.com.br</t>
  </si>
  <si>
    <t>luciano@luchini.com.br; doriluchini@valecrenault.com.br; gunther@luchini.com.br</t>
  </si>
  <si>
    <t>clayton.dias@valecrenault.com.br</t>
  </si>
  <si>
    <t>thiago.zafatoshi@valecrenault.com.br</t>
  </si>
  <si>
    <t>cidnilson.sanchez@renaultfaberge.com.br</t>
  </si>
  <si>
    <t>lais.murray@grupofaberge.com.br;</t>
  </si>
  <si>
    <t>qualidade5@grupofaberge.com.br;Jane.mary@grupofaberge.com.br</t>
  </si>
  <si>
    <t>felipe.rodrigues@proeste.com.br</t>
  </si>
  <si>
    <t>lourdes.silva@proeste.com.br</t>
  </si>
  <si>
    <t>eduardo.noronha@proeste.com.br</t>
  </si>
  <si>
    <t>nicholas.toledo@proeste.com.br</t>
  </si>
  <si>
    <t>eder.ferreira@proeste.com.br</t>
  </si>
  <si>
    <t>luiz.henrique@grupotoriba.com.br; wilson.arrojo@grupotoriba.com.br; barbara.messi@grupotoriba.com.br</t>
  </si>
  <si>
    <t>luiz.claudio@grupotoriba.com.br</t>
  </si>
  <si>
    <t>vanessa.barbosa@grupotoriba.com.br; leticia.vasconcelos@grupotoriba.com.br; julia.bernardo@grupotoriba.com.br</t>
  </si>
  <si>
    <t>luiz.henrique@grupotoriba.com.br</t>
  </si>
  <si>
    <t>fabio.oliveira@grupodestaque.com.br; fabricio@grupodestaque.com.br</t>
  </si>
  <si>
    <t>alex.eugenio@santaemilia.com.br</t>
  </si>
  <si>
    <t>rodrigo@santaemilia.com.br; marcelomagrin@santaemilia.com.br;</t>
  </si>
  <si>
    <t>agnaldo.sousa@santaemilia.com.br</t>
  </si>
  <si>
    <t xml:space="preserve">michele.christofoletti@santaemilia.com.br; </t>
  </si>
  <si>
    <t xml:space="preserve">marcelo.vancin@santaemilia.com.br </t>
  </si>
  <si>
    <t>lucas.costa@santaemilia.com.br</t>
  </si>
  <si>
    <t>qualidade@armandoveiculos.com.br; tainarasouza@armandoveiculos.com.br</t>
  </si>
  <si>
    <t>monicabelice@armandoveiculos.com.br; biancaalves@armandoveiculos.com.br</t>
  </si>
  <si>
    <t>mary.nascimento@rpoint.com.br</t>
  </si>
  <si>
    <t>alessandro.soldi@automob.com.br</t>
  </si>
  <si>
    <t>helio.soares@sonnervig.com.br</t>
  </si>
  <si>
    <t>lillian.martins@rpoint.com.br</t>
  </si>
  <si>
    <t>samira.freitas@rpoint.com.br; robson.frsilva@sonnervig.com.br; marcos.aurelio@rpoint.com.br</t>
  </si>
  <si>
    <t>bruno.jannuzzi@rpoint.com.br</t>
  </si>
  <si>
    <t>helio.soares@sonnervig.com.br; marcos.aurelio@rpoint.com.br</t>
  </si>
  <si>
    <t>johnata.rodrigues@rpoint.com.br; robson.frsilva@sonnervig.com.br; marcos.aurelio@rpoint.com.br</t>
  </si>
  <si>
    <t>henrique.franco@rpoint.com.br</t>
  </si>
  <si>
    <t>helio.soares@sonnervig.com.br; suellen.tavares@rpoint.com.br</t>
  </si>
  <si>
    <t>pedro.dcamargo@rpoint.com.br; kelcy.guimaraes@rpoint.com.br; lucas.marcondes@rpoint.com.br; robson.frsilva@sonnervig.com.br; suellen.tavares@rpoint.com.br</t>
  </si>
  <si>
    <t>paulo.pinheiro@rpoint.com.br</t>
  </si>
  <si>
    <t>claudenir.souza@rpoint.com.br; lucas.beneton@rpoint.com.br; robson.frsilva@sonnervig.com.br; suellen.tavares@rpoint.com.br</t>
  </si>
  <si>
    <t>wilson.nakasima@gruposinal.com;robson.vieira@gruposinal.com</t>
  </si>
  <si>
    <t xml:space="preserve">graziella@gruposinal.com </t>
  </si>
  <si>
    <t>penna@gruposinal.com;alexandre.tarin@gruposinal.com</t>
  </si>
  <si>
    <t>edson.rodrigues@gruposinal.com;marcello.bruno@gruposinal.com</t>
  </si>
  <si>
    <t>giovanna.gasparotto@gruposinal.com;pedro.ferreira@gruposinal.com;guilherme.barbosa@gruposinal.com</t>
  </si>
  <si>
    <t>cristhian.santos@gruposinal.com;robson.vieira@gruposinal.com</t>
  </si>
  <si>
    <t>sergio.pomelli@gruposinal.com;robson.vieira@gruposinal.com</t>
  </si>
  <si>
    <t>adriano.moura@gruposinal.com;marcello.bruno@gruposinal.com</t>
  </si>
  <si>
    <t>thiago.marcondes@gruposinal.com;robson.vieira@gruposinal.com</t>
  </si>
  <si>
    <t>thiago.cardoso@gruposinal.com;marcello.bruno@gruposinal.com</t>
  </si>
  <si>
    <t>bruno.souza@gruposinal.com;robson.vieira@gruposinal.com;</t>
  </si>
  <si>
    <t>andre.naaman@gruposinal.com;marcello.bruno@gruposinal.com</t>
  </si>
  <si>
    <t>rodrigo.braz@gruposinal.com;robson.vieira@gruposinal.com</t>
  </si>
  <si>
    <t>carlos.rey@gruposinal.com;marcello.bruno@gruposinal.com</t>
  </si>
  <si>
    <t>alvaro.alves@gruposinal.com;robson.vieira@gruposinal.com</t>
  </si>
  <si>
    <t>filipe.carvalho@gruposinal.com;marcello.bruno@gruposinal.com</t>
  </si>
  <si>
    <t>mailson.oliveira@gruposinal.com;marcello.bruno@gruposinal.com</t>
  </si>
  <si>
    <t>marcos.maia@navesa.com.br</t>
  </si>
  <si>
    <t>jordan.dias@tecar.com.br</t>
  </si>
  <si>
    <t>hugo.costa@tecar.com.br</t>
  </si>
  <si>
    <t>piter.rodrigues@tecar.com.br; jackeline.silva@tecar.com.br; eudes.silva@tecar.com.br</t>
  </si>
  <si>
    <t>marcio.macedo@tecar.com.br;Leo.pascoal@tecar.com.br</t>
  </si>
  <si>
    <t>piter.rodrigues@tecar.com.br; divina.silva@tecar.com.br</t>
  </si>
  <si>
    <t>jackeline.silva@tecar.com.br; beatriz.lopes@tecar.com.br</t>
  </si>
  <si>
    <t>rafael.vn@azzurranet.com.br; vendas.barra@azzurranet.com.br</t>
  </si>
  <si>
    <t>lellopepe@azzurranet.com.br; pasquale@azzurranet.com.br;hugo@azzurranet.com.br;stefano@azzurranet.com.br</t>
  </si>
  <si>
    <t>sandro.of@azzurranet.com.br;bruno.vn@azzurranet.com.br;leandro.pc@azzurranet.com.br</t>
  </si>
  <si>
    <t>aline.cqa@azzurranet.com.br;sabrina.cqa@azzurranet.com.br;vitoria.cqa@azzurranet.com.br;jessica.cqa@azzurranet.com.br</t>
  </si>
  <si>
    <t>juliana.rh@azzurranet.com.br;ana.sac@azzurranet.com.br;eliene.crm@azzurranet.com.br;lucas@azzurranet.com.br</t>
  </si>
  <si>
    <t>vinicius.vn@azzurranet.com.br</t>
  </si>
  <si>
    <t>juliana.rh@azzurranet.com.br;lucas@azzurranet.com.br;ana.sac@azzurranet.com.br;eliene.crm@azzurranet.com.br</t>
  </si>
  <si>
    <t>rafaelmoreno.vn@azzurranet.com.br; vendas.rcg@azzurranet.com.br</t>
  </si>
  <si>
    <t>lellopepe@azzurranet.com.br;pasquale@azzurranet.com.br;hugo@azzurranet.com.br;stefano@azzurranet.com.br</t>
  </si>
  <si>
    <t>gerenterenaultcg.of@azzurranet.com.br</t>
  </si>
  <si>
    <t>juliana.rh@azzurranet.com.br;ana.sac@azzurranet.com.br;eliene.crm@azzurranet.com.br;escvendascg@azzurranet.com.br;esc.renaultcg@azzurranet.com.br;lucas@azzurranet.com.br</t>
  </si>
  <si>
    <t>jacqueline.nunes@nissannagai.com.br; admindijondiv@renaultdijon.com.br; maria.santos@renaultdijon.com.br</t>
  </si>
  <si>
    <t>gvendas@renaultdijon.com.br; gvendasjf@renaultdijon.com.br</t>
  </si>
  <si>
    <t>aloisio@renaultdijon.com.br; gpv@renaultdijon.com.br;joaovitor@renaultdijon.com.br</t>
  </si>
  <si>
    <t>jocemara@renaultdijon.com.br;</t>
  </si>
  <si>
    <t>breno@gruponasa.com.br; marcius.pimenta@gruponasa.com.br</t>
  </si>
  <si>
    <t>ricardo.ramalho@premierveiculos.com.br</t>
  </si>
  <si>
    <t xml:space="preserve">leandro@premierveiculos.com.br </t>
  </si>
  <si>
    <t xml:space="preserve">fernando.barros@premierveiculos.com.br; ronaldo@premierveiculos.com.br </t>
  </si>
  <si>
    <t>marcos.milanez@grupopremierveiculos.com.br</t>
  </si>
  <si>
    <t>jackeline.araujo@grupopremierveiculos.com.br</t>
  </si>
  <si>
    <t xml:space="preserve">alex@premierveiculos.com.br; emanuel.melo@grupopremierveiculos.com.br; luiz.lopes@grupopremierveiculos.com.br;thalia.souza@premierveiculos.com.br </t>
  </si>
  <si>
    <t>Jorlan France Colorado</t>
  </si>
  <si>
    <t>ivan.amaral@grupojorlan.com</t>
  </si>
  <si>
    <t>luis.fernando@grupojorlan.com</t>
  </si>
  <si>
    <t>ericson.silva@grupojorlan.com;</t>
  </si>
  <si>
    <t>bruno.cesario@grupojorlan.com</t>
  </si>
  <si>
    <t>ana.louzeiro@grupojorlan.com; ana.braz@grupojorlan.com</t>
  </si>
  <si>
    <t>Jorlan France Gama</t>
  </si>
  <si>
    <t>daislan.sales@grupojorlan.com</t>
  </si>
  <si>
    <t>rafael.freitas@grupojorlan.com</t>
  </si>
  <si>
    <t>Jorlan France Taguatinga</t>
  </si>
  <si>
    <t>marcos.andre@grupojorlan.com</t>
  </si>
  <si>
    <t>marcos.medeiros@brfrance.com.br</t>
  </si>
  <si>
    <t>fabio.rosa@grupojorlan.com</t>
  </si>
  <si>
    <t>Jorlan France Barão</t>
  </si>
  <si>
    <t>orlando.jr@grupojorlan.com; luis.fernando@jorlan.com; joao.filipe@minasfrance.com.br</t>
  </si>
  <si>
    <t>; nayara.ferreira@minasfrance.com.br; isabella.andrade@grupojorlan.com</t>
  </si>
  <si>
    <t>Jorlan France Pampulha</t>
  </si>
  <si>
    <t>;nayara.ferreira@minasfrance.com.br; isabella.andrade@grupojorlan.com</t>
  </si>
  <si>
    <t>Jorlan France Savassi</t>
  </si>
  <si>
    <t>cacio.santos@minasfrance.com.br; nayara.ferreira@minasfrance.com.br; isabella.andrade@grupojorlan.com</t>
  </si>
  <si>
    <t>vendas1053@besourorenault.com.br</t>
  </si>
  <si>
    <t>posvendaspetropolis@besourorenault.com.br; oficina1.1053@besourorenault.com.br</t>
  </si>
  <si>
    <t>vendas1054@besourorenault.com.br</t>
  </si>
  <si>
    <t>juliana.clemente@dinisa.com.br; gerenciageral.vd@dinisa.com.br</t>
  </si>
  <si>
    <t>anderson.mendonca@dinisa.com.br;</t>
  </si>
  <si>
    <t>rodrigojannuzzi@romagroup.com.br</t>
  </si>
  <si>
    <t>ericsonmiranda@romagroup.com.br;</t>
  </si>
  <si>
    <t>welitonsilva@romagroup.com.br</t>
  </si>
  <si>
    <t>fernandaalves@romagroup.com.br</t>
  </si>
  <si>
    <t>larissacosta@romagroup.com.br; luciodemenezes@romagroup.com.br; thiagovelez@romagroup.com.br</t>
  </si>
  <si>
    <t>cristianoalmeida@romagroup.com.br;</t>
  </si>
  <si>
    <t>larissacosta@romagroup.com.br; hugoaraujo@romagroup.com.br; elipaula@romagroup.com.br;patriciavieira@romagroup.com.br</t>
  </si>
  <si>
    <t>paulopereira@romagroup.com.br; thiagomarcolino@romagroup.com.br</t>
  </si>
  <si>
    <t>neideazevedo@romagroup.com.br</t>
  </si>
  <si>
    <t>thiagoanjos@romagroup.com.br</t>
  </si>
  <si>
    <t>nayaraalmeida@romagroup.com.br; laisbrasil@romagroup.com.br</t>
  </si>
  <si>
    <t>gabrielleferreira@romagroup.com.br; layenepiuco@romagroup.com.br; joaoricardo@romagroup.com.br;</t>
  </si>
  <si>
    <t>paulopereira@romagroup.com.br; brunooliveira@romagroup.com.br</t>
  </si>
  <si>
    <t>neideazevedo@romagroup.com.br;</t>
  </si>
  <si>
    <t>piterpassos@romagroup.com.br</t>
  </si>
  <si>
    <t xml:space="preserve"> gabrielleferreira@romagroup.com.br; tatianeassis@romagroup.com.br; layenepiuco@romagroup.com.br; joaoricardo@romagroup.com.br</t>
  </si>
  <si>
    <t>raphaela.machado@grupourca.com.br</t>
  </si>
  <si>
    <t>wesley.santos@grupourca.com.br; adailton.soares@grupourca.com.br; edcarlos.silva@grupourca.com.br</t>
  </si>
  <si>
    <t>qualidade.renault@grupourca.com.br; adailton.soares@grupourca.com.br;</t>
  </si>
  <si>
    <t>adailton.soares@grupourca.com.br; ramon.guimaraes@grupourca.com.br; edcarlos.silva@grupourca.com.br</t>
  </si>
  <si>
    <t>guilherme.silva@grupourca.com.br</t>
  </si>
  <si>
    <t>adailton.soares@grupourca.com.br; edcarlos.silva@grupourca.com.br</t>
  </si>
  <si>
    <t>jaqueline.vieira@grupoprimavia.com.br; furlan@renaultalliance.com.br</t>
  </si>
  <si>
    <t>gerenteposvd.pc@viamondorenault.com.br; supervisorvendas.pc@viamondorenault.com.br; andre.tchmola@viamondo.com.br</t>
  </si>
  <si>
    <t>gerenteposvd.pc@viamondorenault.com.br; qualidade.pc@viamondo.com.br; rafael.ozorio@viamondo.com.br</t>
  </si>
  <si>
    <t>qualidade.vg@viamondo.com.br; carlos.andrade@viamondo.com.br; garantista.pc@viamondorenault.com.br; pesquisa.pa1@viamondo.com.br; qualidade.pc@viamondo.com.br; qualidade.bi@viamondo.com.br</t>
  </si>
  <si>
    <t>cotech.pc@viamondorenault.com.br; lidercrm.pv@viamondo.com.br; pesquisa.pa5@viamondo.com.br</t>
  </si>
  <si>
    <t>gerentevendas.pa@viamondorenault.com.br; andre.tchmola@viamondo.com.br</t>
  </si>
  <si>
    <t>gerenteposvd.pa@viamondorenault.com.br; rafael.ozorio@viamondo.com.br;</t>
  </si>
  <si>
    <t>qualidade.pa@viamondorenault.com.br; qualidade.vg@viamondo.com.br; qualidade.pc@viamondo.com.br; carlos.andrade@viamondo.com.br; pesquisa.pa1@viamondo.com.br; qualidade.bi@viamondo.com.br</t>
  </si>
  <si>
    <t>cotech.pa@viamondorenault.com.br; lidercrm.pv@viamondo.com.br; analistaadm.pa@viamondorenault.com.br; pesquisa.pa5@viamondo.com.br</t>
  </si>
  <si>
    <t>gerenteposvd.vg@viamondorenault.com.br; gerentevendas.vg@viamondorenault.com.br; garantista.pc@viamondorenault.com.br; andre.tchmola@viamondo.com.br</t>
  </si>
  <si>
    <t>gerenteposvd.vg@viamondorenault.com.br; rafael.ozorio@viamondo.com.br</t>
  </si>
  <si>
    <t>qualidade.vg@viamondo.com.br; carlos.andrade@viamondo.com.br; pesquisa.pa1@viamondo.com.br; qualidade.pc@viamondo.com.br; qualidade.pa@viamondorenault.com.br; qualidade.bi@viamondo.com.br</t>
  </si>
  <si>
    <t>cotechvga@viamondorenault.com.br; supervisorposvd.vg@viamondo.com.br; lidercrm.pv@viamondo.com.br; pesquisa.pa5@viamondo.com.br</t>
  </si>
  <si>
    <t>bianca.sodre@grupovia1.com.br;Joana.ramos@eurovia.com.br ;</t>
  </si>
  <si>
    <t>fabio.maraux@eurovia.com.br</t>
  </si>
  <si>
    <t>cotech.rubi@grupoitadil.com.br; ailana.freitas@grupoitadil.com.br</t>
  </si>
  <si>
    <t>marcosoliveira@grupoitadil.com.br; ailana.freitas@grupoitadil.com.br</t>
  </si>
  <si>
    <t>carlos.junior@primavia.com.br; douglas.sales@renaultalliance.com.br</t>
  </si>
  <si>
    <t>eric.coelho@mcgestao.com.br</t>
  </si>
  <si>
    <t>lane.araujo@mcgestao.com.br; atendimentoaocliente1@brune.com.br</t>
  </si>
  <si>
    <t>cicero.jesus@brune.com.br; diego.barreto@brune.com.br; atendimentoaocliente@brune.com.br</t>
  </si>
  <si>
    <t>jean@jubiabaeuro.com.br</t>
  </si>
  <si>
    <t>igor.vaz@eurovia.com.br;</t>
  </si>
  <si>
    <t>hugo.santos@eurovia.com.br; alexandre.nunes@eurovia.com.br</t>
  </si>
  <si>
    <t>alexandre.nunes@eurovia.com.br; flavia.tavares@eurovia.com.br;</t>
  </si>
  <si>
    <t>flavia.tavares@eurovia.com.br; pedro.xavier@eurovia.com.br</t>
  </si>
  <si>
    <t>anderson.rocha@eurovia.com.br</t>
  </si>
  <si>
    <t>pedro.xavier@eurovia.com.br; ednita.pinto@eurovia.com.br; danilo.lima@eurovia.com.br</t>
  </si>
  <si>
    <t>melrison.renault@vialestepatos.com.br;</t>
  </si>
  <si>
    <t>renildo@vialestepatos.com.br;</t>
  </si>
  <si>
    <t>angela@vialestepatos.com.br;</t>
  </si>
  <si>
    <t>tayna@vialestepatos.com.br;victor.renault@vialestepatos.com.br;josimar@vialestepatos.com.br;gustavo@vialestepatos.com.br;val.santos@vialestepatos.com.br</t>
  </si>
  <si>
    <t>oficina@renaultvivant.com.br;danilo.lins@renaultvivant.com.br</t>
  </si>
  <si>
    <t>josejunior@autobelo.com.br;</t>
  </si>
  <si>
    <t>cotech@autoviarenault.com.br; ailana.freitas@grupoitadil.com.br</t>
  </si>
  <si>
    <t>marcelo.aquino@adtsa.com.br; rogers.lira@adtsa.com.br</t>
  </si>
  <si>
    <t>gilberto.neto@adtsa.com.br</t>
  </si>
  <si>
    <t>joel.barbosa@adtsa.com.br; gilberto.neto@adtsa.com.br;ana.flexa@adtsa.com.br</t>
  </si>
  <si>
    <t>liliane.costa@adtsa.com.br</t>
  </si>
  <si>
    <t>leonardo.pacheco@adtsa.com.br</t>
  </si>
  <si>
    <t>liliane.costa@adtsa.com.br; luenio.herculino@adtsa.com.br;</t>
  </si>
  <si>
    <t>leide.nunes@adtsa.com.br</t>
  </si>
  <si>
    <t xml:space="preserve">liliane.costa@adtsa.com.br </t>
  </si>
  <si>
    <t>eudes.aquino@adtsa.com.br; hebert.guimaraes@adtsa.com.br</t>
  </si>
  <si>
    <t xml:space="preserve">rodrigo@carmais.com.br;adriano.mendonca@carmais.com.br </t>
  </si>
  <si>
    <t>roberjaniapinheiro@fortnissan.com.br; janainaviviane@fortnissan.com.br</t>
  </si>
  <si>
    <t>santiago.silva@adtsa.com.br</t>
  </si>
  <si>
    <t>bruno.tude@adtsa.com.br; bruno.filho@adtsa.com.br; joao.tude@adtsa.com.br</t>
  </si>
  <si>
    <t>liliane.costa@adtsa.com.br; marcelo.aquino@adtsa.com.br; rogers.lira@adtsa.com.br</t>
  </si>
  <si>
    <t>dalzineide.silva@adtsa.com.br</t>
  </si>
  <si>
    <t>ana.flexa@adtsa.com.br</t>
  </si>
  <si>
    <t>liliane.costa@adtsa.com.br; francisco.gleiston@adtsa.com.br; santiago.silva@adtsa.com.br;</t>
  </si>
  <si>
    <t>cotech@terrasantarenault.com.br; thiago.bezerra@grupolinhares.com.br; ; cicera.valdenia@grupolinhares.com.br; luciana.silva@terrasantarenault.com.br; leonardo.resck@grupolinhares.com.br</t>
  </si>
  <si>
    <t>Loreane@grupojcf.com.br</t>
  </si>
  <si>
    <t>alison.prf@grupojcf.com</t>
  </si>
  <si>
    <t>qualidade@grupomazzutti.com.br;</t>
  </si>
  <si>
    <t>furlan@renaultalliance.com.br</t>
  </si>
  <si>
    <t>carlos.henrique@revemar.com.br; patricia.alencar@revemar.com.br; walter.gomes@revemar.com.br</t>
  </si>
  <si>
    <t>cristiane.sm@revemar.com.br</t>
  </si>
  <si>
    <t>bel.dno.quali2@revemar.com.br; bel.dno.quali@revemar.com.br</t>
  </si>
  <si>
    <t>luzia.santos@revemar.com.br; alice.mesquita@revemar.com.br; luciana.dias@revemar.com.br; gleica.meliza@revemar.com.br; jillis.costa@revemar.com.br</t>
  </si>
  <si>
    <t>luzia.santos@revemar.com.br; alice.mesquita@revemar.com.br; luciana.dias@revemar.com.br; gleica.meliza@revemar.com.br; wildrin.blanco@revemar.com.br</t>
  </si>
  <si>
    <t>lorhaine.fraga@revemar.com.br</t>
  </si>
  <si>
    <t>qualidade.itz.dunort@revemar.com.br; giuliana.carvalho@revemar.com.br</t>
  </si>
  <si>
    <t>luzia.santos@revemar.com.br; alice.mesquita@revemar.com.br; luciana.dias@revemar.com.br; aline.araujo@revemar.com.br</t>
  </si>
  <si>
    <t>ailson.neto@revemar.com.br</t>
  </si>
  <si>
    <t>lucileny.duarte@revemar.com.br</t>
  </si>
  <si>
    <t>janaina.sales@revemar.com.br; rosana.cirino@revemar.com.br</t>
  </si>
  <si>
    <t>luzia.santos@revemar.com.br; alice.mesquita@revemar.com.br; luciana.dias@revemar.com.br; amanda.evely@revemar.com.br</t>
  </si>
  <si>
    <t>wilkleson@revemar.com.br</t>
  </si>
  <si>
    <t>qualidade.dno.mab@revemar.com.br</t>
  </si>
  <si>
    <t xml:space="preserve">luzia.santos@revemar.com.br; alice.mesquita@revemar.com.br; luciana.dias@revemar.com.br;  joyce.glenda@revemar.com.br; </t>
  </si>
  <si>
    <t>geise.moraes@revemar.com.br;</t>
  </si>
  <si>
    <t>dunort.peb.quali@revemar.com.br</t>
  </si>
  <si>
    <t>luzia.santos@revemar.com.br; alice.mesquita@revemar.com.br; luciana.dias@revemar.com.br; joyce.glenda@revemar.com.br</t>
  </si>
  <si>
    <t>leandro.chaves@revemar.com.br</t>
  </si>
  <si>
    <t>qualidade.dno.rbr@revemar.com.br</t>
  </si>
  <si>
    <t>luzia.santos@revemar.com.br; alice.mesquita@revemar.com.br; luciana.dias@revemar.com.br; rayani.silva@revemar.com.br</t>
  </si>
  <si>
    <t>emerson.costa@revemar.com.br</t>
  </si>
  <si>
    <t>giuliana.carvalho@revemar.com.br; qualidade.itz.dunort@revemar.com.br</t>
  </si>
  <si>
    <t>luzia.santos@revemar.com.br; alice.mesquita@revemar.com.br; luciana.dias@revemar.com.br; amanda.costa@revemar.com.br</t>
  </si>
  <si>
    <t>luzia.santos@revemar.com.br; alice.mesquita@revemar.com.br; luciana.dias@revemar.com.br</t>
  </si>
  <si>
    <t>luzia.santos@revemar.com.br; alice.mesquita@revemar.com.br; luciana.dias@revemar.com.br; gleica.meliza@revemar.com.br</t>
  </si>
  <si>
    <t>douglas.silva@revemar.com.br</t>
  </si>
  <si>
    <t>ednaldo.candido@revemar.com.br</t>
  </si>
  <si>
    <t>qualidade.mco.dno2@revemar.com.br; kaue.santos@revemar.com.br</t>
  </si>
  <si>
    <t>ana.carreira@revemar.com.br</t>
  </si>
  <si>
    <t>walter@marlinrenault.com.br; gerenciavendas@marlinrenault.com.br</t>
  </si>
  <si>
    <t>qualidade@marlinrenault.com.br; auditordequalidade@marlinrenault.com.br</t>
  </si>
  <si>
    <t>assistentecomercial@marlinrenault.com.br; setordepecas@marlinrenault.com.br;  agendamento@marlinrenault.com.br; Samira@marlinrenault.com.br;</t>
  </si>
  <si>
    <t>joao.mjunior@originalautos.com.br</t>
  </si>
  <si>
    <t>alcimara.almeida@originalautos.com.br; fernando.renda@originalautos.com.br</t>
  </si>
  <si>
    <t>maria.darleni@originalautos.com.br; kluyvert.santos@originalautos.com.br; juliana.donorte@originalautos.com.br</t>
  </si>
  <si>
    <t>pedro.villasboas@originalautos.com.br; keyla.galvao@originalautos.com.br; laina.garcez@originalautos.com.br; nayara.cristina@originalautos.com.br</t>
  </si>
  <si>
    <t>REGIONAL</t>
  </si>
  <si>
    <t>SETOR</t>
  </si>
  <si>
    <t>RxS</t>
  </si>
  <si>
    <t>CONSULTOR 360</t>
  </si>
  <si>
    <r>
      <rPr>
        <b/>
        <u/>
        <sz val="9"/>
        <color rgb="FFC00000"/>
        <rFont val="NouvelR"/>
      </rPr>
      <t>À CONTRATAR/ATEND. TEMPORÁRIO:</t>
    </r>
    <r>
      <rPr>
        <b/>
        <sz val="9"/>
        <color rgb="FFC00000"/>
        <rFont val="NouvelR"/>
      </rPr>
      <t xml:space="preserve">
</t>
    </r>
    <r>
      <rPr>
        <sz val="9"/>
        <color rgb="FFC00000"/>
        <rFont val="NouvelR"/>
      </rPr>
      <t>VIDE REGIONALIZAÇÃO MARÇO/2025</t>
    </r>
  </si>
  <si>
    <t>Anderson Fabiani</t>
  </si>
  <si>
    <t>Poliana Cochito</t>
  </si>
  <si>
    <t>Eduardo Yochi</t>
  </si>
  <si>
    <t>Douglas Silva</t>
  </si>
  <si>
    <t>Glauder Tasso</t>
  </si>
  <si>
    <t>André Lorenzo</t>
  </si>
  <si>
    <t>Vivian Mendes</t>
  </si>
  <si>
    <t>À Contratrar</t>
  </si>
  <si>
    <t>Lourenço Brito</t>
  </si>
  <si>
    <t>Karine Dinardi</t>
  </si>
  <si>
    <t>Mariana Fonseca</t>
  </si>
  <si>
    <t>Fernanda Espigaroli</t>
  </si>
  <si>
    <t>Hebert Lourenço</t>
  </si>
  <si>
    <t>Alexander Serrano</t>
  </si>
  <si>
    <t>Eduardo Nogueira</t>
  </si>
  <si>
    <t>Carlos Utrabo</t>
  </si>
  <si>
    <t>Renata Andrade</t>
  </si>
  <si>
    <t>Michele Nojima</t>
  </si>
  <si>
    <t>Henrique Nascimento</t>
  </si>
  <si>
    <t>Aline Albino</t>
  </si>
  <si>
    <t>Carolina Almeida</t>
  </si>
  <si>
    <t>Nayara Gouveia</t>
  </si>
  <si>
    <t>Amanda Aguiar</t>
  </si>
  <si>
    <t>Grupo</t>
  </si>
  <si>
    <t>C360</t>
  </si>
  <si>
    <t>E-mail</t>
  </si>
  <si>
    <t>R1S1</t>
  </si>
  <si>
    <t>Grupo Barigui</t>
  </si>
  <si>
    <t>anderson.fabiani@renault.com</t>
  </si>
  <si>
    <t>Grupo Aravel</t>
  </si>
  <si>
    <t>R1S2</t>
  </si>
  <si>
    <t>Grupo Globo - SC</t>
  </si>
  <si>
    <t>poliana.cochito@renault.com</t>
  </si>
  <si>
    <t>Grupo Globo - PR</t>
  </si>
  <si>
    <t>R1S3</t>
  </si>
  <si>
    <t>Grupo Autoplus SC</t>
  </si>
  <si>
    <t>eduardo.yochi@renault.com</t>
  </si>
  <si>
    <t>Grupo Guará</t>
  </si>
  <si>
    <t>Grupo Itaimbé</t>
  </si>
  <si>
    <t>R1S4</t>
  </si>
  <si>
    <t>Grupo De Marco</t>
  </si>
  <si>
    <t>douglas.da-silva@renault.com</t>
  </si>
  <si>
    <t>Grupo Estação</t>
  </si>
  <si>
    <t>R1S5</t>
  </si>
  <si>
    <t>Grupo Gala</t>
  </si>
  <si>
    <t>glauder.tasso@renault.com</t>
  </si>
  <si>
    <t>Grupo Iesa</t>
  </si>
  <si>
    <t>Grupo Nissul</t>
  </si>
  <si>
    <t>R1S6</t>
  </si>
  <si>
    <t>Grupo DR Sul</t>
  </si>
  <si>
    <t>andre.lorenzo@renault.com</t>
  </si>
  <si>
    <t>Grupo Vip Car SC</t>
  </si>
  <si>
    <t>R1S7</t>
  </si>
  <si>
    <t>Grupo Fancar</t>
  </si>
  <si>
    <t>vivian.mendes@renault.com</t>
  </si>
  <si>
    <t>Grupo Morel</t>
  </si>
  <si>
    <t>Grupo Automega</t>
  </si>
  <si>
    <t>Grupo Open Veículos</t>
  </si>
  <si>
    <t>R2S1</t>
  </si>
  <si>
    <t>Grupo Itavema</t>
  </si>
  <si>
    <t>Suzana Muller</t>
  </si>
  <si>
    <t>suzana.muller@renault.com</t>
  </si>
  <si>
    <t>Grupo Toriba</t>
  </si>
  <si>
    <t>Grupo Destaque France</t>
  </si>
  <si>
    <t>R2S2</t>
  </si>
  <si>
    <t>Grupo Amazonas</t>
  </si>
  <si>
    <t>Grupo Mercantil Andreta</t>
  </si>
  <si>
    <t>Grupo Ville</t>
  </si>
  <si>
    <t>R2S3</t>
  </si>
  <si>
    <t>Grupo Estoril</t>
  </si>
  <si>
    <t>karine.k.dinardi@renault.com</t>
  </si>
  <si>
    <t>Grupo Balilla</t>
  </si>
  <si>
    <t>Grupo Abrão Reze</t>
  </si>
  <si>
    <t>Grupo Soma</t>
  </si>
  <si>
    <t>R2S4</t>
  </si>
  <si>
    <t>Grupo Valec</t>
  </si>
  <si>
    <t>mariana.fonseca@renault.com</t>
  </si>
  <si>
    <t>Grupo Maxvel</t>
  </si>
  <si>
    <t>R2S5</t>
  </si>
  <si>
    <t>Grupo Faberge</t>
  </si>
  <si>
    <t>Grupo Proeste</t>
  </si>
  <si>
    <t>Grupo SIM</t>
  </si>
  <si>
    <t>R2S6</t>
  </si>
  <si>
    <t>Grupo Euro</t>
  </si>
  <si>
    <t>hebert.lourenco@renault.com</t>
  </si>
  <si>
    <t>Grupo V Muchiutt</t>
  </si>
  <si>
    <t>Grupo Santa Emilia</t>
  </si>
  <si>
    <t>R2S7</t>
  </si>
  <si>
    <t>Grupo Armando</t>
  </si>
  <si>
    <t>Grupo Sinal France</t>
  </si>
  <si>
    <t>Grupo R Point</t>
  </si>
  <si>
    <t>R3S1</t>
  </si>
  <si>
    <t>Grupo Navesa</t>
  </si>
  <si>
    <t>Leonardo Candido</t>
  </si>
  <si>
    <t>leonardo.l.candido@renault.com</t>
  </si>
  <si>
    <t>Grupo Ravel</t>
  </si>
  <si>
    <t>Grupo Tecar GO</t>
  </si>
  <si>
    <t>Grupo Nasa</t>
  </si>
  <si>
    <t>R3S2</t>
  </si>
  <si>
    <t>Grupo Multicar</t>
  </si>
  <si>
    <t>carlos.utrabo@renault.com</t>
  </si>
  <si>
    <t>Grupo Leauto Paris</t>
  </si>
  <si>
    <t>thiago.braga@renault.com; renato.tocantins@renault.com</t>
  </si>
  <si>
    <t>Grupo Leva</t>
  </si>
  <si>
    <t>renata.r.andrade@renault.com</t>
  </si>
  <si>
    <t>Grupo Tecar DF</t>
  </si>
  <si>
    <t>eduardo.e.nogueira@renault.com</t>
  </si>
  <si>
    <t>R3S3</t>
  </si>
  <si>
    <t>Grupo Azzurra</t>
  </si>
  <si>
    <t>alexander.serrano@renault.com</t>
  </si>
  <si>
    <t>Grupo Dijon</t>
  </si>
  <si>
    <t>Grupo Auto France G2</t>
  </si>
  <si>
    <t>R3S4</t>
  </si>
  <si>
    <t>Grupo Orvel</t>
  </si>
  <si>
    <t>Grupo Premier</t>
  </si>
  <si>
    <t>R3S5</t>
  </si>
  <si>
    <t>Grupo BR France</t>
  </si>
  <si>
    <t>Grupo Minas France</t>
  </si>
  <si>
    <t>Grupo Carmo</t>
  </si>
  <si>
    <t>R3S6</t>
  </si>
  <si>
    <t>Grupo Besouro</t>
  </si>
  <si>
    <t>Grupo Dinisa</t>
  </si>
  <si>
    <t>Grupo Rio Sena</t>
  </si>
  <si>
    <t>Grupo Roma RJ</t>
  </si>
  <si>
    <t>R3S7</t>
  </si>
  <si>
    <t>Grupo Via MG</t>
  </si>
  <si>
    <t>Grupo Roma MG</t>
  </si>
  <si>
    <t>Grupo Via Mondo</t>
  </si>
  <si>
    <t>Grupo Urca France</t>
  </si>
  <si>
    <t>R4S1</t>
  </si>
  <si>
    <t>Grupo Eurovia BA</t>
  </si>
  <si>
    <t>michele.nojima@renault.com</t>
  </si>
  <si>
    <t>Grupo Marselha</t>
  </si>
  <si>
    <t>Grupo Nova Bahia</t>
  </si>
  <si>
    <t>Grupo Rodaleve</t>
  </si>
  <si>
    <t>Grupo Rubi</t>
  </si>
  <si>
    <t>R4S2</t>
  </si>
  <si>
    <t>Grupo Brune</t>
  </si>
  <si>
    <t>henrique.nascimento@renault.com</t>
  </si>
  <si>
    <t>Grupo Jubiabá</t>
  </si>
  <si>
    <t>Grupo Renovel</t>
  </si>
  <si>
    <t>Grupo Saga Lemans</t>
  </si>
  <si>
    <t>Grupo Alliance</t>
  </si>
  <si>
    <t>R4S3</t>
  </si>
  <si>
    <t>Grupo Via Leste</t>
  </si>
  <si>
    <t>aline.albino@renault.com</t>
  </si>
  <si>
    <t>Grupo Eurovia PE</t>
  </si>
  <si>
    <t>Grupo Eurovia</t>
  </si>
  <si>
    <t>Grupo Eurovia PB</t>
  </si>
  <si>
    <t>Grupo JPN</t>
  </si>
  <si>
    <t>Grupo Vivant</t>
  </si>
  <si>
    <t>R4S4</t>
  </si>
  <si>
    <t>Grupo Autovia</t>
  </si>
  <si>
    <t>carolina.c.almeida@renault.com</t>
  </si>
  <si>
    <t>Grupo Redenção</t>
  </si>
  <si>
    <t>Grupo La France</t>
  </si>
  <si>
    <t>Grupo Regence</t>
  </si>
  <si>
    <t>Grupo Gamboa</t>
  </si>
  <si>
    <t>R4S5</t>
  </si>
  <si>
    <t>Grupo Jangada</t>
  </si>
  <si>
    <t>nayara.gouveia@renault.com</t>
  </si>
  <si>
    <t>Grupo Nord</t>
  </si>
  <si>
    <t>Grupo Regence Fortaleza</t>
  </si>
  <si>
    <t>Grupo Terra Santa</t>
  </si>
  <si>
    <t>Grupo Via Paris</t>
  </si>
  <si>
    <t>R4S6</t>
  </si>
  <si>
    <t>Grupo Mazzutti</t>
  </si>
  <si>
    <t>amanda.aguiar@renault.com</t>
  </si>
  <si>
    <t>Grupo Dical</t>
  </si>
  <si>
    <t>Grupo Gama Veículos</t>
  </si>
  <si>
    <t xml:space="preserve">gisele.pinto@renault.com; fabio.guedes@renault.com     </t>
  </si>
  <si>
    <t>Grupo Grand Cite</t>
  </si>
  <si>
    <t>Grupo La Vie</t>
  </si>
  <si>
    <t>Grupo Primavia</t>
  </si>
  <si>
    <t>R4S7</t>
  </si>
  <si>
    <t>Grupo Du Nort Belém</t>
  </si>
  <si>
    <t>Grupo Du Nort São Luís</t>
  </si>
  <si>
    <t>Grupo Du Nort Marabá</t>
  </si>
  <si>
    <t>Grupo Du Nort Manaus</t>
  </si>
  <si>
    <t>Grupo Marlin</t>
  </si>
  <si>
    <t>Grupo Original</t>
  </si>
  <si>
    <t>x</t>
  </si>
  <si>
    <t>CONCESSIONÁRIAS RENAULT</t>
  </si>
  <si>
    <t>Relatórios da VOC</t>
  </si>
  <si>
    <t>#</t>
  </si>
  <si>
    <t>Data RdB no 
Ponto/Cid</t>
  </si>
  <si>
    <t>N° BIR - 0</t>
  </si>
  <si>
    <t>RAZÃO SOCIAL</t>
  </si>
  <si>
    <t>NOME COMERCIAL</t>
  </si>
  <si>
    <t>TITULAR</t>
  </si>
  <si>
    <t>REGIÃO</t>
  </si>
  <si>
    <t>Nº BIR</t>
  </si>
  <si>
    <t>SETOR VN</t>
  </si>
  <si>
    <t xml:space="preserve">SETOR PV </t>
  </si>
  <si>
    <t>GRUPO</t>
  </si>
  <si>
    <t>CONSULTOR VN</t>
  </si>
  <si>
    <t>CONSULTOR PV</t>
  </si>
  <si>
    <t>BIR GRUPO</t>
  </si>
  <si>
    <t>E-MAIL CONSULTOR VN</t>
  </si>
  <si>
    <t>E-MAIL CONSULTOR PV</t>
  </si>
  <si>
    <t>Grupos Econômicos</t>
  </si>
  <si>
    <t>2 M Comércio de Veículos Ltda</t>
  </si>
  <si>
    <t>José Carlos Dourado de Azevedo Júnior</t>
  </si>
  <si>
    <t>07600804</t>
  </si>
  <si>
    <t>R4</t>
  </si>
  <si>
    <t>RV4S2</t>
  </si>
  <si>
    <t>Heloisa Landiose</t>
  </si>
  <si>
    <t>heloisa.landiose-extern@renault.com</t>
  </si>
  <si>
    <t>R</t>
  </si>
  <si>
    <t>S</t>
  </si>
  <si>
    <t>07601095</t>
  </si>
  <si>
    <t>A.J.C. Veículos e Serviços Ltda</t>
  </si>
  <si>
    <t>Wladimir Antônio Viana</t>
  </si>
  <si>
    <t>07600033</t>
  </si>
  <si>
    <t>R2</t>
  </si>
  <si>
    <t>Rennan Alves</t>
  </si>
  <si>
    <t>rennan.alves@renault.com</t>
  </si>
  <si>
    <t xml:space="preserve">karine.k.dinardi@renault.com </t>
  </si>
  <si>
    <t>07600093</t>
  </si>
  <si>
    <t>Sergio Barros de Carvalho</t>
  </si>
  <si>
    <t>07600713</t>
  </si>
  <si>
    <t>Rodrigo Silveira do Espírito Santo</t>
  </si>
  <si>
    <t>07600951</t>
  </si>
  <si>
    <t>Amazonas France Comércio de Veículos e Peças Ltda.</t>
  </si>
  <si>
    <t>07601062</t>
  </si>
  <si>
    <t>Carolina Santos</t>
  </si>
  <si>
    <t xml:space="preserve"> mariana.fonseca@renault.com </t>
  </si>
  <si>
    <t>carolina.santos@renault.com</t>
  </si>
  <si>
    <t>Grupo Autovia/Rubi</t>
  </si>
  <si>
    <t>07601165</t>
  </si>
  <si>
    <t>Annecy Comercial de Veículos Ltda.</t>
  </si>
  <si>
    <t>07601053</t>
  </si>
  <si>
    <t>R3</t>
  </si>
  <si>
    <t>RV3S1</t>
  </si>
  <si>
    <t>Rafael Anselmo</t>
  </si>
  <si>
    <t>rafael.anselmo-extern@renault.com</t>
  </si>
  <si>
    <t>Luiz Carlos Oggioni</t>
  </si>
  <si>
    <t>07601054</t>
  </si>
  <si>
    <t>Autoplus SC Distribuidora LTDA</t>
  </si>
  <si>
    <t>07600742</t>
  </si>
  <si>
    <t>R1</t>
  </si>
  <si>
    <t>TBD</t>
  </si>
  <si>
    <t xml:space="preserve">anderson.fabiani@renault.com </t>
  </si>
  <si>
    <t>07600777</t>
  </si>
  <si>
    <t>07600873</t>
  </si>
  <si>
    <t>Ademar Nienkotter</t>
  </si>
  <si>
    <t>07601210</t>
  </si>
  <si>
    <t>07601216</t>
  </si>
  <si>
    <t>Autoplus SC Balneário Camboriú</t>
  </si>
  <si>
    <t>07601224</t>
  </si>
  <si>
    <t>Autovia Veiculos Ltda</t>
  </si>
  <si>
    <t>Rubi Petrolina</t>
  </si>
  <si>
    <t>07600732</t>
  </si>
  <si>
    <t xml:space="preserve">michele.nojima@renault.com </t>
  </si>
  <si>
    <t>Azzurra France Veículos Ltda.</t>
  </si>
  <si>
    <t>07600968</t>
  </si>
  <si>
    <t>Danyke Livramento</t>
  </si>
  <si>
    <t>danyke.livramento@renault.com</t>
  </si>
  <si>
    <t>Édio Assis Fuchter</t>
  </si>
  <si>
    <t>07600878</t>
  </si>
  <si>
    <t>07601134</t>
  </si>
  <si>
    <t>Balilla Distribuidora de Veículos Rlt Ltda</t>
  </si>
  <si>
    <t>07600824</t>
  </si>
  <si>
    <t>RV2S1</t>
  </si>
  <si>
    <t>Grupo Du Nort</t>
  </si>
  <si>
    <t>Bis Distribuidora de Veículos Ltda</t>
  </si>
  <si>
    <t>07600549</t>
  </si>
  <si>
    <t>07600618</t>
  </si>
  <si>
    <t>07600817</t>
  </si>
  <si>
    <t>Lello Pepe Filho</t>
  </si>
  <si>
    <t>07600819</t>
  </si>
  <si>
    <t>07600922</t>
  </si>
  <si>
    <t>07600939</t>
  </si>
  <si>
    <t>Antonio Geraldo Lorenzette</t>
  </si>
  <si>
    <t>07600929</t>
  </si>
  <si>
    <t>BR France Brasília LTDA.</t>
  </si>
  <si>
    <t>Antonio Bordin Neto / Ivo Luiz Roveda</t>
  </si>
  <si>
    <t>07601037</t>
  </si>
  <si>
    <t>Grupo Jorlan France Brasília</t>
  </si>
  <si>
    <t>07601038</t>
  </si>
  <si>
    <t>07601128</t>
  </si>
  <si>
    <t>BR France Veículos Ltda</t>
  </si>
  <si>
    <t>07600546</t>
  </si>
  <si>
    <t>Grupo Jorlan France Minas</t>
  </si>
  <si>
    <t>07600705</t>
  </si>
  <si>
    <t>07601169</t>
  </si>
  <si>
    <t>Brune Veículos Ltda</t>
  </si>
  <si>
    <t>07600501</t>
  </si>
  <si>
    <t>Carmo Veículos Ltda</t>
  </si>
  <si>
    <t>Luiz Carlos da Silva Albuquerque</t>
  </si>
  <si>
    <t>07600086</t>
  </si>
  <si>
    <t>Grupo BR France/Minas France</t>
  </si>
  <si>
    <t>07601004</t>
  </si>
  <si>
    <t>Comércio de Veículos Santana LTDA</t>
  </si>
  <si>
    <t>Luiz José Pimenta</t>
  </si>
  <si>
    <t>07601094</t>
  </si>
  <si>
    <t>Faberge France Distribuidora de Veículos e Peças Ltda.</t>
  </si>
  <si>
    <t>Sione Aparecida do Carmo</t>
  </si>
  <si>
    <t>07601123</t>
  </si>
  <si>
    <t>De Marco Ltda</t>
  </si>
  <si>
    <t>Sione Carmo</t>
  </si>
  <si>
    <t>07600167</t>
  </si>
  <si>
    <t>Rafael Tozzo</t>
  </si>
  <si>
    <t>07600633</t>
  </si>
  <si>
    <t>07600641</t>
  </si>
  <si>
    <t>07600746</t>
  </si>
  <si>
    <t>07600776</t>
  </si>
  <si>
    <t>07600888</t>
  </si>
  <si>
    <t>07600943</t>
  </si>
  <si>
    <t>07601126</t>
  </si>
  <si>
    <t>07601213</t>
  </si>
  <si>
    <t xml:space="preserve">Destaque France Dist.Imp.Veic.Pc. Ltda </t>
  </si>
  <si>
    <t>07600332</t>
  </si>
  <si>
    <t>Jaime Oliveira</t>
  </si>
  <si>
    <t>07600845</t>
  </si>
  <si>
    <t>Diamantino &amp; Cia Ltda</t>
  </si>
  <si>
    <t>07600466</t>
  </si>
  <si>
    <t>Osvaldo Rui Dias Martins</t>
  </si>
  <si>
    <t>07600718</t>
  </si>
  <si>
    <t>Aloisio Carlos Mota Júnior</t>
  </si>
  <si>
    <t>07601158</t>
  </si>
  <si>
    <t>Aloísio Carlos Mota Júnior</t>
  </si>
  <si>
    <t>07601153</t>
  </si>
  <si>
    <t>07601156</t>
  </si>
  <si>
    <t>Antônio Rodrigues / Gustavo Rodrigues</t>
  </si>
  <si>
    <t>07601159</t>
  </si>
  <si>
    <t>07601135</t>
  </si>
  <si>
    <t>Grupo Roma</t>
  </si>
  <si>
    <t>07601155</t>
  </si>
  <si>
    <t>Adelar Santarém / Rafael Santarem</t>
  </si>
  <si>
    <t>07601154</t>
  </si>
  <si>
    <t>07601196</t>
  </si>
  <si>
    <t>07601291</t>
  </si>
  <si>
    <t>Grupo Du Nort Maceió</t>
  </si>
  <si>
    <t>07601292</t>
  </si>
  <si>
    <t>Dical Veículos, Peças e Serviços Ltda</t>
  </si>
  <si>
    <t>07600678</t>
  </si>
  <si>
    <t>Grupo Saga</t>
  </si>
  <si>
    <t>Dijon Automoveis Ltda</t>
  </si>
  <si>
    <t>07600417</t>
  </si>
  <si>
    <t>07601188</t>
  </si>
  <si>
    <t>Rafael Santarem</t>
  </si>
  <si>
    <t>07601109</t>
  </si>
  <si>
    <t>Dinisa Sul Dist. Niterói de Veíc. Ltda</t>
  </si>
  <si>
    <t>07600088</t>
  </si>
  <si>
    <t>07600111</t>
  </si>
  <si>
    <t>DR - Sul Veículos Ltda</t>
  </si>
  <si>
    <t>07600109</t>
  </si>
  <si>
    <t>Grupo Tecar</t>
  </si>
  <si>
    <t>07600192</t>
  </si>
  <si>
    <t>Winston Diamantino</t>
  </si>
  <si>
    <t>07600692</t>
  </si>
  <si>
    <t>DR Sul Canela SN</t>
  </si>
  <si>
    <t>07600752</t>
  </si>
  <si>
    <t>07600762</t>
  </si>
  <si>
    <t>07600808</t>
  </si>
  <si>
    <t>07600871</t>
  </si>
  <si>
    <t>07600963</t>
  </si>
  <si>
    <t>07601198</t>
  </si>
  <si>
    <t>Grupo Pinauto</t>
  </si>
  <si>
    <t>07601293</t>
  </si>
  <si>
    <t>Grupo Alliance/Primavia/Prima Via</t>
  </si>
  <si>
    <t>07601294</t>
  </si>
  <si>
    <t>07601295</t>
  </si>
  <si>
    <t>Estoril Distribuidora de Veículos Ltda</t>
  </si>
  <si>
    <t>07600108</t>
  </si>
  <si>
    <t>07600604</t>
  </si>
  <si>
    <t>Euro RP Veículos Ltda</t>
  </si>
  <si>
    <t>Luiz Sérgio de Oliveira Maia</t>
  </si>
  <si>
    <t>07600973</t>
  </si>
  <si>
    <t>07600992</t>
  </si>
  <si>
    <t>Armando Jorge Peralta</t>
  </si>
  <si>
    <t>07601268</t>
  </si>
  <si>
    <t>Eurovia Veículos S/A</t>
  </si>
  <si>
    <t>07600085</t>
  </si>
  <si>
    <t>07600139</t>
  </si>
  <si>
    <t>Tiago Toniello</t>
  </si>
  <si>
    <t>07600299</t>
  </si>
  <si>
    <t>07/04/2014</t>
  </si>
  <si>
    <t>Eurovia Imbiribeira Renault Selection</t>
  </si>
  <si>
    <t>07600511</t>
  </si>
  <si>
    <t>Fernando Figueiredo/Paulo Figueiredo</t>
  </si>
  <si>
    <t>07601209</t>
  </si>
  <si>
    <t>07600415</t>
  </si>
  <si>
    <t>07600741</t>
  </si>
  <si>
    <t>Eurovia João Pessoa</t>
  </si>
  <si>
    <t>07601264</t>
  </si>
  <si>
    <t>07601263</t>
  </si>
  <si>
    <t>07601262</t>
  </si>
  <si>
    <t>Fancar Comércio de Veículos Ltda</t>
  </si>
  <si>
    <t>07601105</t>
  </si>
  <si>
    <t>Paulo Figueiredo</t>
  </si>
  <si>
    <t>07601234</t>
  </si>
  <si>
    <t>Fórmula Comercio de Automoveis Ltda</t>
  </si>
  <si>
    <t>07600391</t>
  </si>
  <si>
    <t>07600453</t>
  </si>
  <si>
    <t>Roberto Luiz Faberge</t>
  </si>
  <si>
    <t>07600474</t>
  </si>
  <si>
    <t>Barigui Curitiba Seminovos</t>
  </si>
  <si>
    <t>Nelvio Perin</t>
  </si>
  <si>
    <t>07600496</t>
  </si>
  <si>
    <t>07600569</t>
  </si>
  <si>
    <t>Jose  Laitano</t>
  </si>
  <si>
    <t>07601220</t>
  </si>
  <si>
    <t>José  Laitano</t>
  </si>
  <si>
    <t>07601221</t>
  </si>
  <si>
    <t>Wilson Leite Duarte Junior</t>
  </si>
  <si>
    <t>07601222</t>
  </si>
  <si>
    <t>G2 Auto France Ltda</t>
  </si>
  <si>
    <t>Mário Antônio dos Santos</t>
  </si>
  <si>
    <t>07600690</t>
  </si>
  <si>
    <t>07600813</t>
  </si>
  <si>
    <t>07600820</t>
  </si>
  <si>
    <t>Gabardo e Laitano Ltda</t>
  </si>
  <si>
    <t>07600983</t>
  </si>
  <si>
    <t>07600993</t>
  </si>
  <si>
    <t>Globo Comércio de Veículos e Peças Ltda</t>
  </si>
  <si>
    <t>07600100</t>
  </si>
  <si>
    <t>07600331</t>
  </si>
  <si>
    <t>07600358</t>
  </si>
  <si>
    <t>Jorge de Jesus Récio</t>
  </si>
  <si>
    <t>07600360</t>
  </si>
  <si>
    <t>Karlos César Fernandes</t>
  </si>
  <si>
    <t>07600361</t>
  </si>
  <si>
    <t>07600595</t>
  </si>
  <si>
    <t>07600728</t>
  </si>
  <si>
    <t>Marco Nahas</t>
  </si>
  <si>
    <t>07600913</t>
  </si>
  <si>
    <t>07601214</t>
  </si>
  <si>
    <t>Grand Cite Automoveis Ltda</t>
  </si>
  <si>
    <t>07600897</t>
  </si>
  <si>
    <t>Guará Comércio de Veículos Ltda</t>
  </si>
  <si>
    <t>Marco Antonio Rocha Nahas</t>
  </si>
  <si>
    <t>07600991</t>
  </si>
  <si>
    <t>07601047</t>
  </si>
  <si>
    <t>07601142</t>
  </si>
  <si>
    <t>Iesa Veículos Ltda</t>
  </si>
  <si>
    <t>07600012</t>
  </si>
  <si>
    <t>07600154</t>
  </si>
  <si>
    <t>07600602</t>
  </si>
  <si>
    <t>Ronald Doeler/Daniel Doeler</t>
  </si>
  <si>
    <t>07600854</t>
  </si>
  <si>
    <t xml:space="preserve">Grupo Iesa </t>
  </si>
  <si>
    <t>07600860</t>
  </si>
  <si>
    <t>07600887</t>
  </si>
  <si>
    <t>07601197</t>
  </si>
  <si>
    <t>07601199</t>
  </si>
  <si>
    <t>Mário Sérgio Moreira Franco</t>
  </si>
  <si>
    <t>07601299</t>
  </si>
  <si>
    <t>Itaimbé Automóveis Ltda</t>
  </si>
  <si>
    <t>07600023</t>
  </si>
  <si>
    <t>07600271</t>
  </si>
  <si>
    <t>07600373</t>
  </si>
  <si>
    <t>Júlio Ventura Neto</t>
  </si>
  <si>
    <t>07600701</t>
  </si>
  <si>
    <t>Orlando Carlos da Silva</t>
  </si>
  <si>
    <t>07600756</t>
  </si>
  <si>
    <t>Itavema France Veículos Ltda</t>
  </si>
  <si>
    <t>07600152</t>
  </si>
  <si>
    <t>Orlando Carlos da Silva Jr</t>
  </si>
  <si>
    <t>07600187</t>
  </si>
  <si>
    <t>07600353</t>
  </si>
  <si>
    <t>07600566</t>
  </si>
  <si>
    <t xml:space="preserve">Jangada Veiculos e Pecas Ltda </t>
  </si>
  <si>
    <t>07600286</t>
  </si>
  <si>
    <t>JMJ Com. de Veíc. e Peças Ltda</t>
  </si>
  <si>
    <t>José Nascimento/ Ricardo Nascimento</t>
  </si>
  <si>
    <t>07600104</t>
  </si>
  <si>
    <t>Redenção Natal II</t>
  </si>
  <si>
    <t>José Nascimento/Ricardo Nascimento</t>
  </si>
  <si>
    <t>07600781</t>
  </si>
  <si>
    <t xml:space="preserve">Modezil Ferreira de Cerqueira </t>
  </si>
  <si>
    <t>07600763</t>
  </si>
  <si>
    <t>JPN Campina Grande Comércio de Veículos LTDA</t>
  </si>
  <si>
    <t>Helcio Cardoso de Matos Sobrinho</t>
  </si>
  <si>
    <t>07601091</t>
  </si>
  <si>
    <t>José Costa França</t>
  </si>
  <si>
    <t>07601187</t>
  </si>
  <si>
    <t>Jubiabá Veículos Ltda</t>
  </si>
  <si>
    <t>07600473</t>
  </si>
  <si>
    <t>La France Veículos Ltda</t>
  </si>
  <si>
    <t>Alfredo Leta</t>
  </si>
  <si>
    <t>07600863</t>
  </si>
  <si>
    <t>Lage e Gomes Comércio de Veículos Ltda</t>
  </si>
  <si>
    <t>07601104</t>
  </si>
  <si>
    <t>Leauto Paris Ltda</t>
  </si>
  <si>
    <t>07600013</t>
  </si>
  <si>
    <t>07600213</t>
  </si>
  <si>
    <t>João Carlos Pires Barbosa / Maria Carolina Alves Nogueira</t>
  </si>
  <si>
    <t>07600312</t>
  </si>
  <si>
    <t>João Carlos Pires Barbosa/Maria Carolina Alves Nogueira</t>
  </si>
  <si>
    <t>07600526</t>
  </si>
  <si>
    <t>Marlin Veículos Ltda</t>
  </si>
  <si>
    <t>Luiz Távora</t>
  </si>
  <si>
    <t>07600764</t>
  </si>
  <si>
    <t>Marselha Comercio de Veiculos Ltda</t>
  </si>
  <si>
    <t>Antonio Jorge de Almeida Santos</t>
  </si>
  <si>
    <t>07601137</t>
  </si>
  <si>
    <t>Mercantil Andreta de Veiculos Ltda</t>
  </si>
  <si>
    <t>Fernanda Hungria/Graciana Ribeiro</t>
  </si>
  <si>
    <t>07600382</t>
  </si>
  <si>
    <t>Cesar Eduardo Mazzutti</t>
  </si>
  <si>
    <t>07600449</t>
  </si>
  <si>
    <t>07600550</t>
  </si>
  <si>
    <t>José Andreta</t>
  </si>
  <si>
    <t>07600610</t>
  </si>
  <si>
    <t>07601112</t>
  </si>
  <si>
    <t>07601235</t>
  </si>
  <si>
    <t>Mercantil Andreta de Veiculos LTDA</t>
  </si>
  <si>
    <t>07601298</t>
  </si>
  <si>
    <t>07601236</t>
  </si>
  <si>
    <t xml:space="preserve">Morel Distribuidora de Veiculos Ltda </t>
  </si>
  <si>
    <t>07600671</t>
  </si>
  <si>
    <t>Nasa France Veículos Ltda</t>
  </si>
  <si>
    <t>07600848</t>
  </si>
  <si>
    <t>Navesa Veículos Ltda</t>
  </si>
  <si>
    <t>07600839</t>
  </si>
  <si>
    <t>Nissul Veículos Ltda</t>
  </si>
  <si>
    <t>Valmor Bressan</t>
  </si>
  <si>
    <t>07600442</t>
  </si>
  <si>
    <t>Valter V.Muchiutti/ Luciano N. Muchiutti</t>
  </si>
  <si>
    <t>07600601</t>
  </si>
  <si>
    <t>Maxwell Lage</t>
  </si>
  <si>
    <t>07600816</t>
  </si>
  <si>
    <t>Nord Veículos Ltda</t>
  </si>
  <si>
    <t>Wanda Goldfeld de Melo</t>
  </si>
  <si>
    <t>07600927</t>
  </si>
  <si>
    <t>Nova Bahia Comércio de Veículos Ltda</t>
  </si>
  <si>
    <t>Edgar Valadares de Queiroz</t>
  </si>
  <si>
    <t>07600803</t>
  </si>
  <si>
    <t>Nova Toriba Veículos Ltda</t>
  </si>
  <si>
    <t>José Laitano</t>
  </si>
  <si>
    <t>07600953</t>
  </si>
  <si>
    <t>07600954</t>
  </si>
  <si>
    <t>Open Veículos Ltda</t>
  </si>
  <si>
    <t>07600258</t>
  </si>
  <si>
    <t>Francisco Sergio Cabral de Menezes Holanda</t>
  </si>
  <si>
    <t>07600263</t>
  </si>
  <si>
    <t>Nilo Augusto Moraes Coelho</t>
  </si>
  <si>
    <t>07600277</t>
  </si>
  <si>
    <t>Marcos Urio</t>
  </si>
  <si>
    <t>07601297</t>
  </si>
  <si>
    <t>Original Nice Comércio de Veículos, Peças e Serviços S.A</t>
  </si>
  <si>
    <t>07600709</t>
  </si>
  <si>
    <t>Orvel Automotor RNT LTDA</t>
  </si>
  <si>
    <t>07600822</t>
  </si>
  <si>
    <t>07600826</t>
  </si>
  <si>
    <t>Alessandro Soldi / Antonio Cavalcanti Junior</t>
  </si>
  <si>
    <t>07600875</t>
  </si>
  <si>
    <t>Wagner Victor Orletti</t>
  </si>
  <si>
    <t>07601179</t>
  </si>
  <si>
    <t>07601180</t>
  </si>
  <si>
    <t>Paris Comércio Varejista de Automóveis Ltda</t>
  </si>
  <si>
    <t>07600810</t>
  </si>
  <si>
    <t>07600872</t>
  </si>
  <si>
    <t>Premier Veículos Ltda</t>
  </si>
  <si>
    <t>Premier SIA</t>
  </si>
  <si>
    <t>07600062</t>
  </si>
  <si>
    <t>Leandro de Oliveira / Ricardo Oliveira</t>
  </si>
  <si>
    <t>07600726</t>
  </si>
  <si>
    <t>Prima Via Comércio De Automóveis Ltda.</t>
  </si>
  <si>
    <t>07601067</t>
  </si>
  <si>
    <t>Primavia Comercio De Automoveis Ltda</t>
  </si>
  <si>
    <t>José A. Foganholi / Paula R. de Souza Garcia</t>
  </si>
  <si>
    <t>07600599</t>
  </si>
  <si>
    <t>RV4S1</t>
  </si>
  <si>
    <t>Grupo Via</t>
  </si>
  <si>
    <t>Proeste Comércio de Veiculos e Peças Bauru Ltda.</t>
  </si>
  <si>
    <t>07600895</t>
  </si>
  <si>
    <t>07600918</t>
  </si>
  <si>
    <t>07600920</t>
  </si>
  <si>
    <t>07600921</t>
  </si>
  <si>
    <t>07601110</t>
  </si>
  <si>
    <t>R Point Comercial de Automoveis Ltda</t>
  </si>
  <si>
    <t>07600528</t>
  </si>
  <si>
    <t>07600584</t>
  </si>
  <si>
    <t>07600916</t>
  </si>
  <si>
    <t>Flávio Guimarães Porto</t>
  </si>
  <si>
    <t>07600917</t>
  </si>
  <si>
    <t>Ravel Comercio de Veículos, peças e serviços Ltda</t>
  </si>
  <si>
    <t>Moacir. D. Potiguar Jr.</t>
  </si>
  <si>
    <t>07600832</t>
  </si>
  <si>
    <t>Regence Veículos Peças e Serviços Ltda</t>
  </si>
  <si>
    <t>Moacir D. Portiguar</t>
  </si>
  <si>
    <t>07600596</t>
  </si>
  <si>
    <t>07600597</t>
  </si>
  <si>
    <t>Francisco Tude de Melo Neto</t>
  </si>
  <si>
    <t>07600737</t>
  </si>
  <si>
    <t>07600743</t>
  </si>
  <si>
    <t>07600948</t>
  </si>
  <si>
    <t>07600985</t>
  </si>
  <si>
    <t>Renovel Veículos Ltda</t>
  </si>
  <si>
    <t>07600091</t>
  </si>
  <si>
    <t>Repecon Veículos Ltda</t>
  </si>
  <si>
    <t>07600007</t>
  </si>
  <si>
    <t>Antonio Valença Rollemberg Neto</t>
  </si>
  <si>
    <t>07600219</t>
  </si>
  <si>
    <t>Raoni Mancilha Salomão</t>
  </si>
  <si>
    <t>07600560</t>
  </si>
  <si>
    <t>Sebastião Neto</t>
  </si>
  <si>
    <t>07600642</t>
  </si>
  <si>
    <t>07600778</t>
  </si>
  <si>
    <t>Rio Doce Comércio de Veículos Ltda</t>
  </si>
  <si>
    <t>Marcus Vinicius Gomes Teixeira</t>
  </si>
  <si>
    <t>07600592</t>
  </si>
  <si>
    <t>07601201</t>
  </si>
  <si>
    <t>Rio Sena Comércio de Veículos Ltda</t>
  </si>
  <si>
    <t>07600989</t>
  </si>
  <si>
    <t>Rodaleve R Veículos Ltda</t>
  </si>
  <si>
    <t>07600393</t>
  </si>
  <si>
    <t>Ervino Binow Junior</t>
  </si>
  <si>
    <t>07600861</t>
  </si>
  <si>
    <t>Roma France R Automoveis e Serviços Ltda</t>
  </si>
  <si>
    <t>07601160</t>
  </si>
  <si>
    <t>07601167</t>
  </si>
  <si>
    <t>Luiz Sérgio Oliveira Maia</t>
  </si>
  <si>
    <t>07601168</t>
  </si>
  <si>
    <t>Rui Flávio Chúfalo</t>
  </si>
  <si>
    <t>07601240</t>
  </si>
  <si>
    <t>Rubi Veículos Ltda</t>
  </si>
  <si>
    <t>07600757</t>
  </si>
  <si>
    <t>07600760</t>
  </si>
  <si>
    <t>8/5/2006</t>
  </si>
  <si>
    <t>Saga Lemans Comércio de Veículos Ltda</t>
  </si>
  <si>
    <t>William Baida</t>
  </si>
  <si>
    <t>07601061</t>
  </si>
  <si>
    <t>Saga Pantanal Comércio de Veículos Ltda</t>
  </si>
  <si>
    <t>Willian Baida</t>
  </si>
  <si>
    <t>07600990</t>
  </si>
  <si>
    <t>07601148</t>
  </si>
  <si>
    <t>Saint Emilion Automóveis Peças e Serviços Ltda</t>
  </si>
  <si>
    <t>07600554</t>
  </si>
  <si>
    <t>07600667</t>
  </si>
  <si>
    <t>25/02/2006</t>
  </si>
  <si>
    <t>07600759</t>
  </si>
  <si>
    <t>Santa Emília Ile de France Comercial de Veículos e Peças Ltda</t>
  </si>
  <si>
    <t>07600519</t>
  </si>
  <si>
    <t>07600567</t>
  </si>
  <si>
    <t>Grupo Globo</t>
  </si>
  <si>
    <t>Paulo Sergio Ayub</t>
  </si>
  <si>
    <t>07600614</t>
  </si>
  <si>
    <t>Soma France Automóveis Ltda</t>
  </si>
  <si>
    <t>07600932</t>
  </si>
  <si>
    <t>Soma France Itapetininga</t>
  </si>
  <si>
    <t>07601219</t>
  </si>
  <si>
    <t>João Maurício/ Leonardo/ João Henrique A. Normanha</t>
  </si>
  <si>
    <t>07601151</t>
  </si>
  <si>
    <t>Ssbarcar Veículos Ltda</t>
  </si>
  <si>
    <t>07601108</t>
  </si>
  <si>
    <t>Tecardf Veículos e Serviços Ltda</t>
  </si>
  <si>
    <t>Fernando Cardoso Linhares Filho</t>
  </si>
  <si>
    <t>07600249</t>
  </si>
  <si>
    <t>Alvaro Rodrigues Antunes de Faria</t>
  </si>
  <si>
    <t>07600520</t>
  </si>
  <si>
    <t>Terra Santa Comércio de Veículos Ltda</t>
  </si>
  <si>
    <t>07601136</t>
  </si>
  <si>
    <t>Urca France Automóveis Ltda</t>
  </si>
  <si>
    <t>Ataides de Deus Vieira Pozzi</t>
  </si>
  <si>
    <t>07601175</t>
  </si>
  <si>
    <t>07601176</t>
  </si>
  <si>
    <t>V Muchiutt Concessionária de Autos LTDA</t>
  </si>
  <si>
    <t>Dorival Luchini</t>
  </si>
  <si>
    <t>07601097</t>
  </si>
  <si>
    <t>Valec Dist. de Veículos Ltda</t>
  </si>
  <si>
    <t>07600075</t>
  </si>
  <si>
    <t>07600156</t>
  </si>
  <si>
    <t>07600383</t>
  </si>
  <si>
    <t>07600608</t>
  </si>
  <si>
    <t>Valec Dist. De Veículos Ltda</t>
  </si>
  <si>
    <t>Jose Carlos Dourado de Azevedo / Elza Maria Vieira Gaia Dourado de Azevedo</t>
  </si>
  <si>
    <t>07601141</t>
  </si>
  <si>
    <t>Velmax Tatuí Veículos LTDA</t>
  </si>
  <si>
    <t>07601087</t>
  </si>
  <si>
    <t>Via Aliança Comércio de Automóveis LTDA.</t>
  </si>
  <si>
    <t>Hércules Sidney Firmino</t>
  </si>
  <si>
    <t>07600976</t>
  </si>
  <si>
    <t>Paulo César Bontempo Silva</t>
  </si>
  <si>
    <t>07601076</t>
  </si>
  <si>
    <t>Via Paris Automóveis Ltda</t>
  </si>
  <si>
    <t>07600164</t>
  </si>
  <si>
    <t>07600755</t>
  </si>
  <si>
    <t>Daniel Pinheiro Guimarães</t>
  </si>
  <si>
    <t>07600779</t>
  </si>
  <si>
    <t>Ville Rio Preto Com. de Veículos e Peças Ltda</t>
  </si>
  <si>
    <t>07600440</t>
  </si>
  <si>
    <t>07600446</t>
  </si>
  <si>
    <t>Alexandre Caroni Bozola</t>
  </si>
  <si>
    <t>07600598</t>
  </si>
  <si>
    <t>07600691</t>
  </si>
  <si>
    <t>Vivant Comércio Automotivo LTDA</t>
  </si>
  <si>
    <t>07601086</t>
  </si>
  <si>
    <t xml:space="preserve">WB Veiculos, Peças e Serviços Ltda </t>
  </si>
  <si>
    <t>07600935</t>
  </si>
  <si>
    <t>TBD (Hebert, Karine e Mariana)</t>
  </si>
  <si>
    <t>TBD (Alexander, Eduardo e Carlos)</t>
  </si>
  <si>
    <t>TBD (Leonardo, Renata e Alexander)</t>
  </si>
  <si>
    <t>TBD (Aline, Amanda, Carol, Henrique, Gisele e Guedes)</t>
  </si>
  <si>
    <t>Responsável</t>
  </si>
  <si>
    <t>Enviado?</t>
  </si>
  <si>
    <t>Retornaram?</t>
  </si>
  <si>
    <t xml:space="preserve">Concessionária </t>
  </si>
  <si>
    <t>Julia</t>
  </si>
  <si>
    <t>Sim</t>
  </si>
  <si>
    <t>Insatisfatório</t>
  </si>
  <si>
    <t>Parcial</t>
  </si>
  <si>
    <t>Azzurra Ilha do Governador SR + PV</t>
  </si>
  <si>
    <t>Grupo Gala/Nissul</t>
  </si>
  <si>
    <t>Não</t>
  </si>
  <si>
    <t>Victor</t>
  </si>
  <si>
    <t>SIM</t>
  </si>
  <si>
    <t>sim</t>
  </si>
  <si>
    <t>MARÇO 2025</t>
  </si>
  <si>
    <t>Qt.</t>
  </si>
  <si>
    <t>REGIÃO/SETOR</t>
  </si>
  <si>
    <t>Nº BIR MATRIZ</t>
  </si>
  <si>
    <t>07600788</t>
  </si>
  <si>
    <t>07600405</t>
  </si>
  <si>
    <t xml:space="preserve">Vip Car Veículos Ltda </t>
  </si>
  <si>
    <t>Salésio Pereira</t>
  </si>
  <si>
    <t>07600403</t>
  </si>
  <si>
    <t>07601122</t>
  </si>
  <si>
    <t>MARIANA FONSECA</t>
  </si>
  <si>
    <t xml:space="preserve">LOURENÇO BRITO </t>
  </si>
  <si>
    <t>07600931</t>
  </si>
  <si>
    <t>07600770</t>
  </si>
  <si>
    <t>07600969</t>
  </si>
  <si>
    <t>07601203</t>
  </si>
  <si>
    <t>Diego/Luzinete Cavalcanti de Andrade Nunes</t>
  </si>
  <si>
    <t>47</t>
  </si>
  <si>
    <t>07600515</t>
  </si>
  <si>
    <t>07600470</t>
  </si>
  <si>
    <t>07601152</t>
  </si>
  <si>
    <t>Remob Comercio de Veiculos Ltda</t>
  </si>
  <si>
    <t>Luiz Reze</t>
  </si>
  <si>
    <t>07601125</t>
  </si>
  <si>
    <t>SIM Comercial e Veículos Peças Ltda</t>
  </si>
  <si>
    <t>Nabi Abi Chedid Neto</t>
  </si>
  <si>
    <t>07600680</t>
  </si>
  <si>
    <t>Gama Veículos Ltda</t>
  </si>
  <si>
    <t>Sergio Gama da Silva</t>
  </si>
  <si>
    <t>07600363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</si>
</sst>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6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0"/>
      <color theme="1"/>
      <name val="NouvelR"/>
    </font>
    <font>
      <sz val="10"/>
      <name val="NouvelR"/>
    </font>
    <font>
      <sz val="9"/>
      <color rgb="FFC00000"/>
      <name val="NouvelR"/>
    </font>
    <font>
      <b/>
      <u/>
      <sz val="9"/>
      <color rgb="FFC00000"/>
      <name val="NouvelR"/>
    </font>
    <font>
      <b/>
      <sz val="9"/>
      <color rgb="FFC00000"/>
      <name val="NouvelR"/>
    </font>
    <font>
      <sz val="10"/>
      <color theme="1"/>
      <name val="NouvelR"/>
    </font>
    <font>
      <sz val="12"/>
      <color indexed="8"/>
      <name val="NouvelR"/>
    </font>
    <font>
      <sz val="12"/>
      <name val="NouvelR"/>
    </font>
    <font>
      <b/>
      <sz val="12"/>
      <color theme="1"/>
      <name val="NouvelR"/>
    </font>
    <font>
      <b/>
      <sz val="12"/>
      <name val="NouvelR"/>
    </font>
    <font>
      <u/>
      <sz val="10"/>
      <color theme="10"/>
      <name val="Arial"/>
      <family val="2"/>
    </font>
    <font>
      <b/>
      <sz val="9"/>
      <color indexed="81"/>
      <name val="Segoe UI"/>
      <family val="2"/>
    </font>
    <font>
      <b/>
      <sz val="18"/>
      <color theme="1"/>
      <name val="NouvelR"/>
    </font>
    <font>
      <b/>
      <sz val="22"/>
      <color theme="1"/>
      <name val="NouvelR"/>
    </font>
    <font>
      <b/>
      <sz val="12"/>
      <color rgb="FFFF0000"/>
      <name val="NouvelR"/>
    </font>
    <font>
      <b/>
      <sz val="14"/>
      <color theme="1"/>
      <name val="NouvelR"/>
    </font>
    <font>
      <sz val="8"/>
      <color theme="1"/>
      <name val="NouvelR"/>
    </font>
    <font>
      <sz val="8"/>
      <name val="NouvelR"/>
    </font>
    <font>
      <b/>
      <sz val="8"/>
      <name val="NouvelR"/>
    </font>
    <font>
      <sz val="7"/>
      <name val="NouvelR"/>
    </font>
    <font>
      <sz val="7.5"/>
      <name val="NouvelR"/>
    </font>
    <font>
      <b/>
      <sz val="8"/>
      <color theme="1"/>
      <name val="NouvelR"/>
    </font>
    <font>
      <sz val="7"/>
      <color theme="1"/>
      <name val="NouvelR"/>
    </font>
    <font>
      <sz val="7.5"/>
      <color theme="1"/>
      <name val="NouvelR"/>
    </font>
    <font>
      <sz val="8"/>
      <color rgb="FFFF0000"/>
      <name val="NouvelR"/>
    </font>
    <font>
      <b/>
      <sz val="8"/>
      <color rgb="FFFF0000"/>
      <name val="NouvelR"/>
    </font>
    <font>
      <sz val="7"/>
      <color rgb="FFFF0000"/>
      <name val="NouvelR"/>
    </font>
    <font>
      <sz val="7.5"/>
      <color rgb="FFFF0000"/>
      <name val="NouvelR"/>
    </font>
    <font>
      <b/>
      <sz val="7"/>
      <color theme="1"/>
      <name val="NouvelR"/>
    </font>
    <font>
      <sz val="9"/>
      <color indexed="81"/>
      <name val="Segoe UI"/>
      <family val="2"/>
    </font>
    <font>
      <sz val="10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Calibri"/>
      <family val="2"/>
    </font>
    <font>
      <b/>
      <sz val="8"/>
      <color indexed="81"/>
      <name val="Segoe UI"/>
      <family val="2"/>
    </font>
    <font>
      <sz val="8"/>
      <color indexed="81"/>
      <name val="Segoe UI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sz val="10"/>
      <color indexed="81"/>
      <name val="Segoe UI"/>
      <family val="2"/>
    </font>
    <font>
      <sz val="11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0"/>
      <name val="NouvelR"/>
    </font>
    <font>
      <sz val="11"/>
      <color theme="1"/>
      <name val="NouvelR"/>
    </font>
    <font>
      <b/>
      <sz val="7.5"/>
      <color theme="1"/>
      <name val="Nouvel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8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/>
      <diagonal/>
    </border>
    <border>
      <left style="thin">
        <color indexed="23"/>
      </left>
      <right style="medium">
        <color indexed="64"/>
      </right>
      <top/>
      <bottom/>
      <diagonal/>
    </border>
    <border>
      <left style="medium">
        <color theme="1"/>
      </left>
      <right style="thin">
        <color indexed="23"/>
      </right>
      <top style="medium">
        <color theme="1"/>
      </top>
      <bottom style="medium">
        <color theme="1"/>
      </bottom>
      <diagonal/>
    </border>
    <border>
      <left style="thin">
        <color indexed="23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/>
      <bottom style="thin">
        <color indexed="23"/>
      </bottom>
      <diagonal/>
    </border>
    <border>
      <left style="medium">
        <color theme="1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medium">
        <color theme="1"/>
      </left>
      <right style="thin">
        <color indexed="23"/>
      </right>
      <top style="thin">
        <color indexed="23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theme="1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/>
      <bottom style="thin">
        <color indexed="2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23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1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7" fillId="0" borderId="0"/>
    <xf numFmtId="0" fontId="2" fillId="0" borderId="0" applyNumberFormat="0" applyFill="0" applyBorder="0" applyAlignment="0" applyProtection="0"/>
    <xf numFmtId="0" fontId="7" fillId="0" borderId="0"/>
    <xf numFmtId="0" fontId="7" fillId="0" borderId="0"/>
    <xf numFmtId="0" fontId="22" fillId="0" borderId="0" applyNumberFormat="0" applyFill="0" applyBorder="0" applyAlignment="0" applyProtection="0"/>
    <xf numFmtId="43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5" fillId="0" borderId="0" applyFont="0" applyFill="0" applyBorder="0" applyAlignment="0" applyProtection="0"/>
  </cellStyleXfs>
  <cellXfs count="406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14" fontId="0" fillId="0" borderId="0" xfId="0" applyNumberFormat="1" applyAlignment="1">
      <alignment horizontal="center"/>
    </xf>
    <xf numFmtId="0" fontId="6" fillId="3" borderId="3" xfId="0" applyFont="1" applyFill="1" applyBorder="1" applyAlignment="1">
      <alignment vertical="center"/>
    </xf>
    <xf numFmtId="0" fontId="8" fillId="4" borderId="4" xfId="2" applyFont="1" applyFill="1" applyBorder="1" applyAlignment="1">
      <alignment horizontal="center" vertical="center"/>
    </xf>
    <xf numFmtId="0" fontId="8" fillId="4" borderId="5" xfId="2" applyFont="1" applyFill="1" applyBorder="1" applyAlignment="1">
      <alignment horizontal="center" vertical="center"/>
    </xf>
    <xf numFmtId="0" fontId="8" fillId="4" borderId="6" xfId="2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6" fillId="3" borderId="9" xfId="0" applyFont="1" applyFill="1" applyBorder="1" applyAlignment="1">
      <alignment vertical="center"/>
    </xf>
    <xf numFmtId="0" fontId="2" fillId="0" borderId="0" xfId="1" applyFill="1" applyBorder="1" applyAlignment="1">
      <alignment horizontal="left"/>
    </xf>
    <xf numFmtId="0" fontId="2" fillId="0" borderId="0" xfId="1" applyAlignment="1">
      <alignment horizontal="left"/>
    </xf>
    <xf numFmtId="0" fontId="0" fillId="0" borderId="2" xfId="0" applyBorder="1"/>
    <xf numFmtId="0" fontId="2" fillId="0" borderId="0" xfId="1" applyBorder="1" applyAlignment="1">
      <alignment horizontal="left"/>
    </xf>
    <xf numFmtId="0" fontId="0" fillId="0" borderId="0" xfId="0" applyAlignment="1">
      <alignment horizontal="left" wrapText="1"/>
    </xf>
    <xf numFmtId="0" fontId="2" fillId="0" borderId="0" xfId="1" applyAlignment="1">
      <alignment vertical="center"/>
    </xf>
    <xf numFmtId="0" fontId="10" fillId="0" borderId="0" xfId="1" applyFont="1" applyFill="1" applyBorder="1" applyAlignment="1">
      <alignment horizontal="center"/>
    </xf>
    <xf numFmtId="0" fontId="2" fillId="0" borderId="0" xfId="1" applyAlignment="1">
      <alignment horizontal="left" vertical="center"/>
    </xf>
    <xf numFmtId="0" fontId="2" fillId="0" borderId="0" xfId="1" applyAlignment="1">
      <alignment horizontal="left" wrapText="1"/>
    </xf>
    <xf numFmtId="0" fontId="11" fillId="0" borderId="0" xfId="1" applyFont="1" applyFill="1" applyBorder="1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2" fillId="0" borderId="0" xfId="1" applyFill="1"/>
    <xf numFmtId="0" fontId="2" fillId="0" borderId="0" xfId="3" applyFill="1" applyBorder="1" applyAlignment="1">
      <alignment horizontal="left"/>
    </xf>
    <xf numFmtId="0" fontId="2" fillId="0" borderId="0" xfId="3" applyAlignment="1">
      <alignment horizontal="left"/>
    </xf>
    <xf numFmtId="0" fontId="12" fillId="5" borderId="11" xfId="2" applyFont="1" applyFill="1" applyBorder="1" applyAlignment="1">
      <alignment horizontal="center" vertical="center"/>
    </xf>
    <xf numFmtId="0" fontId="13" fillId="0" borderId="0" xfId="2" applyFont="1"/>
    <xf numFmtId="0" fontId="13" fillId="7" borderId="11" xfId="2" applyFont="1" applyFill="1" applyBorder="1" applyAlignment="1">
      <alignment horizontal="center" vertical="center"/>
    </xf>
    <xf numFmtId="0" fontId="17" fillId="7" borderId="11" xfId="2" applyFont="1" applyFill="1" applyBorder="1" applyAlignment="1">
      <alignment horizontal="center" vertical="center"/>
    </xf>
    <xf numFmtId="0" fontId="18" fillId="6" borderId="12" xfId="4" applyFont="1" applyFill="1" applyBorder="1" applyAlignment="1">
      <alignment horizontal="left" vertical="center"/>
    </xf>
    <xf numFmtId="0" fontId="18" fillId="6" borderId="9" xfId="4" applyFont="1" applyFill="1" applyBorder="1" applyAlignment="1">
      <alignment horizontal="left" vertical="center"/>
    </xf>
    <xf numFmtId="0" fontId="19" fillId="6" borderId="9" xfId="4" applyFont="1" applyFill="1" applyBorder="1" applyAlignment="1">
      <alignment horizontal="left" vertical="center"/>
    </xf>
    <xf numFmtId="0" fontId="18" fillId="6" borderId="9" xfId="5" applyFont="1" applyFill="1" applyBorder="1" applyAlignment="1">
      <alignment horizontal="left" vertical="center"/>
    </xf>
    <xf numFmtId="0" fontId="19" fillId="6" borderId="9" xfId="5" applyFont="1" applyFill="1" applyBorder="1" applyAlignment="1">
      <alignment horizontal="left" vertical="center"/>
    </xf>
    <xf numFmtId="0" fontId="17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20" fillId="5" borderId="13" xfId="2" applyFont="1" applyFill="1" applyBorder="1" applyAlignment="1">
      <alignment horizontal="center" vertical="center"/>
    </xf>
    <xf numFmtId="0" fontId="20" fillId="5" borderId="14" xfId="2" applyFont="1" applyFill="1" applyBorder="1" applyAlignment="1">
      <alignment horizontal="center" vertical="center"/>
    </xf>
    <xf numFmtId="0" fontId="17" fillId="6" borderId="16" xfId="2" applyFont="1" applyFill="1" applyBorder="1" applyAlignment="1">
      <alignment horizontal="left" vertical="center"/>
    </xf>
    <xf numFmtId="0" fontId="17" fillId="6" borderId="18" xfId="2" applyFont="1" applyFill="1" applyBorder="1" applyAlignment="1">
      <alignment horizontal="left" vertical="center"/>
    </xf>
    <xf numFmtId="0" fontId="17" fillId="6" borderId="19" xfId="2" applyFont="1" applyFill="1" applyBorder="1" applyAlignment="1">
      <alignment horizontal="left" vertical="center"/>
    </xf>
    <xf numFmtId="0" fontId="17" fillId="6" borderId="21" xfId="2" applyFont="1" applyFill="1" applyBorder="1" applyAlignment="1">
      <alignment horizontal="left" vertical="center"/>
    </xf>
    <xf numFmtId="0" fontId="17" fillId="6" borderId="22" xfId="2" applyFont="1" applyFill="1" applyBorder="1" applyAlignment="1">
      <alignment horizontal="left" vertical="center"/>
    </xf>
    <xf numFmtId="0" fontId="22" fillId="0" borderId="16" xfId="6" applyBorder="1" applyAlignment="1">
      <alignment horizontal="center" vertical="center"/>
    </xf>
    <xf numFmtId="0" fontId="22" fillId="0" borderId="25" xfId="6" applyBorder="1" applyAlignment="1">
      <alignment horizontal="center" vertical="center"/>
    </xf>
    <xf numFmtId="0" fontId="22" fillId="0" borderId="18" xfId="6" applyBorder="1" applyAlignment="1">
      <alignment horizontal="center" vertical="center"/>
    </xf>
    <xf numFmtId="0" fontId="17" fillId="6" borderId="27" xfId="2" applyFont="1" applyFill="1" applyBorder="1" applyAlignment="1">
      <alignment horizontal="left" vertical="center"/>
    </xf>
    <xf numFmtId="49" fontId="17" fillId="6" borderId="21" xfId="2" applyNumberFormat="1" applyFont="1" applyFill="1" applyBorder="1" applyAlignment="1">
      <alignment horizontal="left" vertical="center"/>
    </xf>
    <xf numFmtId="0" fontId="24" fillId="0" borderId="0" xfId="2" applyFont="1" applyAlignment="1">
      <alignment vertical="center"/>
    </xf>
    <xf numFmtId="0" fontId="17" fillId="0" borderId="0" xfId="2" applyFont="1" applyAlignment="1">
      <alignment horizontal="center"/>
    </xf>
    <xf numFmtId="14" fontId="17" fillId="8" borderId="0" xfId="2" applyNumberFormat="1" applyFont="1" applyFill="1" applyAlignment="1">
      <alignment horizontal="center"/>
    </xf>
    <xf numFmtId="49" fontId="17" fillId="8" borderId="0" xfId="2" applyNumberFormat="1" applyFont="1" applyFill="1"/>
    <xf numFmtId="0" fontId="25" fillId="8" borderId="0" xfId="2" applyFont="1" applyFill="1"/>
    <xf numFmtId="0" fontId="17" fillId="0" borderId="0" xfId="2" applyFont="1"/>
    <xf numFmtId="49" fontId="17" fillId="0" borderId="0" xfId="2" applyNumberFormat="1" applyFont="1"/>
    <xf numFmtId="49" fontId="26" fillId="0" borderId="0" xfId="2" applyNumberFormat="1" applyFont="1" applyAlignment="1">
      <alignment horizontal="left" vertical="center"/>
    </xf>
    <xf numFmtId="0" fontId="17" fillId="8" borderId="0" xfId="2" applyFont="1" applyFill="1"/>
    <xf numFmtId="0" fontId="27" fillId="9" borderId="28" xfId="2" applyFont="1" applyFill="1" applyBorder="1" applyAlignment="1">
      <alignment horizontal="centerContinuous" vertical="center"/>
    </xf>
    <xf numFmtId="0" fontId="27" fillId="9" borderId="29" xfId="2" applyFont="1" applyFill="1" applyBorder="1" applyAlignment="1">
      <alignment horizontal="centerContinuous" vertical="center"/>
    </xf>
    <xf numFmtId="0" fontId="27" fillId="9" borderId="30" xfId="2" applyFont="1" applyFill="1" applyBorder="1" applyAlignment="1">
      <alignment horizontal="centerContinuous" vertical="center"/>
    </xf>
    <xf numFmtId="0" fontId="27" fillId="0" borderId="0" xfId="2" applyFont="1" applyAlignment="1">
      <alignment horizontal="center" vertical="center"/>
    </xf>
    <xf numFmtId="49" fontId="12" fillId="10" borderId="15" xfId="2" applyNumberFormat="1" applyFont="1" applyFill="1" applyBorder="1" applyAlignment="1">
      <alignment vertical="center" wrapText="1"/>
    </xf>
    <xf numFmtId="49" fontId="12" fillId="0" borderId="0" xfId="2" applyNumberFormat="1" applyFont="1" applyAlignment="1">
      <alignment horizontal="center" vertical="center" wrapText="1"/>
    </xf>
    <xf numFmtId="0" fontId="27" fillId="9" borderId="31" xfId="2" applyFont="1" applyFill="1" applyBorder="1" applyAlignment="1">
      <alignment horizontal="centerContinuous" vertical="center"/>
    </xf>
    <xf numFmtId="0" fontId="27" fillId="9" borderId="32" xfId="2" applyFont="1" applyFill="1" applyBorder="1" applyAlignment="1">
      <alignment horizontal="centerContinuous" vertical="center"/>
    </xf>
    <xf numFmtId="0" fontId="27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49" fontId="12" fillId="10" borderId="33" xfId="2" applyNumberFormat="1" applyFont="1" applyFill="1" applyBorder="1" applyAlignment="1">
      <alignment horizontal="center" vertical="center" wrapText="1"/>
    </xf>
    <xf numFmtId="14" fontId="12" fillId="10" borderId="34" xfId="2" applyNumberFormat="1" applyFont="1" applyFill="1" applyBorder="1" applyAlignment="1">
      <alignment horizontal="center" vertical="center" wrapText="1"/>
    </xf>
    <xf numFmtId="49" fontId="12" fillId="10" borderId="34" xfId="2" applyNumberFormat="1" applyFont="1" applyFill="1" applyBorder="1" applyAlignment="1">
      <alignment horizontal="center" vertical="center" wrapText="1"/>
    </xf>
    <xf numFmtId="0" fontId="12" fillId="10" borderId="34" xfId="2" applyFont="1" applyFill="1" applyBorder="1" applyAlignment="1">
      <alignment horizontal="center" vertical="center" wrapText="1"/>
    </xf>
    <xf numFmtId="49" fontId="12" fillId="10" borderId="35" xfId="2" applyNumberFormat="1" applyFont="1" applyFill="1" applyBorder="1" applyAlignment="1">
      <alignment horizontal="center" vertical="center" wrapText="1"/>
    </xf>
    <xf numFmtId="49" fontId="12" fillId="10" borderId="36" xfId="2" applyNumberFormat="1" applyFont="1" applyFill="1" applyBorder="1" applyAlignment="1">
      <alignment horizontal="center" vertical="center" wrapText="1"/>
    </xf>
    <xf numFmtId="49" fontId="12" fillId="10" borderId="17" xfId="2" applyNumberFormat="1" applyFont="1" applyFill="1" applyBorder="1" applyAlignment="1">
      <alignment vertical="center" wrapText="1"/>
    </xf>
    <xf numFmtId="49" fontId="12" fillId="10" borderId="37" xfId="2" applyNumberFormat="1" applyFont="1" applyFill="1" applyBorder="1" applyAlignment="1">
      <alignment horizontal="center" vertical="center" wrapText="1"/>
    </xf>
    <xf numFmtId="49" fontId="12" fillId="10" borderId="38" xfId="2" applyNumberFormat="1" applyFont="1" applyFill="1" applyBorder="1" applyAlignment="1">
      <alignment horizontal="center" vertical="center" wrapText="1"/>
    </xf>
    <xf numFmtId="49" fontId="12" fillId="10" borderId="13" xfId="2" applyNumberFormat="1" applyFont="1" applyFill="1" applyBorder="1" applyAlignment="1">
      <alignment horizontal="center" vertical="center" wrapText="1"/>
    </xf>
    <xf numFmtId="49" fontId="12" fillId="10" borderId="0" xfId="2" applyNumberFormat="1" applyFont="1" applyFill="1" applyAlignment="1">
      <alignment horizontal="center" vertical="center" wrapText="1"/>
    </xf>
    <xf numFmtId="0" fontId="17" fillId="0" borderId="0" xfId="2" applyFont="1" applyAlignment="1">
      <alignment vertical="center"/>
    </xf>
    <xf numFmtId="49" fontId="12" fillId="11" borderId="13" xfId="2" applyNumberFormat="1" applyFont="1" applyFill="1" applyBorder="1" applyAlignment="1">
      <alignment horizontal="center" vertical="center" wrapText="1"/>
    </xf>
    <xf numFmtId="0" fontId="29" fillId="0" borderId="0" xfId="2" applyFont="1" applyAlignment="1">
      <alignment vertical="center"/>
    </xf>
    <xf numFmtId="0" fontId="30" fillId="0" borderId="41" xfId="2" quotePrefix="1" applyFont="1" applyBorder="1" applyAlignment="1">
      <alignment horizontal="center" vertical="center" wrapText="1"/>
    </xf>
    <xf numFmtId="0" fontId="29" fillId="0" borderId="43" xfId="2" applyFont="1" applyBorder="1" applyAlignment="1">
      <alignment horizontal="center" vertical="center"/>
    </xf>
    <xf numFmtId="0" fontId="31" fillId="0" borderId="0" xfId="2" applyFont="1" applyAlignment="1">
      <alignment horizontal="center" vertical="center"/>
    </xf>
    <xf numFmtId="0" fontId="29" fillId="0" borderId="46" xfId="2" applyFont="1" applyBorder="1" applyAlignment="1">
      <alignment horizontal="left" vertical="center"/>
    </xf>
    <xf numFmtId="0" fontId="29" fillId="0" borderId="0" xfId="2" applyFont="1" applyAlignment="1">
      <alignment horizontal="left" vertical="center"/>
    </xf>
    <xf numFmtId="0" fontId="28" fillId="0" borderId="44" xfId="2" applyFont="1" applyBorder="1" applyAlignment="1">
      <alignment horizontal="left" vertical="center"/>
    </xf>
    <xf numFmtId="0" fontId="7" fillId="0" borderId="44" xfId="2" applyBorder="1"/>
    <xf numFmtId="0" fontId="33" fillId="0" borderId="47" xfId="7" applyNumberFormat="1" applyFont="1" applyFill="1" applyBorder="1" applyAlignment="1">
      <alignment horizontal="center" vertical="center" wrapText="1"/>
    </xf>
    <xf numFmtId="14" fontId="33" fillId="0" borderId="41" xfId="2" applyNumberFormat="1" applyFont="1" applyBorder="1" applyAlignment="1">
      <alignment horizontal="center" vertical="center" wrapText="1"/>
    </xf>
    <xf numFmtId="0" fontId="33" fillId="0" borderId="41" xfId="2" quotePrefix="1" applyFont="1" applyBorder="1" applyAlignment="1">
      <alignment horizontal="center" vertical="center" wrapText="1"/>
    </xf>
    <xf numFmtId="0" fontId="33" fillId="0" borderId="48" xfId="2" applyFont="1" applyBorder="1" applyAlignment="1">
      <alignment vertical="center"/>
    </xf>
    <xf numFmtId="0" fontId="28" fillId="0" borderId="49" xfId="2" applyFont="1" applyBorder="1" applyAlignment="1">
      <alignment vertical="center"/>
    </xf>
    <xf numFmtId="0" fontId="28" fillId="0" borderId="49" xfId="2" applyFont="1" applyBorder="1" applyAlignment="1">
      <alignment horizontal="left" vertical="center"/>
    </xf>
    <xf numFmtId="1" fontId="28" fillId="0" borderId="49" xfId="2" applyNumberFormat="1" applyFont="1" applyBorder="1" applyAlignment="1">
      <alignment horizontal="center" vertical="center"/>
    </xf>
    <xf numFmtId="1" fontId="28" fillId="0" borderId="48" xfId="2" applyNumberFormat="1" applyFont="1" applyBorder="1" applyAlignment="1">
      <alignment horizontal="center" vertical="center"/>
    </xf>
    <xf numFmtId="0" fontId="29" fillId="0" borderId="48" xfId="2" applyFont="1" applyBorder="1" applyAlignment="1">
      <alignment horizontal="center" vertical="center"/>
    </xf>
    <xf numFmtId="0" fontId="29" fillId="0" borderId="50" xfId="2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/>
    </xf>
    <xf numFmtId="0" fontId="34" fillId="0" borderId="0" xfId="2" applyFont="1" applyAlignment="1">
      <alignment horizontal="center" vertical="center"/>
    </xf>
    <xf numFmtId="49" fontId="35" fillId="0" borderId="44" xfId="2" applyNumberFormat="1" applyFont="1" applyBorder="1" applyAlignment="1">
      <alignment horizontal="center" vertical="center"/>
    </xf>
    <xf numFmtId="0" fontId="28" fillId="0" borderId="45" xfId="2" applyFont="1" applyBorder="1" applyAlignment="1">
      <alignment horizontal="left" vertical="center"/>
    </xf>
    <xf numFmtId="0" fontId="28" fillId="0" borderId="0" xfId="2" applyFont="1" applyAlignment="1">
      <alignment horizontal="left" vertical="center"/>
    </xf>
    <xf numFmtId="0" fontId="35" fillId="0" borderId="44" xfId="2" applyFont="1" applyBorder="1" applyAlignment="1">
      <alignment horizontal="center" vertical="center"/>
    </xf>
    <xf numFmtId="14" fontId="33" fillId="0" borderId="52" xfId="2" applyNumberFormat="1" applyFont="1" applyBorder="1" applyAlignment="1">
      <alignment horizontal="center" vertical="center" wrapText="1"/>
    </xf>
    <xf numFmtId="0" fontId="33" fillId="0" borderId="49" xfId="2" applyFont="1" applyBorder="1" applyAlignment="1">
      <alignment vertical="center"/>
    </xf>
    <xf numFmtId="49" fontId="35" fillId="0" borderId="21" xfId="2" applyNumberFormat="1" applyFont="1" applyBorder="1" applyAlignment="1">
      <alignment horizontal="center" vertical="center"/>
    </xf>
    <xf numFmtId="0" fontId="28" fillId="0" borderId="53" xfId="2" applyFont="1" applyBorder="1" applyAlignment="1">
      <alignment horizontal="left" vertical="center"/>
    </xf>
    <xf numFmtId="0" fontId="7" fillId="0" borderId="21" xfId="2" applyBorder="1"/>
    <xf numFmtId="0" fontId="35" fillId="0" borderId="21" xfId="2" applyFont="1" applyBorder="1" applyAlignment="1">
      <alignment horizontal="center" vertical="center"/>
    </xf>
    <xf numFmtId="0" fontId="33" fillId="0" borderId="0" xfId="2" quotePrefix="1" applyFont="1" applyAlignment="1">
      <alignment horizontal="center" vertical="center" wrapText="1"/>
    </xf>
    <xf numFmtId="0" fontId="33" fillId="0" borderId="54" xfId="2" applyFont="1" applyBorder="1" applyAlignment="1">
      <alignment vertical="center"/>
    </xf>
    <xf numFmtId="0" fontId="28" fillId="0" borderId="55" xfId="2" applyFont="1" applyBorder="1" applyAlignment="1">
      <alignment vertical="center"/>
    </xf>
    <xf numFmtId="0" fontId="28" fillId="0" borderId="56" xfId="2" applyFont="1" applyBorder="1" applyAlignment="1">
      <alignment horizontal="left" vertical="center"/>
    </xf>
    <xf numFmtId="1" fontId="28" fillId="0" borderId="56" xfId="2" applyNumberFormat="1" applyFont="1" applyBorder="1" applyAlignment="1">
      <alignment horizontal="center" vertical="center"/>
    </xf>
    <xf numFmtId="1" fontId="28" fillId="0" borderId="57" xfId="2" applyNumberFormat="1" applyFont="1" applyBorder="1" applyAlignment="1">
      <alignment horizontal="center" vertical="center"/>
    </xf>
    <xf numFmtId="0" fontId="28" fillId="0" borderId="48" xfId="2" applyFont="1" applyBorder="1" applyAlignment="1">
      <alignment horizontal="center" vertical="center"/>
    </xf>
    <xf numFmtId="0" fontId="28" fillId="0" borderId="50" xfId="2" applyFont="1" applyBorder="1" applyAlignment="1">
      <alignment horizontal="center" vertical="center"/>
    </xf>
    <xf numFmtId="0" fontId="28" fillId="0" borderId="49" xfId="2" applyFont="1" applyBorder="1" applyAlignment="1">
      <alignment horizontal="center" vertical="center"/>
    </xf>
    <xf numFmtId="0" fontId="28" fillId="0" borderId="21" xfId="2" applyFont="1" applyBorder="1" applyAlignment="1">
      <alignment horizontal="left" vertical="center"/>
    </xf>
    <xf numFmtId="0" fontId="28" fillId="0" borderId="49" xfId="2" applyFont="1" applyBorder="1" applyAlignment="1">
      <alignment vertical="center" wrapText="1"/>
    </xf>
    <xf numFmtId="49" fontId="33" fillId="0" borderId="0" xfId="2" applyNumberFormat="1" applyFont="1" applyAlignment="1">
      <alignment horizontal="center" vertical="center"/>
    </xf>
    <xf numFmtId="0" fontId="28" fillId="0" borderId="0" xfId="2" applyFont="1" applyAlignment="1">
      <alignment horizontal="center" vertical="center"/>
    </xf>
    <xf numFmtId="1" fontId="28" fillId="0" borderId="0" xfId="2" applyNumberFormat="1" applyFont="1" applyAlignment="1">
      <alignment horizontal="center" vertical="center"/>
    </xf>
    <xf numFmtId="0" fontId="36" fillId="0" borderId="0" xfId="2" applyFont="1" applyAlignment="1">
      <alignment vertical="center"/>
    </xf>
    <xf numFmtId="0" fontId="37" fillId="0" borderId="47" xfId="7" applyNumberFormat="1" applyFont="1" applyFill="1" applyBorder="1" applyAlignment="1">
      <alignment horizontal="center" vertical="center" wrapText="1"/>
    </xf>
    <xf numFmtId="0" fontId="37" fillId="0" borderId="41" xfId="2" quotePrefix="1" applyFont="1" applyBorder="1" applyAlignment="1">
      <alignment horizontal="center" vertical="center" wrapText="1"/>
    </xf>
    <xf numFmtId="0" fontId="36" fillId="0" borderId="49" xfId="2" applyFont="1" applyBorder="1" applyAlignment="1">
      <alignment horizontal="left" vertical="center"/>
    </xf>
    <xf numFmtId="1" fontId="36" fillId="0" borderId="49" xfId="2" applyNumberFormat="1" applyFont="1" applyBorder="1" applyAlignment="1">
      <alignment horizontal="center" vertical="center"/>
    </xf>
    <xf numFmtId="1" fontId="36" fillId="0" borderId="48" xfId="2" applyNumberFormat="1" applyFont="1" applyBorder="1" applyAlignment="1">
      <alignment horizontal="center" vertical="center"/>
    </xf>
    <xf numFmtId="0" fontId="36" fillId="0" borderId="48" xfId="2" applyFont="1" applyBorder="1" applyAlignment="1">
      <alignment horizontal="center" vertical="center"/>
    </xf>
    <xf numFmtId="0" fontId="36" fillId="0" borderId="50" xfId="2" applyFont="1" applyBorder="1" applyAlignment="1">
      <alignment horizontal="center" vertical="center"/>
    </xf>
    <xf numFmtId="0" fontId="36" fillId="0" borderId="51" xfId="2" applyFont="1" applyBorder="1" applyAlignment="1">
      <alignment horizontal="center" vertical="center"/>
    </xf>
    <xf numFmtId="0" fontId="38" fillId="0" borderId="0" xfId="2" applyFont="1" applyAlignment="1">
      <alignment horizontal="center" vertical="center"/>
    </xf>
    <xf numFmtId="49" fontId="39" fillId="0" borderId="21" xfId="2" applyNumberFormat="1" applyFont="1" applyBorder="1" applyAlignment="1">
      <alignment horizontal="center" vertical="center"/>
    </xf>
    <xf numFmtId="0" fontId="36" fillId="0" borderId="53" xfId="2" applyFont="1" applyBorder="1" applyAlignment="1">
      <alignment horizontal="left" vertical="center"/>
    </xf>
    <xf numFmtId="0" fontId="36" fillId="0" borderId="0" xfId="2" applyFont="1" applyAlignment="1">
      <alignment horizontal="left" vertical="center"/>
    </xf>
    <xf numFmtId="49" fontId="37" fillId="0" borderId="0" xfId="2" applyNumberFormat="1" applyFont="1" applyAlignment="1">
      <alignment horizontal="center" vertical="center"/>
    </xf>
    <xf numFmtId="14" fontId="33" fillId="0" borderId="46" xfId="2" applyNumberFormat="1" applyFont="1" applyBorder="1" applyAlignment="1">
      <alignment horizontal="center" vertical="center" wrapText="1"/>
    </xf>
    <xf numFmtId="0" fontId="33" fillId="0" borderId="0" xfId="2" applyFont="1" applyAlignment="1">
      <alignment vertical="center"/>
    </xf>
    <xf numFmtId="14" fontId="33" fillId="0" borderId="58" xfId="2" applyNumberFormat="1" applyFont="1" applyBorder="1" applyAlignment="1">
      <alignment horizontal="center" vertical="center" wrapText="1"/>
    </xf>
    <xf numFmtId="0" fontId="33" fillId="0" borderId="59" xfId="2" applyFont="1" applyBorder="1" applyAlignment="1">
      <alignment vertical="center"/>
    </xf>
    <xf numFmtId="0" fontId="28" fillId="0" borderId="59" xfId="2" applyFont="1" applyBorder="1" applyAlignment="1">
      <alignment vertical="center"/>
    </xf>
    <xf numFmtId="0" fontId="28" fillId="0" borderId="49" xfId="2" quotePrefix="1" applyFont="1" applyBorder="1" applyAlignment="1">
      <alignment horizontal="left" vertical="center"/>
    </xf>
    <xf numFmtId="0" fontId="29" fillId="0" borderId="21" xfId="2" applyFont="1" applyBorder="1" applyAlignment="1">
      <alignment horizontal="left" vertical="center"/>
    </xf>
    <xf numFmtId="0" fontId="33" fillId="0" borderId="49" xfId="2" applyFont="1" applyBorder="1" applyAlignment="1">
      <alignment horizontal="left" vertical="center"/>
    </xf>
    <xf numFmtId="3" fontId="28" fillId="0" borderId="49" xfId="2" applyNumberFormat="1" applyFont="1" applyBorder="1" applyAlignment="1">
      <alignment horizontal="left" vertical="center"/>
    </xf>
    <xf numFmtId="0" fontId="7" fillId="0" borderId="0" xfId="2"/>
    <xf numFmtId="14" fontId="30" fillId="0" borderId="52" xfId="2" applyNumberFormat="1" applyFont="1" applyBorder="1" applyAlignment="1">
      <alignment horizontal="center" vertical="center" wrapText="1"/>
    </xf>
    <xf numFmtId="0" fontId="29" fillId="0" borderId="49" xfId="2" applyFont="1" applyBorder="1" applyAlignment="1">
      <alignment horizontal="left" vertical="center"/>
    </xf>
    <xf numFmtId="3" fontId="29" fillId="0" borderId="49" xfId="2" applyNumberFormat="1" applyFont="1" applyBorder="1" applyAlignment="1">
      <alignment horizontal="left" vertical="center"/>
    </xf>
    <xf numFmtId="0" fontId="29" fillId="0" borderId="49" xfId="2" applyFont="1" applyBorder="1" applyAlignment="1">
      <alignment horizontal="center" vertical="center"/>
    </xf>
    <xf numFmtId="0" fontId="29" fillId="0" borderId="51" xfId="2" applyFont="1" applyBorder="1" applyAlignment="1">
      <alignment horizontal="center" vertical="center"/>
    </xf>
    <xf numFmtId="49" fontId="32" fillId="0" borderId="21" xfId="2" applyNumberFormat="1" applyFont="1" applyBorder="1" applyAlignment="1">
      <alignment horizontal="center" vertical="center"/>
    </xf>
    <xf numFmtId="0" fontId="29" fillId="0" borderId="53" xfId="2" applyFont="1" applyBorder="1" applyAlignment="1">
      <alignment horizontal="left" vertical="center"/>
    </xf>
    <xf numFmtId="49" fontId="34" fillId="0" borderId="0" xfId="2" applyNumberFormat="1" applyFont="1" applyAlignment="1">
      <alignment horizontal="center" vertical="center"/>
    </xf>
    <xf numFmtId="0" fontId="33" fillId="0" borderId="58" xfId="2" applyFont="1" applyBorder="1" applyAlignment="1">
      <alignment vertical="center"/>
    </xf>
    <xf numFmtId="0" fontId="28" fillId="0" borderId="58" xfId="2" applyFont="1" applyBorder="1" applyAlignment="1">
      <alignment vertical="center"/>
    </xf>
    <xf numFmtId="49" fontId="28" fillId="0" borderId="0" xfId="2" applyNumberFormat="1" applyFont="1" applyAlignment="1">
      <alignment vertical="center"/>
    </xf>
    <xf numFmtId="49" fontId="35" fillId="0" borderId="21" xfId="2" quotePrefix="1" applyNumberFormat="1" applyFont="1" applyBorder="1" applyAlignment="1">
      <alignment horizontal="center" vertical="center"/>
    </xf>
    <xf numFmtId="0" fontId="33" fillId="0" borderId="46" xfId="2" applyFont="1" applyBorder="1" applyAlignment="1">
      <alignment vertical="center"/>
    </xf>
    <xf numFmtId="0" fontId="28" fillId="0" borderId="46" xfId="2" applyFont="1" applyBorder="1" applyAlignment="1">
      <alignment vertical="center"/>
    </xf>
    <xf numFmtId="0" fontId="28" fillId="0" borderId="46" xfId="2" applyFont="1" applyBorder="1" applyAlignment="1">
      <alignment horizontal="left" vertical="center"/>
    </xf>
    <xf numFmtId="0" fontId="28" fillId="0" borderId="58" xfId="2" applyFont="1" applyBorder="1" applyAlignment="1">
      <alignment horizontal="left" vertical="center"/>
    </xf>
    <xf numFmtId="0" fontId="28" fillId="0" borderId="58" xfId="2" applyFont="1" applyBorder="1" applyAlignment="1">
      <alignment horizontal="center" vertical="center"/>
    </xf>
    <xf numFmtId="1" fontId="28" fillId="0" borderId="50" xfId="2" applyNumberFormat="1" applyFont="1" applyBorder="1" applyAlignment="1">
      <alignment horizontal="center" vertical="center"/>
    </xf>
    <xf numFmtId="49" fontId="35" fillId="0" borderId="44" xfId="2" quotePrefix="1" applyNumberFormat="1" applyFont="1" applyBorder="1" applyAlignment="1">
      <alignment horizontal="center" vertical="center"/>
    </xf>
    <xf numFmtId="3" fontId="28" fillId="0" borderId="58" xfId="2" applyNumberFormat="1" applyFont="1" applyBorder="1" applyAlignment="1">
      <alignment horizontal="left" vertical="center"/>
    </xf>
    <xf numFmtId="0" fontId="28" fillId="12" borderId="48" xfId="2" applyFont="1" applyFill="1" applyBorder="1" applyAlignment="1">
      <alignment horizontal="center" vertical="center"/>
    </xf>
    <xf numFmtId="0" fontId="28" fillId="12" borderId="50" xfId="2" applyFont="1" applyFill="1" applyBorder="1" applyAlignment="1">
      <alignment horizontal="center" vertical="center"/>
    </xf>
    <xf numFmtId="0" fontId="28" fillId="12" borderId="51" xfId="2" applyFont="1" applyFill="1" applyBorder="1" applyAlignment="1">
      <alignment horizontal="center" vertical="center"/>
    </xf>
    <xf numFmtId="0" fontId="34" fillId="12" borderId="0" xfId="2" applyFont="1" applyFill="1" applyAlignment="1">
      <alignment horizontal="center" vertical="center"/>
    </xf>
    <xf numFmtId="0" fontId="28" fillId="12" borderId="53" xfId="2" applyFont="1" applyFill="1" applyBorder="1" applyAlignment="1">
      <alignment horizontal="left" vertical="center"/>
    </xf>
    <xf numFmtId="1" fontId="28" fillId="0" borderId="58" xfId="2" applyNumberFormat="1" applyFont="1" applyBorder="1" applyAlignment="1">
      <alignment horizontal="center" vertical="center"/>
    </xf>
    <xf numFmtId="0" fontId="33" fillId="12" borderId="0" xfId="2" applyFont="1" applyFill="1" applyAlignment="1">
      <alignment vertical="center"/>
    </xf>
    <xf numFmtId="14" fontId="33" fillId="0" borderId="61" xfId="2" applyNumberFormat="1" applyFont="1" applyBorder="1" applyAlignment="1">
      <alignment horizontal="center" vertical="center" wrapText="1"/>
    </xf>
    <xf numFmtId="0" fontId="33" fillId="0" borderId="62" xfId="2" quotePrefix="1" applyFont="1" applyBorder="1" applyAlignment="1">
      <alignment horizontal="center" vertical="center" wrapText="1"/>
    </xf>
    <xf numFmtId="14" fontId="33" fillId="0" borderId="12" xfId="2" applyNumberFormat="1" applyFont="1" applyBorder="1" applyAlignment="1">
      <alignment horizontal="center" vertical="center" wrapText="1"/>
    </xf>
    <xf numFmtId="0" fontId="33" fillId="0" borderId="12" xfId="2" quotePrefix="1" applyFont="1" applyBorder="1" applyAlignment="1">
      <alignment horizontal="center" vertical="center" wrapText="1"/>
    </xf>
    <xf numFmtId="0" fontId="33" fillId="0" borderId="63" xfId="2" applyFont="1" applyBorder="1" applyAlignment="1">
      <alignment vertical="center"/>
    </xf>
    <xf numFmtId="0" fontId="28" fillId="0" borderId="60" xfId="2" applyFont="1" applyBorder="1" applyAlignment="1">
      <alignment horizontal="left" vertical="center"/>
    </xf>
    <xf numFmtId="1" fontId="28" fillId="0" borderId="46" xfId="2" applyNumberFormat="1" applyFont="1" applyBorder="1" applyAlignment="1">
      <alignment horizontal="center" vertical="center"/>
    </xf>
    <xf numFmtId="49" fontId="33" fillId="0" borderId="49" xfId="2" applyNumberFormat="1" applyFont="1" applyBorder="1" applyAlignment="1">
      <alignment horizontal="left" vertical="center"/>
    </xf>
    <xf numFmtId="49" fontId="28" fillId="0" borderId="49" xfId="2" applyNumberFormat="1" applyFont="1" applyBorder="1" applyAlignment="1">
      <alignment horizontal="left" vertical="center"/>
    </xf>
    <xf numFmtId="49" fontId="28" fillId="0" borderId="53" xfId="2" applyNumberFormat="1" applyFont="1" applyBorder="1" applyAlignment="1">
      <alignment horizontal="left" vertical="center"/>
    </xf>
    <xf numFmtId="14" fontId="33" fillId="0" borderId="49" xfId="2" applyNumberFormat="1" applyFont="1" applyBorder="1" applyAlignment="1">
      <alignment horizontal="center" vertical="center" wrapText="1"/>
    </xf>
    <xf numFmtId="0" fontId="28" fillId="0" borderId="0" xfId="2" applyFont="1" applyAlignment="1">
      <alignment vertical="center" wrapText="1"/>
    </xf>
    <xf numFmtId="49" fontId="35" fillId="0" borderId="27" xfId="2" applyNumberFormat="1" applyFont="1" applyBorder="1" applyAlignment="1">
      <alignment horizontal="center" vertical="center"/>
    </xf>
    <xf numFmtId="0" fontId="28" fillId="0" borderId="64" xfId="2" applyFont="1" applyBorder="1" applyAlignment="1">
      <alignment horizontal="left" vertical="center"/>
    </xf>
    <xf numFmtId="14" fontId="33" fillId="0" borderId="65" xfId="2" applyNumberFormat="1" applyFont="1" applyBorder="1" applyAlignment="1">
      <alignment horizontal="center" vertical="center" wrapText="1"/>
    </xf>
    <xf numFmtId="0" fontId="33" fillId="0" borderId="66" xfId="2" quotePrefix="1" applyFont="1" applyBorder="1" applyAlignment="1">
      <alignment horizontal="center" vertical="center" wrapText="1"/>
    </xf>
    <xf numFmtId="0" fontId="28" fillId="0" borderId="66" xfId="2" applyFont="1" applyBorder="1" applyAlignment="1">
      <alignment horizontal="left" vertical="center"/>
    </xf>
    <xf numFmtId="0" fontId="28" fillId="0" borderId="66" xfId="2" applyFont="1" applyBorder="1" applyAlignment="1">
      <alignment horizontal="center" vertical="center"/>
    </xf>
    <xf numFmtId="0" fontId="28" fillId="0" borderId="67" xfId="2" applyFont="1" applyBorder="1" applyAlignment="1">
      <alignment horizontal="center" vertical="center"/>
    </xf>
    <xf numFmtId="0" fontId="28" fillId="0" borderId="68" xfId="2" applyFont="1" applyBorder="1" applyAlignment="1">
      <alignment horizontal="center" vertical="center"/>
    </xf>
    <xf numFmtId="49" fontId="35" fillId="0" borderId="22" xfId="2" applyNumberFormat="1" applyFont="1" applyBorder="1" applyAlignment="1">
      <alignment horizontal="center" vertical="center"/>
    </xf>
    <xf numFmtId="0" fontId="28" fillId="0" borderId="69" xfId="2" applyFont="1" applyBorder="1" applyAlignment="1">
      <alignment horizontal="left" vertical="center"/>
    </xf>
    <xf numFmtId="0" fontId="34" fillId="0" borderId="0" xfId="2" applyFont="1" applyAlignment="1">
      <alignment vertical="center"/>
    </xf>
    <xf numFmtId="14" fontId="28" fillId="0" borderId="0" xfId="2" applyNumberFormat="1" applyFont="1" applyAlignment="1">
      <alignment vertical="center"/>
    </xf>
    <xf numFmtId="49" fontId="40" fillId="0" borderId="0" xfId="2" applyNumberFormat="1" applyFont="1" applyAlignment="1">
      <alignment horizontal="center" vertical="center"/>
    </xf>
    <xf numFmtId="0" fontId="17" fillId="6" borderId="44" xfId="2" applyFont="1" applyFill="1" applyBorder="1" applyAlignment="1">
      <alignment horizontal="left" vertical="center"/>
    </xf>
    <xf numFmtId="0" fontId="17" fillId="6" borderId="25" xfId="2" applyFont="1" applyFill="1" applyBorder="1" applyAlignment="1">
      <alignment horizontal="left" vertical="center"/>
    </xf>
    <xf numFmtId="0" fontId="2" fillId="0" borderId="18" xfId="1" applyBorder="1" applyAlignment="1">
      <alignment horizontal="center" vertical="center"/>
    </xf>
    <xf numFmtId="0" fontId="35" fillId="0" borderId="21" xfId="2" quotePrefix="1" applyFont="1" applyBorder="1" applyAlignment="1">
      <alignment horizontal="center" vertical="center"/>
    </xf>
    <xf numFmtId="0" fontId="39" fillId="0" borderId="21" xfId="2" applyFont="1" applyBorder="1" applyAlignment="1">
      <alignment horizontal="center" vertical="center"/>
    </xf>
    <xf numFmtId="0" fontId="32" fillId="0" borderId="21" xfId="2" applyFont="1" applyBorder="1" applyAlignment="1">
      <alignment horizontal="center" vertical="center"/>
    </xf>
    <xf numFmtId="0" fontId="35" fillId="0" borderId="44" xfId="2" quotePrefix="1" applyFont="1" applyBorder="1" applyAlignment="1">
      <alignment horizontal="center" vertical="center"/>
    </xf>
    <xf numFmtId="0" fontId="35" fillId="0" borderId="27" xfId="2" applyFont="1" applyBorder="1" applyAlignment="1">
      <alignment horizontal="center" vertical="center"/>
    </xf>
    <xf numFmtId="0" fontId="35" fillId="0" borderId="22" xfId="2" applyFont="1" applyBorder="1" applyAlignment="1">
      <alignment horizontal="center" vertical="center"/>
    </xf>
    <xf numFmtId="0" fontId="28" fillId="0" borderId="74" xfId="2" applyFont="1" applyBorder="1" applyAlignment="1">
      <alignment horizontal="center" vertical="center"/>
    </xf>
    <xf numFmtId="1" fontId="29" fillId="0" borderId="0" xfId="2" applyNumberFormat="1" applyFont="1" applyAlignment="1">
      <alignment horizontal="center" vertical="center"/>
    </xf>
    <xf numFmtId="0" fontId="33" fillId="0" borderId="39" xfId="7" applyNumberFormat="1" applyFont="1" applyFill="1" applyBorder="1" applyAlignment="1">
      <alignment horizontal="center" vertical="center" wrapText="1"/>
    </xf>
    <xf numFmtId="0" fontId="30" fillId="0" borderId="47" xfId="7" applyNumberFormat="1" applyFont="1" applyFill="1" applyBorder="1" applyAlignment="1">
      <alignment horizontal="center" vertical="center" wrapText="1"/>
    </xf>
    <xf numFmtId="14" fontId="33" fillId="0" borderId="40" xfId="2" applyNumberFormat="1" applyFont="1" applyBorder="1" applyAlignment="1">
      <alignment horizontal="center" vertical="center" wrapText="1"/>
    </xf>
    <xf numFmtId="14" fontId="33" fillId="12" borderId="58" xfId="2" applyNumberFormat="1" applyFont="1" applyFill="1" applyBorder="1" applyAlignment="1">
      <alignment horizontal="center" vertical="center" wrapText="1"/>
    </xf>
    <xf numFmtId="0" fontId="33" fillId="0" borderId="42" xfId="2" applyFont="1" applyBorder="1" applyAlignment="1">
      <alignment vertical="center"/>
    </xf>
    <xf numFmtId="0" fontId="33" fillId="0" borderId="48" xfId="2" applyFont="1" applyBorder="1" applyAlignment="1">
      <alignment horizontal="left" vertical="center"/>
    </xf>
    <xf numFmtId="0" fontId="33" fillId="12" borderId="58" xfId="2" applyFont="1" applyFill="1" applyBorder="1" applyAlignment="1">
      <alignment vertical="center"/>
    </xf>
    <xf numFmtId="0" fontId="30" fillId="0" borderId="49" xfId="2" applyFont="1" applyBorder="1" applyAlignment="1">
      <alignment vertical="center"/>
    </xf>
    <xf numFmtId="0" fontId="28" fillId="0" borderId="42" xfId="2" applyFont="1" applyBorder="1" applyAlignment="1">
      <alignment vertical="center"/>
    </xf>
    <xf numFmtId="0" fontId="28" fillId="12" borderId="58" xfId="2" applyFont="1" applyFill="1" applyBorder="1" applyAlignment="1">
      <alignment vertical="center"/>
    </xf>
    <xf numFmtId="0" fontId="29" fillId="0" borderId="49" xfId="2" applyFont="1" applyBorder="1" applyAlignment="1">
      <alignment vertical="center"/>
    </xf>
    <xf numFmtId="0" fontId="28" fillId="0" borderId="42" xfId="2" applyFont="1" applyBorder="1" applyAlignment="1">
      <alignment horizontal="left" vertical="center"/>
    </xf>
    <xf numFmtId="0" fontId="28" fillId="12" borderId="58" xfId="2" applyFont="1" applyFill="1" applyBorder="1" applyAlignment="1">
      <alignment horizontal="left" vertical="center"/>
    </xf>
    <xf numFmtId="1" fontId="28" fillId="12" borderId="58" xfId="2" applyNumberFormat="1" applyFont="1" applyFill="1" applyBorder="1" applyAlignment="1">
      <alignment horizontal="center" vertical="center"/>
    </xf>
    <xf numFmtId="1" fontId="29" fillId="0" borderId="49" xfId="2" applyNumberFormat="1" applyFont="1" applyBorder="1" applyAlignment="1">
      <alignment horizontal="center" vertical="center"/>
    </xf>
    <xf numFmtId="0" fontId="28" fillId="0" borderId="46" xfId="2" applyFont="1" applyBorder="1" applyAlignment="1">
      <alignment horizontal="center" vertical="center"/>
    </xf>
    <xf numFmtId="1" fontId="28" fillId="12" borderId="0" xfId="2" applyNumberFormat="1" applyFont="1" applyFill="1" applyAlignment="1">
      <alignment horizontal="center" vertical="center"/>
    </xf>
    <xf numFmtId="1" fontId="29" fillId="0" borderId="48" xfId="2" applyNumberFormat="1" applyFont="1" applyBorder="1" applyAlignment="1">
      <alignment horizontal="center" vertical="center"/>
    </xf>
    <xf numFmtId="0" fontId="28" fillId="0" borderId="73" xfId="2" applyFont="1" applyBorder="1" applyAlignment="1">
      <alignment horizontal="center" vertical="center"/>
    </xf>
    <xf numFmtId="49" fontId="35" fillId="12" borderId="44" xfId="2" applyNumberFormat="1" applyFont="1" applyFill="1" applyBorder="1" applyAlignment="1">
      <alignment horizontal="center" vertical="center"/>
    </xf>
    <xf numFmtId="0" fontId="35" fillId="12" borderId="44" xfId="2" applyFont="1" applyFill="1" applyBorder="1" applyAlignment="1">
      <alignment horizontal="center" vertical="center"/>
    </xf>
    <xf numFmtId="14" fontId="37" fillId="0" borderId="52" xfId="2" applyNumberFormat="1" applyFont="1" applyBorder="1" applyAlignment="1">
      <alignment horizontal="center" vertical="center" wrapText="1"/>
    </xf>
    <xf numFmtId="0" fontId="37" fillId="0" borderId="49" xfId="2" applyFont="1" applyBorder="1" applyAlignment="1">
      <alignment vertical="center"/>
    </xf>
    <xf numFmtId="0" fontId="33" fillId="0" borderId="58" xfId="2" applyFont="1" applyBorder="1" applyAlignment="1">
      <alignment horizontal="left" vertical="center"/>
    </xf>
    <xf numFmtId="0" fontId="36" fillId="0" borderId="49" xfId="2" applyFont="1" applyBorder="1" applyAlignment="1">
      <alignment vertical="center"/>
    </xf>
    <xf numFmtId="0" fontId="0" fillId="0" borderId="16" xfId="0" applyBorder="1"/>
    <xf numFmtId="0" fontId="0" fillId="0" borderId="25" xfId="0" applyBorder="1"/>
    <xf numFmtId="0" fontId="0" fillId="0" borderId="18" xfId="0" applyBorder="1"/>
    <xf numFmtId="0" fontId="17" fillId="6" borderId="20" xfId="2" applyFont="1" applyFill="1" applyBorder="1" applyAlignment="1">
      <alignment horizontal="left" vertical="center"/>
    </xf>
    <xf numFmtId="0" fontId="29" fillId="0" borderId="12" xfId="2" applyFont="1" applyBorder="1" applyAlignment="1">
      <alignment horizontal="left" vertical="center"/>
    </xf>
    <xf numFmtId="0" fontId="28" fillId="0" borderId="12" xfId="2" applyFont="1" applyBorder="1" applyAlignment="1">
      <alignment horizontal="center" vertical="center"/>
    </xf>
    <xf numFmtId="0" fontId="0" fillId="0" borderId="12" xfId="0" applyBorder="1"/>
    <xf numFmtId="0" fontId="52" fillId="13" borderId="12" xfId="0" applyFont="1" applyFill="1" applyBorder="1" applyAlignment="1">
      <alignment horizontal="center"/>
    </xf>
    <xf numFmtId="0" fontId="53" fillId="0" borderId="12" xfId="0" applyFont="1" applyBorder="1" applyAlignment="1">
      <alignment horizontal="center"/>
    </xf>
    <xf numFmtId="0" fontId="53" fillId="0" borderId="0" xfId="0" applyFont="1"/>
    <xf numFmtId="0" fontId="53" fillId="0" borderId="0" xfId="0" applyFont="1" applyAlignment="1">
      <alignment horizontal="center"/>
    </xf>
    <xf numFmtId="0" fontId="52" fillId="13" borderId="12" xfId="2" applyFont="1" applyFill="1" applyBorder="1" applyAlignment="1">
      <alignment horizontal="center" vertical="center"/>
    </xf>
    <xf numFmtId="0" fontId="53" fillId="0" borderId="12" xfId="2" applyFont="1" applyBorder="1" applyAlignment="1">
      <alignment horizontal="center" vertical="center"/>
    </xf>
    <xf numFmtId="0" fontId="53" fillId="12" borderId="12" xfId="2" applyFont="1" applyFill="1" applyBorder="1" applyAlignment="1">
      <alignment horizontal="center" vertical="center"/>
    </xf>
    <xf numFmtId="49" fontId="53" fillId="0" borderId="12" xfId="2" applyNumberFormat="1" applyFont="1" applyBorder="1" applyAlignment="1">
      <alignment horizontal="center" vertical="center"/>
    </xf>
    <xf numFmtId="0" fontId="53" fillId="0" borderId="0" xfId="2" applyFont="1" applyAlignment="1">
      <alignment vertical="center"/>
    </xf>
    <xf numFmtId="49" fontId="12" fillId="10" borderId="12" xfId="2" applyNumberFormat="1" applyFont="1" applyFill="1" applyBorder="1" applyAlignment="1">
      <alignment horizontal="center" vertical="center" wrapText="1"/>
    </xf>
    <xf numFmtId="1" fontId="29" fillId="0" borderId="12" xfId="2" applyNumberFormat="1" applyFont="1" applyBorder="1" applyAlignment="1">
      <alignment horizontal="center" vertical="center"/>
    </xf>
    <xf numFmtId="0" fontId="52" fillId="1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30" fillId="0" borderId="0" xfId="2" applyNumberFormat="1" applyFont="1" applyAlignment="1">
      <alignment horizontal="center" vertical="center" wrapText="1"/>
    </xf>
    <xf numFmtId="0" fontId="30" fillId="0" borderId="52" xfId="2" quotePrefix="1" applyFont="1" applyBorder="1" applyAlignment="1">
      <alignment horizontal="center" vertical="center" wrapText="1"/>
    </xf>
    <xf numFmtId="0" fontId="33" fillId="0" borderId="66" xfId="2" applyFont="1" applyBorder="1" applyAlignment="1">
      <alignment horizontal="left" vertical="center"/>
    </xf>
    <xf numFmtId="0" fontId="33" fillId="0" borderId="46" xfId="2" applyFont="1" applyBorder="1" applyAlignment="1">
      <alignment horizontal="left" vertical="center"/>
    </xf>
    <xf numFmtId="0" fontId="30" fillId="0" borderId="48" xfId="2" applyFont="1" applyBorder="1" applyAlignment="1">
      <alignment horizontal="left" vertical="center"/>
    </xf>
    <xf numFmtId="3" fontId="28" fillId="0" borderId="66" xfId="2" applyNumberFormat="1" applyFont="1" applyBorder="1" applyAlignment="1">
      <alignment horizontal="left" vertical="center"/>
    </xf>
    <xf numFmtId="0" fontId="28" fillId="0" borderId="42" xfId="2" applyFont="1" applyBorder="1" applyAlignment="1">
      <alignment horizontal="center" vertical="center"/>
    </xf>
    <xf numFmtId="49" fontId="28" fillId="0" borderId="58" xfId="2" applyNumberFormat="1" applyFont="1" applyBorder="1" applyAlignment="1">
      <alignment horizontal="center" vertical="center"/>
    </xf>
    <xf numFmtId="1" fontId="28" fillId="0" borderId="60" xfId="2" applyNumberFormat="1" applyFont="1" applyBorder="1" applyAlignment="1">
      <alignment horizontal="center" vertical="center"/>
    </xf>
    <xf numFmtId="49" fontId="28" fillId="0" borderId="0" xfId="2" applyNumberFormat="1" applyFont="1" applyAlignment="1">
      <alignment horizontal="center" vertical="center"/>
    </xf>
    <xf numFmtId="0" fontId="28" fillId="0" borderId="43" xfId="2" applyFont="1" applyBorder="1" applyAlignment="1">
      <alignment horizontal="center" vertical="center"/>
    </xf>
    <xf numFmtId="1" fontId="29" fillId="0" borderId="50" xfId="2" applyNumberFormat="1" applyFont="1" applyBorder="1" applyAlignment="1">
      <alignment horizontal="center" vertical="center"/>
    </xf>
    <xf numFmtId="0" fontId="32" fillId="0" borderId="44" xfId="2" applyFont="1" applyBorder="1" applyAlignment="1">
      <alignment horizontal="center" vertical="center"/>
    </xf>
    <xf numFmtId="49" fontId="28" fillId="0" borderId="21" xfId="2" applyNumberFormat="1" applyFont="1" applyBorder="1" applyAlignment="1">
      <alignment horizontal="left" vertical="center"/>
    </xf>
    <xf numFmtId="0" fontId="28" fillId="12" borderId="21" xfId="2" applyFont="1" applyFill="1" applyBorder="1" applyAlignment="1">
      <alignment horizontal="left" vertical="center"/>
    </xf>
    <xf numFmtId="0" fontId="28" fillId="0" borderId="53" xfId="2" applyFont="1" applyBorder="1" applyAlignment="1">
      <alignment vertical="center"/>
    </xf>
    <xf numFmtId="49" fontId="28" fillId="0" borderId="21" xfId="2" applyNumberFormat="1" applyFont="1" applyBorder="1" applyAlignment="1">
      <alignment vertical="center"/>
    </xf>
    <xf numFmtId="0" fontId="35" fillId="12" borderId="21" xfId="2" applyFont="1" applyFill="1" applyBorder="1" applyAlignment="1">
      <alignment horizontal="center" vertical="center"/>
    </xf>
    <xf numFmtId="14" fontId="33" fillId="0" borderId="0" xfId="2" applyNumberFormat="1" applyFont="1" applyAlignment="1">
      <alignment horizontal="center" vertical="center" wrapText="1"/>
    </xf>
    <xf numFmtId="0" fontId="33" fillId="0" borderId="52" xfId="2" quotePrefix="1" applyFont="1" applyBorder="1" applyAlignment="1">
      <alignment horizontal="center" vertical="center" wrapText="1"/>
    </xf>
    <xf numFmtId="0" fontId="30" fillId="0" borderId="49" xfId="2" applyFont="1" applyBorder="1" applyAlignment="1">
      <alignment horizontal="left" vertical="center"/>
    </xf>
    <xf numFmtId="49" fontId="33" fillId="0" borderId="58" xfId="2" applyNumberFormat="1" applyFont="1" applyBorder="1" applyAlignment="1">
      <alignment horizontal="left" vertical="center"/>
    </xf>
    <xf numFmtId="49" fontId="28" fillId="0" borderId="58" xfId="2" applyNumberFormat="1" applyFont="1" applyBorder="1" applyAlignment="1">
      <alignment horizontal="left" vertical="center"/>
    </xf>
    <xf numFmtId="1" fontId="28" fillId="0" borderId="42" xfId="2" applyNumberFormat="1" applyFont="1" applyBorder="1" applyAlignment="1">
      <alignment horizontal="center" vertical="center"/>
    </xf>
    <xf numFmtId="49" fontId="28" fillId="0" borderId="49" xfId="2" applyNumberFormat="1" applyFont="1" applyBorder="1" applyAlignment="1">
      <alignment horizontal="center" vertical="center"/>
    </xf>
    <xf numFmtId="49" fontId="28" fillId="0" borderId="48" xfId="2" applyNumberFormat="1" applyFont="1" applyBorder="1" applyAlignment="1">
      <alignment horizontal="center" vertical="center"/>
    </xf>
    <xf numFmtId="0" fontId="28" fillId="12" borderId="0" xfId="2" applyFont="1" applyFill="1" applyAlignment="1">
      <alignment horizontal="left" vertical="center"/>
    </xf>
    <xf numFmtId="49" fontId="28" fillId="0" borderId="0" xfId="2" applyNumberFormat="1" applyFont="1" applyAlignment="1">
      <alignment horizontal="left" vertical="center"/>
    </xf>
    <xf numFmtId="0" fontId="33" fillId="0" borderId="66" xfId="2" applyFont="1" applyBorder="1" applyAlignment="1">
      <alignment vertical="center"/>
    </xf>
    <xf numFmtId="0" fontId="28" fillId="0" borderId="66" xfId="2" applyFont="1" applyBorder="1" applyAlignment="1">
      <alignment vertical="center"/>
    </xf>
    <xf numFmtId="0" fontId="29" fillId="0" borderId="74" xfId="2" applyFont="1" applyBorder="1" applyAlignment="1">
      <alignment horizontal="center" vertical="center"/>
    </xf>
    <xf numFmtId="0" fontId="28" fillId="0" borderId="60" xfId="2" applyFont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28" fillId="14" borderId="49" xfId="2" applyFont="1" applyFill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5" fillId="0" borderId="75" xfId="2" applyFont="1" applyBorder="1" applyAlignment="1">
      <alignment horizontal="center" vertical="center"/>
    </xf>
    <xf numFmtId="0" fontId="27" fillId="9" borderId="77" xfId="2" applyFont="1" applyFill="1" applyBorder="1" applyAlignment="1">
      <alignment horizontal="centerContinuous" vertical="center"/>
    </xf>
    <xf numFmtId="14" fontId="33" fillId="0" borderId="76" xfId="2" applyNumberFormat="1" applyFont="1" applyBorder="1" applyAlignment="1">
      <alignment horizontal="center" vertical="center" wrapText="1"/>
    </xf>
    <xf numFmtId="0" fontId="33" fillId="0" borderId="76" xfId="2" quotePrefix="1" applyFont="1" applyBorder="1" applyAlignment="1">
      <alignment horizontal="center" vertical="center" wrapText="1"/>
    </xf>
    <xf numFmtId="0" fontId="28" fillId="0" borderId="76" xfId="2" applyFont="1" applyBorder="1" applyAlignment="1">
      <alignment vertical="center"/>
    </xf>
    <xf numFmtId="0" fontId="28" fillId="0" borderId="76" xfId="2" applyFont="1" applyBorder="1" applyAlignment="1">
      <alignment horizontal="left" vertical="center"/>
    </xf>
    <xf numFmtId="0" fontId="29" fillId="0" borderId="76" xfId="2" applyFont="1" applyBorder="1" applyAlignment="1">
      <alignment horizontal="center" vertical="center"/>
    </xf>
    <xf numFmtId="1" fontId="29" fillId="0" borderId="76" xfId="2" applyNumberFormat="1" applyFont="1" applyBorder="1" applyAlignment="1">
      <alignment horizontal="center" vertical="center"/>
    </xf>
    <xf numFmtId="14" fontId="30" fillId="0" borderId="76" xfId="2" applyNumberFormat="1" applyFont="1" applyBorder="1" applyAlignment="1">
      <alignment horizontal="center" vertical="center" wrapText="1"/>
    </xf>
    <xf numFmtId="0" fontId="30" fillId="0" borderId="76" xfId="2" quotePrefix="1" applyFont="1" applyBorder="1" applyAlignment="1">
      <alignment horizontal="center" vertical="center" wrapText="1"/>
    </xf>
    <xf numFmtId="0" fontId="29" fillId="0" borderId="76" xfId="2" applyFont="1" applyBorder="1" applyAlignment="1">
      <alignment vertical="center"/>
    </xf>
    <xf numFmtId="0" fontId="29" fillId="0" borderId="76" xfId="2" applyFont="1" applyBorder="1" applyAlignment="1">
      <alignment horizontal="left" vertical="center"/>
    </xf>
    <xf numFmtId="14" fontId="37" fillId="0" borderId="76" xfId="2" applyNumberFormat="1" applyFont="1" applyBorder="1" applyAlignment="1">
      <alignment horizontal="center" vertical="center" wrapText="1"/>
    </xf>
    <xf numFmtId="0" fontId="37" fillId="0" borderId="76" xfId="2" quotePrefix="1" applyFont="1" applyBorder="1" applyAlignment="1">
      <alignment horizontal="center" vertical="center" wrapText="1"/>
    </xf>
    <xf numFmtId="0" fontId="36" fillId="0" borderId="76" xfId="2" applyFont="1" applyBorder="1" applyAlignment="1">
      <alignment vertical="center"/>
    </xf>
    <xf numFmtId="0" fontId="36" fillId="0" borderId="76" xfId="2" applyFont="1" applyBorder="1" applyAlignment="1">
      <alignment horizontal="left" vertical="center"/>
    </xf>
    <xf numFmtId="0" fontId="28" fillId="0" borderId="76" xfId="2" quotePrefix="1" applyFont="1" applyBorder="1" applyAlignment="1">
      <alignment horizontal="left" vertical="center"/>
    </xf>
    <xf numFmtId="3" fontId="28" fillId="0" borderId="76" xfId="2" applyNumberFormat="1" applyFont="1" applyBorder="1" applyAlignment="1">
      <alignment horizontal="left" vertical="center"/>
    </xf>
    <xf numFmtId="3" fontId="29" fillId="0" borderId="76" xfId="2" applyNumberFormat="1" applyFont="1" applyBorder="1" applyAlignment="1">
      <alignment horizontal="left" vertical="center"/>
    </xf>
    <xf numFmtId="14" fontId="33" fillId="12" borderId="76" xfId="2" applyNumberFormat="1" applyFont="1" applyFill="1" applyBorder="1" applyAlignment="1">
      <alignment horizontal="center" vertical="center" wrapText="1"/>
    </xf>
    <xf numFmtId="0" fontId="28" fillId="12" borderId="76" xfId="2" applyFont="1" applyFill="1" applyBorder="1" applyAlignment="1">
      <alignment vertical="center"/>
    </xf>
    <xf numFmtId="0" fontId="28" fillId="12" borderId="76" xfId="2" applyFont="1" applyFill="1" applyBorder="1" applyAlignment="1">
      <alignment horizontal="left" vertical="center"/>
    </xf>
    <xf numFmtId="49" fontId="28" fillId="0" borderId="76" xfId="2" applyNumberFormat="1" applyFont="1" applyBorder="1" applyAlignment="1">
      <alignment horizontal="left" vertical="center"/>
    </xf>
    <xf numFmtId="0" fontId="29" fillId="14" borderId="76" xfId="2" applyFont="1" applyFill="1" applyBorder="1" applyAlignment="1">
      <alignment horizontal="left" vertical="center"/>
    </xf>
    <xf numFmtId="49" fontId="12" fillId="11" borderId="78" xfId="2" applyNumberFormat="1" applyFont="1" applyFill="1" applyBorder="1" applyAlignment="1">
      <alignment horizontal="center" vertical="center" wrapText="1"/>
    </xf>
    <xf numFmtId="0" fontId="28" fillId="0" borderId="80" xfId="2" applyFont="1" applyBorder="1" applyAlignment="1">
      <alignment horizontal="left" vertical="center"/>
    </xf>
    <xf numFmtId="0" fontId="29" fillId="0" borderId="80" xfId="2" applyFont="1" applyBorder="1" applyAlignment="1">
      <alignment horizontal="left" vertical="center"/>
    </xf>
    <xf numFmtId="0" fontId="54" fillId="0" borderId="76" xfId="2" applyFont="1" applyBorder="1" applyAlignment="1">
      <alignment horizontal="center" vertical="center"/>
    </xf>
    <xf numFmtId="49" fontId="12" fillId="10" borderId="77" xfId="2" applyNumberFormat="1" applyFont="1" applyFill="1" applyBorder="1" applyAlignment="1">
      <alignment horizontal="center" vertical="center" wrapText="1"/>
    </xf>
    <xf numFmtId="1" fontId="28" fillId="0" borderId="77" xfId="2" applyNumberFormat="1" applyFont="1" applyBorder="1" applyAlignment="1">
      <alignment horizontal="center" vertical="center"/>
    </xf>
    <xf numFmtId="1" fontId="29" fillId="0" borderId="77" xfId="2" applyNumberFormat="1" applyFont="1" applyBorder="1" applyAlignment="1">
      <alignment horizontal="center" vertical="center"/>
    </xf>
    <xf numFmtId="0" fontId="28" fillId="0" borderId="77" xfId="2" applyFont="1" applyBorder="1" applyAlignment="1">
      <alignment horizontal="center" vertical="center"/>
    </xf>
    <xf numFmtId="1" fontId="36" fillId="0" borderId="77" xfId="2" applyNumberFormat="1" applyFont="1" applyBorder="1" applyAlignment="1">
      <alignment horizontal="center" vertical="center"/>
    </xf>
    <xf numFmtId="0" fontId="29" fillId="0" borderId="77" xfId="2" applyFont="1" applyBorder="1" applyAlignment="1">
      <alignment horizontal="center" vertical="center"/>
    </xf>
    <xf numFmtId="49" fontId="28" fillId="0" borderId="77" xfId="2" applyNumberFormat="1" applyFont="1" applyBorder="1" applyAlignment="1">
      <alignment horizontal="center" vertical="center"/>
    </xf>
    <xf numFmtId="1" fontId="28" fillId="12" borderId="77" xfId="2" applyNumberFormat="1" applyFont="1" applyFill="1" applyBorder="1" applyAlignment="1">
      <alignment horizontal="center" vertical="center"/>
    </xf>
    <xf numFmtId="1" fontId="28" fillId="0" borderId="81" xfId="2" applyNumberFormat="1" applyFont="1" applyBorder="1" applyAlignment="1">
      <alignment horizontal="center" vertical="center"/>
    </xf>
    <xf numFmtId="1" fontId="28" fillId="12" borderId="81" xfId="2" applyNumberFormat="1" applyFont="1" applyFill="1" applyBorder="1" applyAlignment="1">
      <alignment horizontal="center" vertical="center"/>
    </xf>
    <xf numFmtId="1" fontId="29" fillId="0" borderId="82" xfId="2" applyNumberFormat="1" applyFont="1" applyBorder="1" applyAlignment="1">
      <alignment horizontal="center" vertical="center"/>
    </xf>
    <xf numFmtId="0" fontId="29" fillId="0" borderId="82" xfId="2" applyFont="1" applyBorder="1" applyAlignment="1">
      <alignment horizontal="left" vertical="center"/>
    </xf>
    <xf numFmtId="49" fontId="12" fillId="10" borderId="83" xfId="2" applyNumberFormat="1" applyFont="1" applyFill="1" applyBorder="1" applyAlignment="1">
      <alignment horizontal="center" vertical="center" wrapText="1"/>
    </xf>
    <xf numFmtId="14" fontId="12" fillId="10" borderId="84" xfId="2" applyNumberFormat="1" applyFont="1" applyFill="1" applyBorder="1" applyAlignment="1">
      <alignment horizontal="center" vertical="center" wrapText="1"/>
    </xf>
    <xf numFmtId="49" fontId="12" fillId="10" borderId="84" xfId="2" applyNumberFormat="1" applyFont="1" applyFill="1" applyBorder="1" applyAlignment="1">
      <alignment horizontal="center" vertical="center" wrapText="1"/>
    </xf>
    <xf numFmtId="0" fontId="12" fillId="10" borderId="84" xfId="2" applyFont="1" applyFill="1" applyBorder="1" applyAlignment="1">
      <alignment horizontal="center" vertical="center" wrapText="1"/>
    </xf>
    <xf numFmtId="1" fontId="29" fillId="0" borderId="84" xfId="2" applyNumberFormat="1" applyFont="1" applyBorder="1" applyAlignment="1">
      <alignment horizontal="center" vertical="center"/>
    </xf>
    <xf numFmtId="0" fontId="29" fillId="0" borderId="84" xfId="2" applyFont="1" applyBorder="1" applyAlignment="1">
      <alignment horizontal="left" vertical="center"/>
    </xf>
    <xf numFmtId="0" fontId="27" fillId="9" borderId="0" xfId="2" applyFont="1" applyFill="1" applyAlignment="1">
      <alignment horizontal="center" vertical="center"/>
    </xf>
    <xf numFmtId="0" fontId="27" fillId="9" borderId="0" xfId="2" applyFont="1" applyFill="1" applyAlignment="1">
      <alignment vertical="center"/>
    </xf>
    <xf numFmtId="0" fontId="33" fillId="0" borderId="76" xfId="2" applyFont="1" applyBorder="1" applyAlignment="1">
      <alignment horizontal="center" vertical="center" wrapText="1"/>
    </xf>
    <xf numFmtId="0" fontId="33" fillId="0" borderId="81" xfId="7" applyNumberFormat="1" applyFont="1" applyBorder="1" applyAlignment="1">
      <alignment horizontal="center" vertical="center" wrapText="1"/>
    </xf>
    <xf numFmtId="0" fontId="2" fillId="0" borderId="0" xfId="1" applyAlignment="1">
      <alignment horizontal="center" vertical="center"/>
    </xf>
    <xf numFmtId="49" fontId="28" fillId="0" borderId="80" xfId="2" applyNumberFormat="1" applyFont="1" applyBorder="1" applyAlignment="1">
      <alignment horizontal="left" vertical="center"/>
    </xf>
    <xf numFmtId="0" fontId="28" fillId="12" borderId="80" xfId="2" applyFont="1" applyFill="1" applyBorder="1" applyAlignment="1">
      <alignment horizontal="left" vertical="center"/>
    </xf>
    <xf numFmtId="14" fontId="33" fillId="0" borderId="86" xfId="2" applyNumberFormat="1" applyFont="1" applyBorder="1" applyAlignment="1">
      <alignment horizontal="center" vertical="center" wrapText="1"/>
    </xf>
    <xf numFmtId="0" fontId="33" fillId="0" borderId="86" xfId="2" quotePrefix="1" applyFont="1" applyBorder="1" applyAlignment="1">
      <alignment horizontal="center" vertical="center" wrapText="1"/>
    </xf>
    <xf numFmtId="0" fontId="28" fillId="0" borderId="86" xfId="2" applyFont="1" applyBorder="1" applyAlignment="1">
      <alignment vertical="center"/>
    </xf>
    <xf numFmtId="0" fontId="28" fillId="0" borderId="86" xfId="2" applyFont="1" applyBorder="1" applyAlignment="1">
      <alignment horizontal="left" vertical="center"/>
    </xf>
    <xf numFmtId="0" fontId="17" fillId="12" borderId="0" xfId="2" applyFont="1" applyFill="1" applyAlignment="1">
      <alignment vertical="center"/>
    </xf>
    <xf numFmtId="0" fontId="33" fillId="12" borderId="81" xfId="7" applyNumberFormat="1" applyFont="1" applyFill="1" applyBorder="1" applyAlignment="1">
      <alignment horizontal="center" vertical="center" wrapText="1"/>
    </xf>
    <xf numFmtId="0" fontId="33" fillId="12" borderId="76" xfId="2" applyFont="1" applyFill="1" applyBorder="1" applyAlignment="1">
      <alignment horizontal="center" vertical="center" wrapText="1"/>
    </xf>
    <xf numFmtId="0" fontId="28" fillId="12" borderId="77" xfId="2" applyFont="1" applyFill="1" applyBorder="1" applyAlignment="1">
      <alignment horizontal="center" vertical="center"/>
    </xf>
    <xf numFmtId="0" fontId="33" fillId="12" borderId="76" xfId="2" quotePrefix="1" applyFont="1" applyFill="1" applyBorder="1" applyAlignment="1">
      <alignment horizontal="center" vertical="center" wrapText="1"/>
    </xf>
    <xf numFmtId="0" fontId="29" fillId="12" borderId="0" xfId="2" applyFont="1" applyFill="1" applyAlignment="1">
      <alignment vertical="center"/>
    </xf>
    <xf numFmtId="0" fontId="28" fillId="12" borderId="0" xfId="2" applyFont="1" applyFill="1" applyAlignment="1">
      <alignment vertical="center"/>
    </xf>
    <xf numFmtId="0" fontId="24" fillId="12" borderId="0" xfId="2" applyFont="1" applyFill="1" applyAlignment="1">
      <alignment vertical="center"/>
    </xf>
    <xf numFmtId="49" fontId="33" fillId="12" borderId="0" xfId="2" applyNumberFormat="1" applyFont="1" applyFill="1" applyAlignment="1">
      <alignment horizontal="center" vertical="center"/>
    </xf>
    <xf numFmtId="3" fontId="28" fillId="12" borderId="76" xfId="2" applyNumberFormat="1" applyFont="1" applyFill="1" applyBorder="1" applyAlignment="1">
      <alignment horizontal="left" vertical="center"/>
    </xf>
    <xf numFmtId="0" fontId="2" fillId="0" borderId="0" xfId="1" applyAlignment="1">
      <alignment wrapText="1"/>
    </xf>
    <xf numFmtId="0" fontId="28" fillId="0" borderId="12" xfId="0" applyFont="1" applyBorder="1" applyAlignment="1">
      <alignment vertical="center"/>
    </xf>
    <xf numFmtId="0" fontId="0" fillId="0" borderId="12" xfId="0" applyBorder="1" applyAlignment="1">
      <alignment vertical="center" wrapText="1"/>
    </xf>
    <xf numFmtId="0" fontId="2" fillId="0" borderId="12" xfId="1" applyBorder="1" applyAlignment="1">
      <alignment vertical="center" wrapText="1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14" fillId="6" borderId="0" xfId="2" applyFont="1" applyFill="1" applyAlignment="1">
      <alignment horizontal="center" vertical="center" wrapText="1"/>
    </xf>
    <xf numFmtId="0" fontId="12" fillId="5" borderId="11" xfId="2" applyFont="1" applyFill="1" applyBorder="1" applyAlignment="1">
      <alignment horizontal="center" vertical="center"/>
    </xf>
    <xf numFmtId="0" fontId="21" fillId="5" borderId="15" xfId="2" applyFont="1" applyFill="1" applyBorder="1" applyAlignment="1">
      <alignment horizontal="center" vertical="center"/>
    </xf>
    <xf numFmtId="0" fontId="21" fillId="5" borderId="20" xfId="2" applyFont="1" applyFill="1" applyBorder="1" applyAlignment="1">
      <alignment horizontal="center" vertical="center"/>
    </xf>
    <xf numFmtId="0" fontId="21" fillId="5" borderId="17" xfId="2" applyFont="1" applyFill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20" fillId="5" borderId="15" xfId="2" applyFont="1" applyFill="1" applyBorder="1" applyAlignment="1">
      <alignment horizontal="center" vertical="center"/>
    </xf>
    <xf numFmtId="0" fontId="20" fillId="5" borderId="20" xfId="2" applyFont="1" applyFill="1" applyBorder="1" applyAlignment="1">
      <alignment horizontal="center" vertical="center"/>
    </xf>
    <xf numFmtId="0" fontId="20" fillId="5" borderId="17" xfId="2" applyFont="1" applyFill="1" applyBorder="1" applyAlignment="1">
      <alignment horizontal="center" vertical="center"/>
    </xf>
    <xf numFmtId="0" fontId="13" fillId="0" borderId="23" xfId="2" applyFont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0" fontId="13" fillId="0" borderId="26" xfId="2" applyFont="1" applyBorder="1" applyAlignment="1">
      <alignment horizontal="center" vertical="center"/>
    </xf>
    <xf numFmtId="0" fontId="13" fillId="0" borderId="70" xfId="2" applyFont="1" applyBorder="1" applyAlignment="1">
      <alignment horizontal="center" vertical="center"/>
    </xf>
    <xf numFmtId="0" fontId="13" fillId="0" borderId="71" xfId="2" applyFont="1" applyBorder="1" applyAlignment="1">
      <alignment horizontal="center" vertical="center"/>
    </xf>
    <xf numFmtId="0" fontId="13" fillId="0" borderId="72" xfId="2" applyFont="1" applyBorder="1" applyAlignment="1">
      <alignment horizontal="center" vertical="center"/>
    </xf>
    <xf numFmtId="0" fontId="20" fillId="5" borderId="23" xfId="2" applyFont="1" applyFill="1" applyBorder="1" applyAlignment="1">
      <alignment horizontal="center" vertical="center"/>
    </xf>
    <xf numFmtId="0" fontId="20" fillId="5" borderId="24" xfId="2" applyFont="1" applyFill="1" applyBorder="1" applyAlignment="1">
      <alignment horizontal="center" vertical="center"/>
    </xf>
    <xf numFmtId="0" fontId="20" fillId="5" borderId="26" xfId="2" applyFont="1" applyFill="1" applyBorder="1" applyAlignment="1">
      <alignment horizontal="center" vertical="center"/>
    </xf>
    <xf numFmtId="0" fontId="27" fillId="9" borderId="85" xfId="2" applyFont="1" applyFill="1" applyBorder="1" applyAlignment="1">
      <alignment horizontal="center" vertical="center"/>
    </xf>
    <xf numFmtId="0" fontId="27" fillId="9" borderId="0" xfId="2" applyFont="1" applyFill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7" fillId="0" borderId="79" xfId="2" applyFont="1" applyBorder="1"/>
    <xf numFmtId="0" fontId="7" fillId="0" borderId="80" xfId="2" applyFont="1" applyBorder="1"/>
    <xf numFmtId="0" fontId="7" fillId="0" borderId="0" xfId="2" applyFont="1"/>
    <xf numFmtId="0" fontId="7" fillId="12" borderId="0" xfId="2" applyFont="1" applyFill="1"/>
  </cellXfs>
  <cellStyles count="10">
    <cellStyle name="Hiperligação" xfId="1" builtinId="8"/>
    <cellStyle name="Hiperlink 2" xfId="6" xr:uid="{0D0534F1-9B57-4608-8890-F8450EBA02F2}"/>
    <cellStyle name="Hyperlink" xfId="3" xr:uid="{00000000-000B-0000-0000-000008000000}"/>
    <cellStyle name="Normal" xfId="0" builtinId="0"/>
    <cellStyle name="Normal 10" xfId="2" xr:uid="{769A34F3-506E-4FB2-A4CA-555458001E82}"/>
    <cellStyle name="Normal 3" xfId="4" xr:uid="{79D3AF9D-A25D-417B-B9B5-2196B2F5F62E}"/>
    <cellStyle name="Normal 3 2 2" xfId="5" xr:uid="{0BE33FCD-3EBA-42BF-978F-2CC9DD4B7C2B}"/>
    <cellStyle name="Porcentagem 2" xfId="9" xr:uid="{9D315D66-5F6D-46FF-82B4-E32C3980DD09}"/>
    <cellStyle name="Porcentagem 3" xfId="8" xr:uid="{EE68D119-8E85-4C6B-81DB-54B910AC875F}"/>
    <cellStyle name="Vírgula 2" xfId="7" xr:uid="{25250BCD-5E40-4F9D-905D-9F3BE1D32C4D}"/>
  </cellStyles>
  <dxfs count="10">
    <dxf>
      <font>
        <b/>
        <i val="0"/>
        <color rgb="FF00B050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C000"/>
      </font>
      <fill>
        <patternFill>
          <bgColor rgb="FFFFFFC9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b/>
        <i val="0"/>
        <color rgb="FFFFC000"/>
      </font>
      <fill>
        <patternFill>
          <bgColor rgb="FFFFFFC9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b/>
        <i val="0"/>
        <color rgb="FFFFC000"/>
      </font>
      <fill>
        <patternFill>
          <bgColor rgb="FFFFFFC9"/>
        </patternFill>
      </fill>
    </dxf>
    <dxf>
      <font>
        <b/>
        <i val="0"/>
        <color rgb="FF00B050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10616</xdr:colOff>
      <xdr:row>0</xdr:row>
      <xdr:rowOff>59870</xdr:rowOff>
    </xdr:from>
    <xdr:to>
      <xdr:col>4</xdr:col>
      <xdr:colOff>745580</xdr:colOff>
      <xdr:row>0</xdr:row>
      <xdr:rowOff>972909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653D5413-4484-43FB-8EE3-29FFA7707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02" y="59870"/>
          <a:ext cx="2431321" cy="913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257177</xdr:colOff>
      <xdr:row>0</xdr:row>
      <xdr:rowOff>161925</xdr:rowOff>
    </xdr:from>
    <xdr:to>
      <xdr:col>6</xdr:col>
      <xdr:colOff>228125</xdr:colOff>
      <xdr:row>1</xdr:row>
      <xdr:rowOff>15875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241C5894-C10C-4BB7-A05F-E86F6D46C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7" y="161925"/>
          <a:ext cx="2386488" cy="905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257177</xdr:colOff>
      <xdr:row>0</xdr:row>
      <xdr:rowOff>161925</xdr:rowOff>
    </xdr:from>
    <xdr:to>
      <xdr:col>6</xdr:col>
      <xdr:colOff>228125</xdr:colOff>
      <xdr:row>1</xdr:row>
      <xdr:rowOff>15875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7FDAF7E9-A307-4B3E-BCA5-43766C6D1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7" y="161925"/>
          <a:ext cx="2386488" cy="905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257177</xdr:colOff>
      <xdr:row>0</xdr:row>
      <xdr:rowOff>161925</xdr:rowOff>
    </xdr:from>
    <xdr:ext cx="2391931" cy="909864"/>
    <xdr:pic>
      <xdr:nvPicPr>
        <xdr:cNvPr id="2" name="Imagem 4">
          <a:extLst>
            <a:ext uri="{FF2B5EF4-FFF2-40B4-BE49-F238E27FC236}">
              <a16:creationId xmlns:a16="http://schemas.microsoft.com/office/drawing/2014/main" id="{E4921573-916A-42F2-8669-2FDD5EFE5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7" y="161925"/>
          <a:ext cx="2391931" cy="909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257177</xdr:colOff>
      <xdr:row>0</xdr:row>
      <xdr:rowOff>161925</xdr:rowOff>
    </xdr:from>
    <xdr:ext cx="2391931" cy="909864"/>
    <xdr:pic>
      <xdr:nvPicPr>
        <xdr:cNvPr id="3" name="Imagem 4">
          <a:extLst>
            <a:ext uri="{FF2B5EF4-FFF2-40B4-BE49-F238E27FC236}">
              <a16:creationId xmlns:a16="http://schemas.microsoft.com/office/drawing/2014/main" id="{D2A69B50-0B97-4559-BE9B-DF24B5627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7" y="161925"/>
          <a:ext cx="2391931" cy="909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257177</xdr:colOff>
      <xdr:row>0</xdr:row>
      <xdr:rowOff>161925</xdr:rowOff>
    </xdr:from>
    <xdr:to>
      <xdr:col>6</xdr:col>
      <xdr:colOff>228125</xdr:colOff>
      <xdr:row>1</xdr:row>
      <xdr:rowOff>15875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0D920FD5-5230-4EAF-99F5-08FFE29B5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7" y="161925"/>
          <a:ext cx="2386488" cy="905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257177</xdr:colOff>
      <xdr:row>0</xdr:row>
      <xdr:rowOff>161925</xdr:rowOff>
    </xdr:from>
    <xdr:to>
      <xdr:col>6</xdr:col>
      <xdr:colOff>228125</xdr:colOff>
      <xdr:row>1</xdr:row>
      <xdr:rowOff>15875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AB6EB769-2209-4ECB-8AF0-CFCEEE577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7" y="161925"/>
          <a:ext cx="2386488" cy="905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257177</xdr:colOff>
      <xdr:row>0</xdr:row>
      <xdr:rowOff>161925</xdr:rowOff>
    </xdr:from>
    <xdr:to>
      <xdr:col>6</xdr:col>
      <xdr:colOff>228125</xdr:colOff>
      <xdr:row>1</xdr:row>
      <xdr:rowOff>15875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326DF709-A4F9-4A48-B2C0-093831932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7" y="161925"/>
          <a:ext cx="2386488" cy="905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257177</xdr:colOff>
      <xdr:row>0</xdr:row>
      <xdr:rowOff>161925</xdr:rowOff>
    </xdr:from>
    <xdr:to>
      <xdr:col>6</xdr:col>
      <xdr:colOff>228125</xdr:colOff>
      <xdr:row>1</xdr:row>
      <xdr:rowOff>15875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21C43F97-1098-4CEC-A635-5CBC53015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7" y="161925"/>
          <a:ext cx="2386488" cy="905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ZACCARIA Julia (renexter)" id="{6739C801-0388-4956-BE04-DB61F641EC65}" userId="S::julia.zaccaria@renault.com::0167f324-c8db-43e5-bb61-79cf1d19796c" providerId="AD"/>
  <person displayName="ESPELHO-DE-SOUZA Gabriela (renexter)" id="{9D3E1DC4-171E-48D3-8E80-721A5BD119BF}" userId="S::gabriela.espelho-de-souza-extern@renault.com::1c97d800-76ac-40a5-8ae6-32125e55062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" dT="2025-08-12T18:50:11.70" personId="{6739C801-0388-4956-BE04-DB61F641EC65}" id="{9E76986B-11D1-4EE0-B5BE-399FE825BC9C}">
    <text>Amarelo = Provisório</text>
  </threadedComment>
  <threadedComment ref="O3" dT="2025-08-12T18:50:11.70" personId="{6739C801-0388-4956-BE04-DB61F641EC65}" id="{6B39BB84-8D78-4312-A836-8568B563AF5E}">
    <text>Amarelo = Provisório</text>
  </threadedComment>
  <threadedComment ref="C37" dT="2023-03-01T18:20:40.73" personId="{9D3E1DC4-171E-48D3-8E80-721A5BD119BF}" id="{254A361C-4B55-4A97-A3B2-22EAA320276E}">
    <text>Mudança de grupo, Vip Car Paranaguá para Fórmula em 01/02/2023.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" dT="2025-08-12T18:50:11.70" personId="{6739C801-0388-4956-BE04-DB61F641EC65}" id="{3E151C35-209F-4A05-BD06-101ECE2D9CC0}">
    <text>Amarelo = Provisório</text>
  </threadedComment>
  <threadedComment ref="M3" dT="2025-08-12T18:50:11.70" personId="{6739C801-0388-4956-BE04-DB61F641EC65}" id="{501507E3-2EAB-4BF4-9FEB-07B73E64C6AB}">
    <text>Amarelo = Provisório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6" dT="2025-07-08T16:47:46.91" personId="{6739C801-0388-4956-BE04-DB61F641EC65}" id="{EFFD3395-9E31-49A8-A6A6-2769C61F1438}">
    <text>Falta a seta</text>
  </threadedComment>
  <threadedComment ref="J13" dT="2025-07-10T16:43:01.50" personId="{6739C801-0388-4956-BE04-DB61F641EC65}" id="{FF9F4307-62FB-4726-B6F5-3559B9815F01}">
    <text>Falta a seta</text>
  </threadedComment>
  <threadedComment ref="J15" dT="2025-07-08T17:02:26.09" personId="{6739C801-0388-4956-BE04-DB61F641EC65}" id="{BF4237AA-A01B-4B45-88F9-B4C6B5A1565D}">
    <text>Falta a seta</text>
  </threadedComment>
  <threadedComment ref="J16" dT="2025-07-08T17:04:53.91" personId="{6739C801-0388-4956-BE04-DB61F641EC65}" id="{D1D51DEE-3C40-4282-BC46-28C6DCE1E068}">
    <text>Falta a seta</text>
  </threadedComment>
  <threadedComment ref="J17" dT="2025-07-08T17:03:48.52" personId="{6739C801-0388-4956-BE04-DB61F641EC65}" id="{FFF8EAD7-4071-4FB5-AF49-285630218F86}">
    <text>Falta a seta</text>
  </threadedComment>
  <threadedComment ref="J18" dT="2025-07-08T17:03:22.54" personId="{6739C801-0388-4956-BE04-DB61F641EC65}" id="{E1354631-2A3D-4001-B34C-4CB5B67F8543}">
    <text>Falta a seta</text>
  </threadedComment>
  <threadedComment ref="J20" dT="2025-07-08T17:20:53.49" personId="{6739C801-0388-4956-BE04-DB61F641EC65}" id="{88F42FA1-02F9-4D2A-9D11-4706594A7940}">
    <text>Falta a seta</text>
  </threadedComment>
  <threadedComment ref="J27" dT="2025-07-08T17:24:04.53" personId="{6739C801-0388-4956-BE04-DB61F641EC65}" id="{F718C738-0BF0-41A6-ABF1-79E2BB7DEFF8}">
    <text>Falta a seta</text>
  </threadedComment>
  <threadedComment ref="J28" dT="2025-07-08T17:25:08.70" personId="{6739C801-0388-4956-BE04-DB61F641EC65}" id="{9651585A-9279-46B2-ADF4-F11E755E4299}">
    <text>Falta a seta</text>
  </threadedComment>
  <threadedComment ref="J33" dT="2025-07-08T16:44:42.78" personId="{6739C801-0388-4956-BE04-DB61F641EC65}" id="{5E954E74-80E4-45A2-A911-A288B0D77543}">
    <text>Falta as setas</text>
  </threadedComment>
  <threadedComment ref="J36" dT="2025-07-10T16:36:47.52" personId="{6739C801-0388-4956-BE04-DB61F641EC65}" id="{65035E60-32B3-479C-BF13-208E45600B03}">
    <text>Falta a seta</text>
  </threadedComment>
  <threadedComment ref="J39" dT="2025-07-08T16:49:09.74" personId="{6739C801-0388-4956-BE04-DB61F641EC65}" id="{3E8D4EC8-B39E-4DCE-A142-978FBB7B8BA7}">
    <text>Falta a seta</text>
  </threadedComment>
  <threadedComment ref="J42" dT="2025-07-08T16:50:46.58" personId="{6739C801-0388-4956-BE04-DB61F641EC65}" id="{7931EB75-AF64-4801-8644-31999131404E}">
    <text>Falta a seta</text>
  </threadedComment>
  <threadedComment ref="J43" dT="2025-07-08T16:50:49.75" personId="{6739C801-0388-4956-BE04-DB61F641EC65}" id="{241765B0-F0FC-41F6-B910-8DEBB11C1FB4}">
    <text>Falta a seta</text>
  </threadedComment>
  <threadedComment ref="J44" dT="2025-07-08T16:50:53.31" personId="{6739C801-0388-4956-BE04-DB61F641EC65}" id="{A03D32CB-784A-4FA9-A0C4-E91A66DB49D4}">
    <text>Falta a seta</text>
  </threadedComment>
  <threadedComment ref="J46" dT="2025-07-08T17:05:46.10" personId="{6739C801-0388-4956-BE04-DB61F641EC65}" id="{AE17F573-25D0-4699-8228-D466AD7465C8}">
    <text>Falta a seta</text>
  </threadedComment>
  <threadedComment ref="J54" dT="2025-07-08T17:15:45.24" personId="{6739C801-0388-4956-BE04-DB61F641EC65}" id="{F7214E42-5FF5-4C35-86C7-72D31A42247B}">
    <text>Falta a seta</text>
  </threadedComment>
  <threadedComment ref="J63" dT="2025-07-08T17:08:04.71" personId="{6739C801-0388-4956-BE04-DB61F641EC65}" id="{AA5F5776-4442-4053-B073-7C8EF8D38907}">
    <text>Falta a seta</text>
  </threadedComment>
  <threadedComment ref="J76" dT="2025-07-10T16:41:59.47" personId="{6739C801-0388-4956-BE04-DB61F641EC65}" id="{B8CD6A20-0E1E-4BB8-AFC1-83D01381D9F5}">
    <text>Falta a seta</text>
  </threadedComment>
  <threadedComment ref="J79" dT="2025-07-10T16:41:19.54" personId="{6739C801-0388-4956-BE04-DB61F641EC65}" id="{1A87B84A-3855-4408-88EC-8FCAEE1DC0F4}">
    <text>Falta a seta</text>
  </threadedComment>
  <threadedComment ref="J81" dT="2025-07-10T16:41:35.73" personId="{6739C801-0388-4956-BE04-DB61F641EC65}" id="{1BB3D698-3FAC-4360-BB68-FBDDE73ADE92}">
    <text>Falta a seta</text>
  </threadedComment>
  <threadedComment ref="J97" dT="2025-07-08T16:45:29.55" personId="{6739C801-0388-4956-BE04-DB61F641EC65}" id="{0E8BF4D5-E5C5-4EE8-B781-EF4C96F22AAB}">
    <text>Falta as setas</text>
  </threadedComment>
  <threadedComment ref="J98" dT="2025-07-08T16:45:33.79" personId="{6739C801-0388-4956-BE04-DB61F641EC65}" id="{7B4C70C9-BE3B-40D7-8F78-0333622471C1}">
    <text>Falta as setas</text>
  </threadedComment>
  <threadedComment ref="J99" dT="2025-07-08T16:45:37.50" personId="{6739C801-0388-4956-BE04-DB61F641EC65}" id="{03D6D46F-588B-422F-A23D-2F46443DC2D8}">
    <text>Falta as setas</text>
  </threadedComment>
  <threadedComment ref="J100" dT="2025-07-08T16:45:42.32" personId="{6739C801-0388-4956-BE04-DB61F641EC65}" id="{7E8DDF43-091C-410F-8D84-32C272AC505C}">
    <text>Falta as setas</text>
  </threadedComment>
  <threadedComment ref="J101" dT="2025-07-08T16:45:13.75" personId="{6739C801-0388-4956-BE04-DB61F641EC65}" id="{29D94AB4-0747-4C4B-9F67-9535746215FC}">
    <text>Falta as setas</text>
  </threadedComment>
  <threadedComment ref="J121" dT="2025-07-10T16:45:05.67" personId="{6739C801-0388-4956-BE04-DB61F641EC65}" id="{ACAE6EEB-13C1-4F8C-AA8E-73C0C26980A2}">
    <text>Falta a seta</text>
  </threadedComment>
  <threadedComment ref="J128" dT="2025-07-08T16:45:49.29" personId="{6739C801-0388-4956-BE04-DB61F641EC65}" id="{86F8227E-2181-4749-B0E0-B5C18F6C634E}">
    <text>Falta as setas</text>
  </threadedComment>
  <threadedComment ref="J129" dT="2025-07-08T16:45:52.09" personId="{6739C801-0388-4956-BE04-DB61F641EC65}" id="{FCE04CED-985E-4C94-A8DE-D813B37D6B42}">
    <text>Falta as setas</text>
  </threadedComment>
  <threadedComment ref="J131" dT="2025-07-08T17:18:09.24" personId="{6739C801-0388-4956-BE04-DB61F641EC65}" id="{ADE75668-3980-44CD-B26B-0066973443EC}">
    <text>Falta a seta</text>
  </threadedComment>
  <threadedComment ref="J140" dT="2025-07-08T16:48:09.04" personId="{6739C801-0388-4956-BE04-DB61F641EC65}" id="{8EB22DE8-8AB6-4279-BCA2-AEA895BFE7C8}">
    <text>Falta a seta</text>
  </threadedComment>
  <threadedComment ref="J141" dT="2025-07-08T16:45:59.27" personId="{6739C801-0388-4956-BE04-DB61F641EC65}" id="{33EBEBCA-77B8-4E31-8F23-FBA0EB713875}">
    <text>Falta as setas</text>
  </threadedComment>
  <threadedComment ref="J150" dT="2025-07-08T17:22:06.98" personId="{6739C801-0388-4956-BE04-DB61F641EC65}" id="{BFB3ABA4-5333-4620-BECC-899EA1C0306D}">
    <text>Falta a seta</text>
  </threadedComment>
  <threadedComment ref="J151" dT="2025-07-08T17:07:02.91" personId="{6739C801-0388-4956-BE04-DB61F641EC65}" id="{0B4473DD-9E63-412C-B385-4967E49CBF45}">
    <text>Falta a seta</text>
  </threadedComment>
  <threadedComment ref="J156" dT="2025-07-10T16:47:41.66" personId="{6739C801-0388-4956-BE04-DB61F641EC65}" id="{F23DA7B8-4189-46D7-8580-B39461903806}">
    <text>Falta a seta</text>
  </threadedComment>
  <threadedComment ref="J158" dT="2025-07-10T16:37:28.56" personId="{6739C801-0388-4956-BE04-DB61F641EC65}" id="{3C0439FB-A8E7-4924-BE26-3F72631F52C9}">
    <text>Falta a seta</text>
  </threadedComment>
  <threadedComment ref="J161" dT="2025-07-10T16:39:41.62" personId="{6739C801-0388-4956-BE04-DB61F641EC65}" id="{B58CC989-8064-4AA9-8892-CEF35495DEB5}">
    <text>Falta a seta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1" dT="2023-03-01T18:20:40.73" personId="{9D3E1DC4-171E-48D3-8E80-721A5BD119BF}" id="{43ED91EC-DD53-470A-8E2A-32C895E5E1C2}">
    <text>Mudança de grupo, Vip Car Paranaguá para Fórmula em 01/02/2023.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2" dT="2023-03-01T18:20:40.73" personId="{9D3E1DC4-171E-48D3-8E80-721A5BD119BF}" id="{75C2B569-09FC-44B8-8F08-C01611E722E0}">
    <text>Mudança de grupo, Vip Car Paranaguá para Fórmula em 01/02/2023.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11" dT="2023-03-01T18:20:40.73" personId="{9D3E1DC4-171E-48D3-8E80-721A5BD119BF}" id="{840C3330-4622-419C-88D4-3D463990676F}">
    <text>Mudança de grupo, Vip Car Paranaguá para Fórmula em 01/02/2023.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42" dT="2023-03-01T18:20:40.73" personId="{9D3E1DC4-171E-48D3-8E80-721A5BD119BF}" id="{A04E8D97-C558-4701-8D9A-4FFCF889FAE9}">
    <text>Mudança de grupo, Vip Car Paranaguá para Fórmula em 01/02/2023.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fernandes.vn@azzurranet.com.br" TargetMode="External"/><Relationship Id="rId21" Type="http://schemas.openxmlformats.org/officeDocument/2006/relationships/hyperlink" Target="mailto:keilaaugusta@navesa.com.br" TargetMode="External"/><Relationship Id="rId42" Type="http://schemas.openxmlformats.org/officeDocument/2006/relationships/hyperlink" Target="mailto:amanda.evangelista@eurorenault.com.br" TargetMode="External"/><Relationship Id="rId63" Type="http://schemas.openxmlformats.org/officeDocument/2006/relationships/hyperlink" Target="mailto:flavia.simphronio@grupoiesa.com.br" TargetMode="External"/><Relationship Id="rId84" Type="http://schemas.openxmlformats.org/officeDocument/2006/relationships/hyperlink" Target="mailto:Josefa.prf@grupojcf.com.br" TargetMode="External"/><Relationship Id="rId138" Type="http://schemas.openxmlformats.org/officeDocument/2006/relationships/hyperlink" Target="mailto:vitorleta@grupoleauto.com.br;rodrigoleta@grupoleauto.com.br;gabrielleta@grupoleauto.com.br;rafaelleta@grupoleauto.com.br" TargetMode="External"/><Relationship Id="rId159" Type="http://schemas.openxmlformats.org/officeDocument/2006/relationships/hyperlink" Target="mailto:qualidade@autoplusrenault.com.br;" TargetMode="External"/><Relationship Id="rId170" Type="http://schemas.openxmlformats.org/officeDocument/2006/relationships/hyperlink" Target="mailto:angelicagarcez@gruporollemberg.com" TargetMode="External"/><Relationship Id="rId191" Type="http://schemas.openxmlformats.org/officeDocument/2006/relationships/hyperlink" Target="mailto:guilherme@luchini.com.br;" TargetMode="External"/><Relationship Id="rId205" Type="http://schemas.openxmlformats.org/officeDocument/2006/relationships/hyperlink" Target="mailto:richardson.siccaroni@gruposinal.com" TargetMode="External"/><Relationship Id="rId226" Type="http://schemas.openxmlformats.org/officeDocument/2006/relationships/hyperlink" Target="mailto:Eduardo.prf@grupojcf.com.br" TargetMode="External"/><Relationship Id="rId107" Type="http://schemas.openxmlformats.org/officeDocument/2006/relationships/hyperlink" Target="mailto:bruno.vn@azzurranet.com.br" TargetMode="External"/><Relationship Id="rId11" Type="http://schemas.openxmlformats.org/officeDocument/2006/relationships/hyperlink" Target="mailto:job.castro@grupoautomega.com.br;" TargetMode="External"/><Relationship Id="rId32" Type="http://schemas.openxmlformats.org/officeDocument/2006/relationships/hyperlink" Target="mailto:romildo.costa@tecar.com.br" TargetMode="External"/><Relationship Id="rId53" Type="http://schemas.openxmlformats.org/officeDocument/2006/relationships/hyperlink" Target="mailto:marcelo.oliveira@nissanbarigui.com.br;ademir.ferreira@formularenault.com.br" TargetMode="External"/><Relationship Id="rId74" Type="http://schemas.openxmlformats.org/officeDocument/2006/relationships/hyperlink" Target="mailto:agnaldo.brito@primavia.com.br" TargetMode="External"/><Relationship Id="rId128" Type="http://schemas.openxmlformats.org/officeDocument/2006/relationships/hyperlink" Target="mailto:walter.gomes@revemar.com.br;" TargetMode="External"/><Relationship Id="rId149" Type="http://schemas.openxmlformats.org/officeDocument/2006/relationships/hyperlink" Target="mailto:breno@gruponasa.com.br" TargetMode="External"/><Relationship Id="rId5" Type="http://schemas.openxmlformats.org/officeDocument/2006/relationships/hyperlink" Target="mailto:robson.barbosa@adtsa.com.br" TargetMode="External"/><Relationship Id="rId95" Type="http://schemas.openxmlformats.org/officeDocument/2006/relationships/hyperlink" Target="mailto:diegomoura@itaimbe.com.br" TargetMode="External"/><Relationship Id="rId160" Type="http://schemas.openxmlformats.org/officeDocument/2006/relationships/hyperlink" Target="mailto:qualidade@autoplusrenault.com.br;" TargetMode="External"/><Relationship Id="rId181" Type="http://schemas.openxmlformats.org/officeDocument/2006/relationships/hyperlink" Target="mailto:carla.xavier@revemar.com.br" TargetMode="External"/><Relationship Id="rId216" Type="http://schemas.openxmlformats.org/officeDocument/2006/relationships/hyperlink" Target="mailto:nagib.duarte@dinisa.com.br;;%20lorenna.mororo@dinisa.com.br" TargetMode="External"/><Relationship Id="rId237" Type="http://schemas.openxmlformats.org/officeDocument/2006/relationships/hyperlink" Target="mailto:gergeralpv@grupoleauto.com.br;gergeralpc@grupoleauto.com.br" TargetMode="External"/><Relationship Id="rId22" Type="http://schemas.openxmlformats.org/officeDocument/2006/relationships/hyperlink" Target="mailto:brenopinheiro@pinauto.com.br" TargetMode="External"/><Relationship Id="rId43" Type="http://schemas.openxmlformats.org/officeDocument/2006/relationships/hyperlink" Target="mailto:amanda.evangelista@eurorenault.com.br" TargetMode="External"/><Relationship Id="rId64" Type="http://schemas.openxmlformats.org/officeDocument/2006/relationships/hyperlink" Target="mailto:wilson.costa@grupoiesa.com.br" TargetMode="External"/><Relationship Id="rId118" Type="http://schemas.openxmlformats.org/officeDocument/2006/relationships/hyperlink" Target="mailto:luma.campos@tecar.com.br" TargetMode="External"/><Relationship Id="rId139" Type="http://schemas.openxmlformats.org/officeDocument/2006/relationships/hyperlink" Target="mailto:raquel.galdina@rpoint.com.br;mara.goncalves@rpoint.com.br" TargetMode="External"/><Relationship Id="rId85" Type="http://schemas.openxmlformats.org/officeDocument/2006/relationships/hyperlink" Target="mailto:andre.bessi@orvelrenault.com.br" TargetMode="External"/><Relationship Id="rId150" Type="http://schemas.openxmlformats.org/officeDocument/2006/relationships/hyperlink" Target="mailto:cristiane.costa@drsul.com.br;" TargetMode="External"/><Relationship Id="rId171" Type="http://schemas.openxmlformats.org/officeDocument/2006/relationships/hyperlink" Target="mailto:adriana.cabreira@nissulgala.com" TargetMode="External"/><Relationship Id="rId192" Type="http://schemas.openxmlformats.org/officeDocument/2006/relationships/hyperlink" Target="mailto:guilherme@luchini.com.br;" TargetMode="External"/><Relationship Id="rId206" Type="http://schemas.openxmlformats.org/officeDocument/2006/relationships/hyperlink" Target="mailto:edson.rodrigues@gruposinal.com" TargetMode="External"/><Relationship Id="rId227" Type="http://schemas.openxmlformats.org/officeDocument/2006/relationships/hyperlink" Target="mailto:Loreane@grupojcf.com" TargetMode="External"/><Relationship Id="rId12" Type="http://schemas.openxmlformats.org/officeDocument/2006/relationships/hyperlink" Target="mailto:job.castro@grupoautomega.com.br;" TargetMode="External"/><Relationship Id="rId33" Type="http://schemas.openxmlformats.org/officeDocument/2006/relationships/hyperlink" Target="mailto:edio@grupoautoshow.com.br" TargetMode="External"/><Relationship Id="rId108" Type="http://schemas.openxmlformats.org/officeDocument/2006/relationships/hyperlink" Target="mailto:sandro.of@azzurranet.com.br" TargetMode="External"/><Relationship Id="rId129" Type="http://schemas.openxmlformats.org/officeDocument/2006/relationships/hyperlink" Target="mailto:walter.gomes@revemar.com.br;" TargetMode="External"/><Relationship Id="rId54" Type="http://schemas.openxmlformats.org/officeDocument/2006/relationships/hyperlink" Target="mailto:rodrigo.sangbusch@drsul.com.br" TargetMode="External"/><Relationship Id="rId75" Type="http://schemas.openxmlformats.org/officeDocument/2006/relationships/hyperlink" Target="mailto:aline.pessoa@redencao.com.br" TargetMode="External"/><Relationship Id="rId96" Type="http://schemas.openxmlformats.org/officeDocument/2006/relationships/hyperlink" Target="mailto:lia.militao@adtsa.com.br" TargetMode="External"/><Relationship Id="rId140" Type="http://schemas.openxmlformats.org/officeDocument/2006/relationships/hyperlink" Target="mailto:guilherme@luchini.com.br;" TargetMode="External"/><Relationship Id="rId161" Type="http://schemas.openxmlformats.org/officeDocument/2006/relationships/hyperlink" Target="mailto:qualidade@autoplusrenault.com.br;" TargetMode="External"/><Relationship Id="rId182" Type="http://schemas.openxmlformats.org/officeDocument/2006/relationships/hyperlink" Target="mailto:lane.araujo@mcgestao.com.br" TargetMode="External"/><Relationship Id="rId217" Type="http://schemas.openxmlformats.org/officeDocument/2006/relationships/hyperlink" Target="mailto:gergeral.mercantilatibaia@grupoandreta.com.br" TargetMode="External"/><Relationship Id="rId6" Type="http://schemas.openxmlformats.org/officeDocument/2006/relationships/hyperlink" Target="mailto:rosana.pontes@adtsa.com.br" TargetMode="External"/><Relationship Id="rId238" Type="http://schemas.openxmlformats.org/officeDocument/2006/relationships/hyperlink" Target="mailto:alfredoleta@grupoleauto.com.br;marcoleta@grupoleauto.com.br;francescoleta@grupoleauto.com.br" TargetMode="External"/><Relationship Id="rId23" Type="http://schemas.openxmlformats.org/officeDocument/2006/relationships/hyperlink" Target="mailto:romildo@pinauto.com.br" TargetMode="External"/><Relationship Id="rId119" Type="http://schemas.openxmlformats.org/officeDocument/2006/relationships/hyperlink" Target="mailto:robson.vieira@gruposinal.com" TargetMode="External"/><Relationship Id="rId44" Type="http://schemas.openxmlformats.org/officeDocument/2006/relationships/hyperlink" Target="mailto:bruno.vasconcelos@adtsa.com.br" TargetMode="External"/><Relationship Id="rId65" Type="http://schemas.openxmlformats.org/officeDocument/2006/relationships/hyperlink" Target="mailto:edson.junior@grupoiesa.com.br" TargetMode="External"/><Relationship Id="rId86" Type="http://schemas.openxmlformats.org/officeDocument/2006/relationships/hyperlink" Target="mailto:max.erikson@orvelrenault.com.br" TargetMode="External"/><Relationship Id="rId130" Type="http://schemas.openxmlformats.org/officeDocument/2006/relationships/hyperlink" Target="mailto:walter.gomes@revemar.com.br;" TargetMode="External"/><Relationship Id="rId151" Type="http://schemas.openxmlformats.org/officeDocument/2006/relationships/hyperlink" Target="mailto:eglerayner.goncalves@autoplusrenault.com.br" TargetMode="External"/><Relationship Id="rId172" Type="http://schemas.openxmlformats.org/officeDocument/2006/relationships/hyperlink" Target="mailto:adriana.cabreira@nissulgala.com" TargetMode="External"/><Relationship Id="rId193" Type="http://schemas.openxmlformats.org/officeDocument/2006/relationships/hyperlink" Target="mailto:guilherme@luchini.com.br;" TargetMode="External"/><Relationship Id="rId207" Type="http://schemas.openxmlformats.org/officeDocument/2006/relationships/hyperlink" Target="mailto:eduardo.kawamura@gruposinal.com" TargetMode="External"/><Relationship Id="rId228" Type="http://schemas.openxmlformats.org/officeDocument/2006/relationships/hyperlink" Target="mailto:Loreane@grupojcf.com" TargetMode="External"/><Relationship Id="rId13" Type="http://schemas.openxmlformats.org/officeDocument/2006/relationships/hyperlink" Target="mailto:job.castro@grupoautomega.com.br;" TargetMode="External"/><Relationship Id="rId109" Type="http://schemas.openxmlformats.org/officeDocument/2006/relationships/hyperlink" Target="mailto:cotech.ilha@azzurranet.com.br;" TargetMode="External"/><Relationship Id="rId34" Type="http://schemas.openxmlformats.org/officeDocument/2006/relationships/hyperlink" Target="mailto:rene.silva@grupoamazonas.com.br" TargetMode="External"/><Relationship Id="rId55" Type="http://schemas.openxmlformats.org/officeDocument/2006/relationships/hyperlink" Target="mailto:carlos.henrique@revemar.com.br;" TargetMode="External"/><Relationship Id="rId76" Type="http://schemas.openxmlformats.org/officeDocument/2006/relationships/hyperlink" Target="mailto:aline.pessoa@redencao.com.br" TargetMode="External"/><Relationship Id="rId97" Type="http://schemas.openxmlformats.org/officeDocument/2006/relationships/hyperlink" Target="mailto:adm.tatui@velmax.com.br" TargetMode="External"/><Relationship Id="rId120" Type="http://schemas.openxmlformats.org/officeDocument/2006/relationships/hyperlink" Target="mailto:lia.militao@adtsa.com.br" TargetMode="External"/><Relationship Id="rId141" Type="http://schemas.openxmlformats.org/officeDocument/2006/relationships/hyperlink" Target="mailto:pedro.xavier@eurovia.com.br;" TargetMode="External"/><Relationship Id="rId7" Type="http://schemas.openxmlformats.org/officeDocument/2006/relationships/hyperlink" Target="mailto:gergeral.mercantilandreta@grupoandreta.com.br" TargetMode="External"/><Relationship Id="rId162" Type="http://schemas.openxmlformats.org/officeDocument/2006/relationships/hyperlink" Target="mailto:rosni.freitas@grupoautoshow.com.br;" TargetMode="External"/><Relationship Id="rId183" Type="http://schemas.openxmlformats.org/officeDocument/2006/relationships/hyperlink" Target="mailto:roberta.rubi@grupoitadil.com.br" TargetMode="External"/><Relationship Id="rId218" Type="http://schemas.openxmlformats.org/officeDocument/2006/relationships/hyperlink" Target="mailto:gergeral.mercantilbraganca@grupoandreta.com.br" TargetMode="External"/><Relationship Id="rId239" Type="http://schemas.openxmlformats.org/officeDocument/2006/relationships/hyperlink" Target="mailto:geroftj@grupoleauto.com.br" TargetMode="External"/><Relationship Id="rId24" Type="http://schemas.openxmlformats.org/officeDocument/2006/relationships/hyperlink" Target="mailto:rodrigo@ravelrenault.com.br" TargetMode="External"/><Relationship Id="rId45" Type="http://schemas.openxmlformats.org/officeDocument/2006/relationships/hyperlink" Target="mailto:roberjaniapinheiro@fortnissan.com.br" TargetMode="External"/><Relationship Id="rId66" Type="http://schemas.openxmlformats.org/officeDocument/2006/relationships/hyperlink" Target="mailto:alex.martins@grupoiesa.com.br" TargetMode="External"/><Relationship Id="rId87" Type="http://schemas.openxmlformats.org/officeDocument/2006/relationships/hyperlink" Target="mailto:sabrina.borges@orvelrenault.com.br" TargetMode="External"/><Relationship Id="rId110" Type="http://schemas.openxmlformats.org/officeDocument/2006/relationships/hyperlink" Target="mailto:murilo.vn@azzurranet.com.br" TargetMode="External"/><Relationship Id="rId131" Type="http://schemas.openxmlformats.org/officeDocument/2006/relationships/hyperlink" Target="mailto:walter.gomes@revemar.com.br;" TargetMode="External"/><Relationship Id="rId152" Type="http://schemas.openxmlformats.org/officeDocument/2006/relationships/hyperlink" Target="mailto:peterson.souza@grupoiesa.com.br" TargetMode="External"/><Relationship Id="rId173" Type="http://schemas.openxmlformats.org/officeDocument/2006/relationships/hyperlink" Target="mailto:adriana.cabreira@nissulgala.com" TargetMode="External"/><Relationship Id="rId194" Type="http://schemas.openxmlformats.org/officeDocument/2006/relationships/hyperlink" Target="mailto:guilherme@luchini.com.br;" TargetMode="External"/><Relationship Id="rId208" Type="http://schemas.openxmlformats.org/officeDocument/2006/relationships/hyperlink" Target="mailto:alexandre.nigmann@gruposinal.com" TargetMode="External"/><Relationship Id="rId229" Type="http://schemas.openxmlformats.org/officeDocument/2006/relationships/hyperlink" Target="mailto:alfredoleta@grupoleauto.com.br;marcoleta@grupoleauto.com.br;francescoleta@grupoleauto.com.br;" TargetMode="External"/><Relationship Id="rId240" Type="http://schemas.openxmlformats.org/officeDocument/2006/relationships/hyperlink" Target="mailto:gergeralpv@grupoleauto.com.br;gergeralpc@grupoleauto.com.br" TargetMode="External"/><Relationship Id="rId14" Type="http://schemas.openxmlformats.org/officeDocument/2006/relationships/hyperlink" Target="mailto:patricia@grupoautomega.com.br;" TargetMode="External"/><Relationship Id="rId35" Type="http://schemas.openxmlformats.org/officeDocument/2006/relationships/hyperlink" Target="mailto:carlos.silvano@amazonasfrance.com.br" TargetMode="External"/><Relationship Id="rId56" Type="http://schemas.openxmlformats.org/officeDocument/2006/relationships/hyperlink" Target="mailto:carlos.henrique@revemar.com.br;" TargetMode="External"/><Relationship Id="rId77" Type="http://schemas.openxmlformats.org/officeDocument/2006/relationships/hyperlink" Target="mailto:henrique.soares@redencao.com.br" TargetMode="External"/><Relationship Id="rId100" Type="http://schemas.openxmlformats.org/officeDocument/2006/relationships/hyperlink" Target="mailto:carlos.tasso@grupoiesa.com.br" TargetMode="External"/><Relationship Id="rId8" Type="http://schemas.openxmlformats.org/officeDocument/2006/relationships/hyperlink" Target="mailto:rodrigo@carmais.com.br;" TargetMode="External"/><Relationship Id="rId98" Type="http://schemas.openxmlformats.org/officeDocument/2006/relationships/hyperlink" Target="mailto:henrique.soares@redencao.com.br" TargetMode="External"/><Relationship Id="rId121" Type="http://schemas.openxmlformats.org/officeDocument/2006/relationships/hyperlink" Target="mailto:pedro.leite@grupourca.com.brpatricia.ferreira@grupourca.com.br" TargetMode="External"/><Relationship Id="rId142" Type="http://schemas.openxmlformats.org/officeDocument/2006/relationships/hyperlink" Target="mailto:flavia.tavares@eurovia.com.br" TargetMode="External"/><Relationship Id="rId163" Type="http://schemas.openxmlformats.org/officeDocument/2006/relationships/hyperlink" Target="mailto:edio@grupoautoshow.com.br" TargetMode="External"/><Relationship Id="rId184" Type="http://schemas.openxmlformats.org/officeDocument/2006/relationships/hyperlink" Target="mailto:robson.cardoso@grupoiesa.com.br" TargetMode="External"/><Relationship Id="rId219" Type="http://schemas.openxmlformats.org/officeDocument/2006/relationships/hyperlink" Target="mailto:geroficina.mercantilandreta@grupoandreta.com.br" TargetMode="External"/><Relationship Id="rId230" Type="http://schemas.openxmlformats.org/officeDocument/2006/relationships/hyperlink" Target="mailto:gervnrab@grupoleauto.com.br" TargetMode="External"/><Relationship Id="rId25" Type="http://schemas.openxmlformats.org/officeDocument/2006/relationships/hyperlink" Target="mailto:flavio@ravelrenault.com.br" TargetMode="External"/><Relationship Id="rId46" Type="http://schemas.openxmlformats.org/officeDocument/2006/relationships/hyperlink" Target="mailto:paulo@aravel.com.br" TargetMode="External"/><Relationship Id="rId67" Type="http://schemas.openxmlformats.org/officeDocument/2006/relationships/hyperlink" Target="mailto:ethiene.melo@grupoiesa.com.br" TargetMode="External"/><Relationship Id="rId88" Type="http://schemas.openxmlformats.org/officeDocument/2006/relationships/hyperlink" Target="mailto:max.erikson@orvelrenault.com.br" TargetMode="External"/><Relationship Id="rId111" Type="http://schemas.openxmlformats.org/officeDocument/2006/relationships/hyperlink" Target="mailto:eduardo.of@azzurranet.com.br" TargetMode="External"/><Relationship Id="rId132" Type="http://schemas.openxmlformats.org/officeDocument/2006/relationships/hyperlink" Target="mailto:walter.gomes@revemar.com.br;" TargetMode="External"/><Relationship Id="rId153" Type="http://schemas.openxmlformats.org/officeDocument/2006/relationships/hyperlink" Target="mailto:bethielle.molina@grupoiesa.com.br" TargetMode="External"/><Relationship Id="rId174" Type="http://schemas.openxmlformats.org/officeDocument/2006/relationships/hyperlink" Target="mailto:gabryelle.rodrigues@gruponasa.com.br" TargetMode="External"/><Relationship Id="rId195" Type="http://schemas.openxmlformats.org/officeDocument/2006/relationships/hyperlink" Target="mailto:diegomoura@itaimbe.com.br" TargetMode="External"/><Relationship Id="rId209" Type="http://schemas.openxmlformats.org/officeDocument/2006/relationships/hyperlink" Target="mailto:cristhian.santos@gruposinal.com" TargetMode="External"/><Relationship Id="rId220" Type="http://schemas.openxmlformats.org/officeDocument/2006/relationships/hyperlink" Target="mailto:Loreane@grupojcf.com" TargetMode="External"/><Relationship Id="rId241" Type="http://schemas.openxmlformats.org/officeDocument/2006/relationships/printerSettings" Target="../printerSettings/printerSettings1.bin"/><Relationship Id="rId15" Type="http://schemas.openxmlformats.org/officeDocument/2006/relationships/hyperlink" Target="mailto:comercial.estacaorenault@gruposaga.com.br;" TargetMode="External"/><Relationship Id="rId36" Type="http://schemas.openxmlformats.org/officeDocument/2006/relationships/hyperlink" Target="mailto:diego.sales@amazonasfrance.com.br" TargetMode="External"/><Relationship Id="rId57" Type="http://schemas.openxmlformats.org/officeDocument/2006/relationships/hyperlink" Target="mailto:carlos.henrique@revemar.com.br;" TargetMode="External"/><Relationship Id="rId106" Type="http://schemas.openxmlformats.org/officeDocument/2006/relationships/hyperlink" Target="mailto:aline.cqa@azzurranet.com.br" TargetMode="External"/><Relationship Id="rId127" Type="http://schemas.openxmlformats.org/officeDocument/2006/relationships/hyperlink" Target="mailto:walter.gomes@revemar.com.br;" TargetMode="External"/><Relationship Id="rId10" Type="http://schemas.openxmlformats.org/officeDocument/2006/relationships/hyperlink" Target="mailto:job.castro@grupoautomega.com.br;" TargetMode="External"/><Relationship Id="rId31" Type="http://schemas.openxmlformats.org/officeDocument/2006/relationships/hyperlink" Target="mailto:marcio.macedo@tecar.com.br" TargetMode="External"/><Relationship Id="rId52" Type="http://schemas.openxmlformats.org/officeDocument/2006/relationships/hyperlink" Target="mailto:diretoria@openveiculos.com.br;gerentegeral@openveiculos.com.br" TargetMode="External"/><Relationship Id="rId73" Type="http://schemas.openxmlformats.org/officeDocument/2006/relationships/hyperlink" Target="mailto:leticia.ribeiro@grupotoriba.com.br" TargetMode="External"/><Relationship Id="rId78" Type="http://schemas.openxmlformats.org/officeDocument/2006/relationships/hyperlink" Target="mailto:marcello.bruno@gruposinal.com" TargetMode="External"/><Relationship Id="rId94" Type="http://schemas.openxmlformats.org/officeDocument/2006/relationships/hyperlink" Target="mailto:diegomoura@itaimbe.com.br" TargetMode="External"/><Relationship Id="rId99" Type="http://schemas.openxmlformats.org/officeDocument/2006/relationships/hyperlink" Target="mailto:wilson.costa@grupoiesa.com.br" TargetMode="External"/><Relationship Id="rId101" Type="http://schemas.openxmlformats.org/officeDocument/2006/relationships/hyperlink" Target="mailto:edson.junior@grupoiesa.com.br" TargetMode="External"/><Relationship Id="rId122" Type="http://schemas.openxmlformats.org/officeDocument/2006/relationships/hyperlink" Target="mailto:pedro.leite@grupourca.com.br" TargetMode="External"/><Relationship Id="rId143" Type="http://schemas.openxmlformats.org/officeDocument/2006/relationships/hyperlink" Target="mailto:lucianocarvalho@armandoveiculos.com.br" TargetMode="External"/><Relationship Id="rId148" Type="http://schemas.openxmlformats.org/officeDocument/2006/relationships/hyperlink" Target="mailto:thayrine.pereira@gruponasa.com.br;" TargetMode="External"/><Relationship Id="rId164" Type="http://schemas.openxmlformats.org/officeDocument/2006/relationships/hyperlink" Target="mailto:ricardo.dalvo@autoplusrenault.com.br" TargetMode="External"/><Relationship Id="rId169" Type="http://schemas.openxmlformats.org/officeDocument/2006/relationships/hyperlink" Target="mailto:qualidade.renault@grupourca.com.br;" TargetMode="External"/><Relationship Id="rId185" Type="http://schemas.openxmlformats.org/officeDocument/2006/relationships/hyperlink" Target="mailto:vitorleta@grupoleauto.com.br;rodrigoleta@grupoleauto.com.br;gabrielleta@grupoleauto.com.br;rafaelleta@grupoleauto.com.br" TargetMode="External"/><Relationship Id="rId4" Type="http://schemas.openxmlformats.org/officeDocument/2006/relationships/hyperlink" Target="mailto:eudes.santos@adtsa.com.br" TargetMode="External"/><Relationship Id="rId9" Type="http://schemas.openxmlformats.org/officeDocument/2006/relationships/hyperlink" Target="mailto:job.castro@grupoautomega.com.br;" TargetMode="External"/><Relationship Id="rId180" Type="http://schemas.openxmlformats.org/officeDocument/2006/relationships/hyperlink" Target="mailto:andressa.pussa@valecrenault.com.br" TargetMode="External"/><Relationship Id="rId210" Type="http://schemas.openxmlformats.org/officeDocument/2006/relationships/hyperlink" Target="mailto:msilva@rpoint.com.br" TargetMode="External"/><Relationship Id="rId215" Type="http://schemas.openxmlformats.org/officeDocument/2006/relationships/hyperlink" Target="mailto:;gustavo.rodrigues@dinisa.com.br;mteresa@dinisa.com.br" TargetMode="External"/><Relationship Id="rId236" Type="http://schemas.openxmlformats.org/officeDocument/2006/relationships/hyperlink" Target="mailto:gerofrpe@grupoleauto.com.br" TargetMode="External"/><Relationship Id="rId26" Type="http://schemas.openxmlformats.org/officeDocument/2006/relationships/hyperlink" Target="mailto:flavio@ravelrenault.com.br" TargetMode="External"/><Relationship Id="rId231" Type="http://schemas.openxmlformats.org/officeDocument/2006/relationships/hyperlink" Target="mailto:supofrab@grupoleauto.com.br" TargetMode="External"/><Relationship Id="rId47" Type="http://schemas.openxmlformats.org/officeDocument/2006/relationships/hyperlink" Target="mailto:fabio.ito@grupobarigui.com.br" TargetMode="External"/><Relationship Id="rId68" Type="http://schemas.openxmlformats.org/officeDocument/2006/relationships/hyperlink" Target="mailto:pedro.santos@grupoiesa.com.br" TargetMode="External"/><Relationship Id="rId89" Type="http://schemas.openxmlformats.org/officeDocument/2006/relationships/hyperlink" Target="mailto:hudson.junior@orvelrenault.com.br" TargetMode="External"/><Relationship Id="rId112" Type="http://schemas.openxmlformats.org/officeDocument/2006/relationships/hyperlink" Target="mailto:romulo.of@azzurranet.com.br" TargetMode="External"/><Relationship Id="rId133" Type="http://schemas.openxmlformats.org/officeDocument/2006/relationships/hyperlink" Target="mailto:walter.gomes@revemar.com.br;" TargetMode="External"/><Relationship Id="rId154" Type="http://schemas.openxmlformats.org/officeDocument/2006/relationships/hyperlink" Target="mailto:jonatas.santos@grupoiesa.com.br" TargetMode="External"/><Relationship Id="rId175" Type="http://schemas.openxmlformats.org/officeDocument/2006/relationships/hyperlink" Target="mailto:magno@valecrenault.com.br;" TargetMode="External"/><Relationship Id="rId196" Type="http://schemas.openxmlformats.org/officeDocument/2006/relationships/hyperlink" Target="mailto:priscilaalves@armandoveiculos.com.br" TargetMode="External"/><Relationship Id="rId200" Type="http://schemas.openxmlformats.org/officeDocument/2006/relationships/hyperlink" Target="mailto:rafael@demarcoveiculos.com.br" TargetMode="External"/><Relationship Id="rId16" Type="http://schemas.openxmlformats.org/officeDocument/2006/relationships/hyperlink" Target="mailto:kcf@grupoenzo.com.br" TargetMode="External"/><Relationship Id="rId221" Type="http://schemas.openxmlformats.org/officeDocument/2006/relationships/hyperlink" Target="mailto:Loreane@grupojcf.com" TargetMode="External"/><Relationship Id="rId37" Type="http://schemas.openxmlformats.org/officeDocument/2006/relationships/hyperlink" Target="mailto:diego.sales@amazonasfrance.com.br" TargetMode="External"/><Relationship Id="rId58" Type="http://schemas.openxmlformats.org/officeDocument/2006/relationships/hyperlink" Target="mailto:carlos.henrique@revemar.com.br;" TargetMode="External"/><Relationship Id="rId79" Type="http://schemas.openxmlformats.org/officeDocument/2006/relationships/hyperlink" Target="mailto:elipaula@romagroup.com.br" TargetMode="External"/><Relationship Id="rId102" Type="http://schemas.openxmlformats.org/officeDocument/2006/relationships/hyperlink" Target="mailto:carlos.tasso@grupoiesa.com.br" TargetMode="External"/><Relationship Id="rId123" Type="http://schemas.openxmlformats.org/officeDocument/2006/relationships/hyperlink" Target="mailto:assistente.vendasdiretas@eurorenault.com.br" TargetMode="External"/><Relationship Id="rId144" Type="http://schemas.openxmlformats.org/officeDocument/2006/relationships/hyperlink" Target="mailto:lucianocarvalho@armandoveiculos.com.br" TargetMode="External"/><Relationship Id="rId90" Type="http://schemas.openxmlformats.org/officeDocument/2006/relationships/hyperlink" Target="mailto:max.erikson@orvelrenault.com.br" TargetMode="External"/><Relationship Id="rId165" Type="http://schemas.openxmlformats.org/officeDocument/2006/relationships/hyperlink" Target="mailto:andre.collier@renaultfaberge.com.br" TargetMode="External"/><Relationship Id="rId186" Type="http://schemas.openxmlformats.org/officeDocument/2006/relationships/hyperlink" Target="mailto:gervnrbf@grupoleauto.com.br" TargetMode="External"/><Relationship Id="rId211" Type="http://schemas.openxmlformats.org/officeDocument/2006/relationships/hyperlink" Target="mailto:wb@gruposinal.com;graziella@gruposinal.com;penna@gruposinal.com" TargetMode="External"/><Relationship Id="rId232" Type="http://schemas.openxmlformats.org/officeDocument/2006/relationships/hyperlink" Target="mailto:gergeralpv@grupoleauto.com.br;gergeralpc@grupoleauto.com.br" TargetMode="External"/><Relationship Id="rId27" Type="http://schemas.openxmlformats.org/officeDocument/2006/relationships/hyperlink" Target="mailto:crm@ravelrenault.com.br" TargetMode="External"/><Relationship Id="rId48" Type="http://schemas.openxmlformats.org/officeDocument/2006/relationships/hyperlink" Target="mailto:rodrigo.rocha@primavia.com.br" TargetMode="External"/><Relationship Id="rId69" Type="http://schemas.openxmlformats.org/officeDocument/2006/relationships/hyperlink" Target="mailto:raphael.farias@grupojorlan.com.br" TargetMode="External"/><Relationship Id="rId113" Type="http://schemas.openxmlformats.org/officeDocument/2006/relationships/hyperlink" Target="mailto:bruno.vn@azzurranet.com.br" TargetMode="External"/><Relationship Id="rId134" Type="http://schemas.openxmlformats.org/officeDocument/2006/relationships/hyperlink" Target="mailto:marcos.delgado@pinauto.com.br" TargetMode="External"/><Relationship Id="rId80" Type="http://schemas.openxmlformats.org/officeDocument/2006/relationships/hyperlink" Target="mailto:fernandaalves@romagroup.com.br;" TargetMode="External"/><Relationship Id="rId155" Type="http://schemas.openxmlformats.org/officeDocument/2006/relationships/hyperlink" Target="mailto:jonatas.santos@grupoiesa.com.br" TargetMode="External"/><Relationship Id="rId176" Type="http://schemas.openxmlformats.org/officeDocument/2006/relationships/hyperlink" Target="mailto:magno@valecrenault.com.br;" TargetMode="External"/><Relationship Id="rId197" Type="http://schemas.openxmlformats.org/officeDocument/2006/relationships/hyperlink" Target="mailto:axena@viaparisnet.com.br;" TargetMode="External"/><Relationship Id="rId201" Type="http://schemas.openxmlformats.org/officeDocument/2006/relationships/hyperlink" Target="mailto:rafael@demarcoveiculos.com.br" TargetMode="External"/><Relationship Id="rId222" Type="http://schemas.openxmlformats.org/officeDocument/2006/relationships/hyperlink" Target="mailto:Ana.prm@grupojcf.com.br" TargetMode="External"/><Relationship Id="rId17" Type="http://schemas.openxmlformats.org/officeDocument/2006/relationships/hyperlink" Target="mailto:douglas.laranjeira@guaracampogrande.com.br" TargetMode="External"/><Relationship Id="rId38" Type="http://schemas.openxmlformats.org/officeDocument/2006/relationships/hyperlink" Target="mailto:fabio.ito@grupobarigui.com.br" TargetMode="External"/><Relationship Id="rId59" Type="http://schemas.openxmlformats.org/officeDocument/2006/relationships/hyperlink" Target="mailto:paula.morais@revemar.com.br" TargetMode="External"/><Relationship Id="rId103" Type="http://schemas.openxmlformats.org/officeDocument/2006/relationships/hyperlink" Target="mailto:norton.erhardt@grupoautoshow.com.br;" TargetMode="External"/><Relationship Id="rId124" Type="http://schemas.openxmlformats.org/officeDocument/2006/relationships/hyperlink" Target="mailto:reymar.sena@revemar.com.br" TargetMode="External"/><Relationship Id="rId70" Type="http://schemas.openxmlformats.org/officeDocument/2006/relationships/hyperlink" Target="mailto:wb@gruposinal.com;graziella@gruposinal.com;penna@gruposinal.com" TargetMode="External"/><Relationship Id="rId91" Type="http://schemas.openxmlformats.org/officeDocument/2006/relationships/hyperlink" Target="mailto:francisco.junior@orvelrenault.com.br" TargetMode="External"/><Relationship Id="rId145" Type="http://schemas.openxmlformats.org/officeDocument/2006/relationships/hyperlink" Target="mailto:assistenteuba@renaultdijon.com.br" TargetMode="External"/><Relationship Id="rId166" Type="http://schemas.openxmlformats.org/officeDocument/2006/relationships/hyperlink" Target="mailto:edemar.nunes@grupofaberge.com.br" TargetMode="External"/><Relationship Id="rId187" Type="http://schemas.openxmlformats.org/officeDocument/2006/relationships/hyperlink" Target="mailto:supvnrtj@grupoleauto.com.br" TargetMode="External"/><Relationship Id="rId1" Type="http://schemas.openxmlformats.org/officeDocument/2006/relationships/hyperlink" Target="mailto:felipe.santos-extern@renault.com" TargetMode="External"/><Relationship Id="rId212" Type="http://schemas.openxmlformats.org/officeDocument/2006/relationships/hyperlink" Target="mailto:marcello.bruno@gruposinal.com;alexandre.tarin@gruposinal.com" TargetMode="External"/><Relationship Id="rId233" Type="http://schemas.openxmlformats.org/officeDocument/2006/relationships/hyperlink" Target="mailto:alfredoleta@grupoleauto.com.br;marcoleta@grupoleauto.com.br;francescoleta@grupoleauto.com.br" TargetMode="External"/><Relationship Id="rId28" Type="http://schemas.openxmlformats.org/officeDocument/2006/relationships/hyperlink" Target="mailto:ismael@ravelrenault.com.br" TargetMode="External"/><Relationship Id="rId49" Type="http://schemas.openxmlformats.org/officeDocument/2006/relationships/hyperlink" Target="mailto:furlan@renaultalliance.com.br;rodrigo.rocha@primavia.com.br" TargetMode="External"/><Relationship Id="rId114" Type="http://schemas.openxmlformats.org/officeDocument/2006/relationships/hyperlink" Target="mailto:aline.cqa@azzurranet.com.br" TargetMode="External"/><Relationship Id="rId60" Type="http://schemas.openxmlformats.org/officeDocument/2006/relationships/hyperlink" Target="mailto:walter.gomes@revemar.com.br;" TargetMode="External"/><Relationship Id="rId81" Type="http://schemas.openxmlformats.org/officeDocument/2006/relationships/hyperlink" Target="mailto:marcelo.meireles@grupoautomega.com.br" TargetMode="External"/><Relationship Id="rId135" Type="http://schemas.openxmlformats.org/officeDocument/2006/relationships/hyperlink" Target="mailto:gustavo.visentin@renaultnobre.com.br" TargetMode="External"/><Relationship Id="rId156" Type="http://schemas.openxmlformats.org/officeDocument/2006/relationships/hyperlink" Target="mailto:jonatas.santos@grupoiesa.com.br" TargetMode="External"/><Relationship Id="rId177" Type="http://schemas.openxmlformats.org/officeDocument/2006/relationships/hyperlink" Target="mailto:magno@valecrenault.com.br;" TargetMode="External"/><Relationship Id="rId198" Type="http://schemas.openxmlformats.org/officeDocument/2006/relationships/hyperlink" Target="mailto:axena@viaparisnet.com.br;" TargetMode="External"/><Relationship Id="rId202" Type="http://schemas.openxmlformats.org/officeDocument/2006/relationships/hyperlink" Target="mailto:wilsonjr1500@hotmail.com;" TargetMode="External"/><Relationship Id="rId223" Type="http://schemas.openxmlformats.org/officeDocument/2006/relationships/hyperlink" Target="mailto:Haidee.mvm@grupojcf.com.br" TargetMode="External"/><Relationship Id="rId18" Type="http://schemas.openxmlformats.org/officeDocument/2006/relationships/hyperlink" Target="mailto:adriana.cabreira@nissulgala.com" TargetMode="External"/><Relationship Id="rId39" Type="http://schemas.openxmlformats.org/officeDocument/2006/relationships/hyperlink" Target="mailto:fabio.ito@grupobarigui.com.br" TargetMode="External"/><Relationship Id="rId50" Type="http://schemas.openxmlformats.org/officeDocument/2006/relationships/hyperlink" Target="mailto:diretoria@openveiculos.com.br;gerentegeral@openveiculos.com.br" TargetMode="External"/><Relationship Id="rId104" Type="http://schemas.openxmlformats.org/officeDocument/2006/relationships/hyperlink" Target="mailto:ronaldo.felipe@autoplusrenault.com.br;" TargetMode="External"/><Relationship Id="rId125" Type="http://schemas.openxmlformats.org/officeDocument/2006/relationships/hyperlink" Target="mailto:walter.gomes@revemar.com.br;" TargetMode="External"/><Relationship Id="rId146" Type="http://schemas.openxmlformats.org/officeDocument/2006/relationships/hyperlink" Target="mailto:Ana.prm@grupojcf.com.br" TargetMode="External"/><Relationship Id="rId167" Type="http://schemas.openxmlformats.org/officeDocument/2006/relationships/hyperlink" Target="mailto:roberto.faberge@grupofaberge.com.br" TargetMode="External"/><Relationship Id="rId188" Type="http://schemas.openxmlformats.org/officeDocument/2006/relationships/hyperlink" Target="mailto:supvnrpe@grupoleauto.com.br" TargetMode="External"/><Relationship Id="rId71" Type="http://schemas.openxmlformats.org/officeDocument/2006/relationships/hyperlink" Target="mailto:tiago@atri.com.br;mazer@atri.com.br;" TargetMode="External"/><Relationship Id="rId92" Type="http://schemas.openxmlformats.org/officeDocument/2006/relationships/hyperlink" Target="mailto:antonio.rosa@orvelrenault.com.br" TargetMode="External"/><Relationship Id="rId213" Type="http://schemas.openxmlformats.org/officeDocument/2006/relationships/hyperlink" Target="mailto:robson.vieira@gruposinal.com" TargetMode="External"/><Relationship Id="rId234" Type="http://schemas.openxmlformats.org/officeDocument/2006/relationships/hyperlink" Target="mailto:gergeralpv@grupoleauto.com.br;gergeralpc@grupoleauto.com.br" TargetMode="External"/><Relationship Id="rId2" Type="http://schemas.openxmlformats.org/officeDocument/2006/relationships/hyperlink" Target="mailto:qualidaderenaultpvh@gruposaga.com.br" TargetMode="External"/><Relationship Id="rId29" Type="http://schemas.openxmlformats.org/officeDocument/2006/relationships/hyperlink" Target="mailto:jhn@tecar.com.br" TargetMode="External"/><Relationship Id="rId40" Type="http://schemas.openxmlformats.org/officeDocument/2006/relationships/hyperlink" Target="mailto:cleusa.rosa@grupoiesa.com.br" TargetMode="External"/><Relationship Id="rId115" Type="http://schemas.openxmlformats.org/officeDocument/2006/relationships/hyperlink" Target="mailto:cotech.ilha@azzurranet.com.br;" TargetMode="External"/><Relationship Id="rId136" Type="http://schemas.openxmlformats.org/officeDocument/2006/relationships/hyperlink" Target="mailto:vitorleta@grupoleauto.com.br;rodrigoleta@grupoleauto.com.br;gabrielleta@grupoleauto.com.br;rafaelleta@grupoleauto.com.br" TargetMode="External"/><Relationship Id="rId157" Type="http://schemas.openxmlformats.org/officeDocument/2006/relationships/hyperlink" Target="mailto:qualidade@autoplusrenault.com.br;" TargetMode="External"/><Relationship Id="rId178" Type="http://schemas.openxmlformats.org/officeDocument/2006/relationships/hyperlink" Target="mailto:magno@valecrenault.com.br;" TargetMode="External"/><Relationship Id="rId61" Type="http://schemas.openxmlformats.org/officeDocument/2006/relationships/hyperlink" Target="mailto:egeraldi@bestpoints.com.br" TargetMode="External"/><Relationship Id="rId82" Type="http://schemas.openxmlformats.org/officeDocument/2006/relationships/hyperlink" Target="mailto:posvenda@gamaautos.com.br" TargetMode="External"/><Relationship Id="rId199" Type="http://schemas.openxmlformats.org/officeDocument/2006/relationships/hyperlink" Target="mailto:axena@viaparisnet.com.br;" TargetMode="External"/><Relationship Id="rId203" Type="http://schemas.openxmlformats.org/officeDocument/2006/relationships/hyperlink" Target="mailto:rvendas2.ara@aravel.com.br" TargetMode="External"/><Relationship Id="rId19" Type="http://schemas.openxmlformats.org/officeDocument/2006/relationships/hyperlink" Target="mailto:leo.soyer@navesa.com.br" TargetMode="External"/><Relationship Id="rId224" Type="http://schemas.openxmlformats.org/officeDocument/2006/relationships/hyperlink" Target="mailto:Haidee.mvm@grupojcf.com.br" TargetMode="External"/><Relationship Id="rId30" Type="http://schemas.openxmlformats.org/officeDocument/2006/relationships/hyperlink" Target="mailto:marcio.macedo@tecar.com.br" TargetMode="External"/><Relationship Id="rId105" Type="http://schemas.openxmlformats.org/officeDocument/2006/relationships/hyperlink" Target="mailto:aline.cqa@azzurranet.com.br" TargetMode="External"/><Relationship Id="rId126" Type="http://schemas.openxmlformats.org/officeDocument/2006/relationships/hyperlink" Target="mailto:walter.gomes@revemar.com.br;" TargetMode="External"/><Relationship Id="rId147" Type="http://schemas.openxmlformats.org/officeDocument/2006/relationships/hyperlink" Target="mailto:celio.junior@gruponasa.com.br;" TargetMode="External"/><Relationship Id="rId168" Type="http://schemas.openxmlformats.org/officeDocument/2006/relationships/hyperlink" Target="mailto:dea.pena@carmais.com.br" TargetMode="External"/><Relationship Id="rId51" Type="http://schemas.openxmlformats.org/officeDocument/2006/relationships/hyperlink" Target="mailto:diretoria@openveiculos.com.br;gerentegeral@openveiculos.com.br" TargetMode="External"/><Relationship Id="rId72" Type="http://schemas.openxmlformats.org/officeDocument/2006/relationships/hyperlink" Target="mailto:anderson.mendonca@dinisa.com.br" TargetMode="External"/><Relationship Id="rId93" Type="http://schemas.openxmlformats.org/officeDocument/2006/relationships/hyperlink" Target="mailto:antonio.rosa@orvelrenault.com.br" TargetMode="External"/><Relationship Id="rId189" Type="http://schemas.openxmlformats.org/officeDocument/2006/relationships/hyperlink" Target="mailto:gilmara@jpnrenault.com.br" TargetMode="External"/><Relationship Id="rId3" Type="http://schemas.openxmlformats.org/officeDocument/2006/relationships/hyperlink" Target="mailto:rosiane.msilva@gruposaga.com.br;" TargetMode="External"/><Relationship Id="rId214" Type="http://schemas.openxmlformats.org/officeDocument/2006/relationships/hyperlink" Target="mailto:rodrigo.braz@gruposinal.com" TargetMode="External"/><Relationship Id="rId235" Type="http://schemas.openxmlformats.org/officeDocument/2006/relationships/hyperlink" Target="mailto:alfredoleta@grupoleauto.com.br;marcoleta@grupoleauto.com.br;francescoleta@grupoleauto.com.br;" TargetMode="External"/><Relationship Id="rId116" Type="http://schemas.openxmlformats.org/officeDocument/2006/relationships/hyperlink" Target="mailto:romulo.of@azzurranet.com.br" TargetMode="External"/><Relationship Id="rId137" Type="http://schemas.openxmlformats.org/officeDocument/2006/relationships/hyperlink" Target="mailto:vitorleta@grupoleauto.com.br;rodrigoleta@grupoleauto.com.br;gabrielleta@grupoleauto.com.br;rafaelleta@grupoleauto.com.br" TargetMode="External"/><Relationship Id="rId158" Type="http://schemas.openxmlformats.org/officeDocument/2006/relationships/hyperlink" Target="mailto:qualidade@autoplusrenault.com.br;" TargetMode="External"/><Relationship Id="rId20" Type="http://schemas.openxmlformats.org/officeDocument/2006/relationships/hyperlink" Target="mailto:carlos.alberto@navesa.com.br" TargetMode="External"/><Relationship Id="rId41" Type="http://schemas.openxmlformats.org/officeDocument/2006/relationships/hyperlink" Target="mailto:cleusa.rosa@grupoiesa.com.br" TargetMode="External"/><Relationship Id="rId62" Type="http://schemas.openxmlformats.org/officeDocument/2006/relationships/hyperlink" Target="mailto:saymon.avila@grupoiesa.com.br" TargetMode="External"/><Relationship Id="rId83" Type="http://schemas.openxmlformats.org/officeDocument/2006/relationships/hyperlink" Target="mailto:lilian.prm@grupojcf.com.br" TargetMode="External"/><Relationship Id="rId179" Type="http://schemas.openxmlformats.org/officeDocument/2006/relationships/hyperlink" Target="mailto:magno@valecrenault.com.br;" TargetMode="External"/><Relationship Id="rId190" Type="http://schemas.openxmlformats.org/officeDocument/2006/relationships/hyperlink" Target="mailto:guilherme.madella@valecrenault.com.br" TargetMode="External"/><Relationship Id="rId204" Type="http://schemas.openxmlformats.org/officeDocument/2006/relationships/hyperlink" Target="mailto:gerservicos.ara@aravel.com.br" TargetMode="External"/><Relationship Id="rId225" Type="http://schemas.openxmlformats.org/officeDocument/2006/relationships/hyperlink" Target="mailto:Eduardo.prf@grupojcf.com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uiz.pereira@renault.com" TargetMode="External"/><Relationship Id="rId2" Type="http://schemas.openxmlformats.org/officeDocument/2006/relationships/hyperlink" Target="mailto:luiz.pereira@renault.com" TargetMode="External"/><Relationship Id="rId1" Type="http://schemas.openxmlformats.org/officeDocument/2006/relationships/hyperlink" Target="mailto:rui.borcath@renault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luiz.pereira@renault.com" TargetMode="External"/><Relationship Id="rId4" Type="http://schemas.openxmlformats.org/officeDocument/2006/relationships/hyperlink" Target="mailto:rui.borcath@renault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adriana.cabreira@nissulgala.com" TargetMode="External"/><Relationship Id="rId21" Type="http://schemas.openxmlformats.org/officeDocument/2006/relationships/hyperlink" Target="mailto:ismael@ravelrenault.com.br" TargetMode="External"/><Relationship Id="rId324" Type="http://schemas.openxmlformats.org/officeDocument/2006/relationships/hyperlink" Target="mailto:bruna.bandeira@nissulgala.com;joelise@nissulgala.com;ana.dias@nissulgala.com;rogerio@nissulgala.com" TargetMode="External"/><Relationship Id="rId531" Type="http://schemas.openxmlformats.org/officeDocument/2006/relationships/hyperlink" Target="mailto:alice.mesquita@revemar.com.br;" TargetMode="External"/><Relationship Id="rId170" Type="http://schemas.openxmlformats.org/officeDocument/2006/relationships/hyperlink" Target="mailto:luciana.ccredigolo@itavemafrance.com.br" TargetMode="External"/><Relationship Id="rId268" Type="http://schemas.openxmlformats.org/officeDocument/2006/relationships/hyperlink" Target="mailto:pedro.feijo@nissulgala.com" TargetMode="External"/><Relationship Id="rId475" Type="http://schemas.openxmlformats.org/officeDocument/2006/relationships/hyperlink" Target="mailto:giovanna.gasparotto@gruposinal.com;pedro.ferreira@gruposinal.com;guilherme.barbosa@gruposinal.com" TargetMode="External"/><Relationship Id="rId32" Type="http://schemas.openxmlformats.org/officeDocument/2006/relationships/hyperlink" Target="mailto:roberjaniapinheiro@fortnissan.com.br" TargetMode="External"/><Relationship Id="rId128" Type="http://schemas.openxmlformats.org/officeDocument/2006/relationships/hyperlink" Target="mailto:vitorleta@grupoleauto.com.br;rodrigoleta@grupoleauto.com.br;gabrielleta@grupoleauto.com.br;rafaelleta@grupoleauto.com.br" TargetMode="External"/><Relationship Id="rId335" Type="http://schemas.openxmlformats.org/officeDocument/2006/relationships/hyperlink" Target="mailto:lillian.martins@rpoint.com.br" TargetMode="External"/><Relationship Id="rId181" Type="http://schemas.openxmlformats.org/officeDocument/2006/relationships/hyperlink" Target="mailto:guilherme@luchini.com.br;" TargetMode="External"/><Relationship Id="rId402" Type="http://schemas.openxmlformats.org/officeDocument/2006/relationships/hyperlink" Target="mailto:anderson.rocha@eurovia.com.br" TargetMode="External"/><Relationship Id="rId279" Type="http://schemas.openxmlformats.org/officeDocument/2006/relationships/hyperlink" Target="mailto:melissa.rdducco@itavemafrance.com.br" TargetMode="External"/><Relationship Id="rId444" Type="http://schemas.openxmlformats.org/officeDocument/2006/relationships/hyperlink" Target="mailto:Denis.bernardo@drsul.com.br" TargetMode="External"/><Relationship Id="rId486" Type="http://schemas.openxmlformats.org/officeDocument/2006/relationships/hyperlink" Target="mailto:ricardo.ramalho@premierveiculos.com.br" TargetMode="External"/><Relationship Id="rId43" Type="http://schemas.openxmlformats.org/officeDocument/2006/relationships/hyperlink" Target="mailto:ethiene.melo@grupoiesa.com.br" TargetMode="External"/><Relationship Id="rId139" Type="http://schemas.openxmlformats.org/officeDocument/2006/relationships/hyperlink" Target="mailto:gerservicos.ara@aravel.com.br" TargetMode="External"/><Relationship Id="rId290" Type="http://schemas.openxmlformats.org/officeDocument/2006/relationships/hyperlink" Target="mailto:diretoria.admfinanceiro@grupoandreta.com.br;" TargetMode="External"/><Relationship Id="rId304" Type="http://schemas.openxmlformats.org/officeDocument/2006/relationships/hyperlink" Target="mailto:santiago.silva@adtsa.com.br" TargetMode="External"/><Relationship Id="rId346" Type="http://schemas.openxmlformats.org/officeDocument/2006/relationships/hyperlink" Target="mailto:fabio.ito@grupobarigui.com.br" TargetMode="External"/><Relationship Id="rId388" Type="http://schemas.openxmlformats.org/officeDocument/2006/relationships/hyperlink" Target="mailto:lillian.martins@rpoint.com.br" TargetMode="External"/><Relationship Id="rId511" Type="http://schemas.openxmlformats.org/officeDocument/2006/relationships/hyperlink" Target="mailto:marcelo.silva@guaracampogrande.com.br" TargetMode="External"/><Relationship Id="rId85" Type="http://schemas.openxmlformats.org/officeDocument/2006/relationships/hyperlink" Target="mailto:vitorleta@grupoleauto.com.br;rodrigoleta@grupoleauto.com.br;gabrielleta@grupoleauto.com.br;rafaelleta@grupoleauto.com.br" TargetMode="External"/><Relationship Id="rId150" Type="http://schemas.openxmlformats.org/officeDocument/2006/relationships/hyperlink" Target="mailto:Haidee.mvm@grupojcf.com.br" TargetMode="External"/><Relationship Id="rId192" Type="http://schemas.openxmlformats.org/officeDocument/2006/relationships/hyperlink" Target="mailto:bruno.cesario@grupojorlan.com" TargetMode="External"/><Relationship Id="rId206" Type="http://schemas.openxmlformats.org/officeDocument/2006/relationships/hyperlink" Target="mailto:liliane.costa@adtsa.com.br" TargetMode="External"/><Relationship Id="rId413" Type="http://schemas.openxmlformats.org/officeDocument/2006/relationships/hyperlink" Target="mailto:thiago.marques@fancar.com.br" TargetMode="External"/><Relationship Id="rId248" Type="http://schemas.openxmlformats.org/officeDocument/2006/relationships/hyperlink" Target="mailto:vendas1053@besourorenault.com.br" TargetMode="External"/><Relationship Id="rId455" Type="http://schemas.openxmlformats.org/officeDocument/2006/relationships/hyperlink" Target="mailto:marcos.griten@autoplusrenault.com.br;marcos.griten@autoplusrenault.com.br" TargetMode="External"/><Relationship Id="rId497" Type="http://schemas.openxmlformats.org/officeDocument/2006/relationships/hyperlink" Target="mailto:bruno.souza@gruposinal.com;robson.vieira@gruposinal.com;" TargetMode="External"/><Relationship Id="rId12" Type="http://schemas.openxmlformats.org/officeDocument/2006/relationships/hyperlink" Target="mailto:leo.soyer@navesa.com.br" TargetMode="External"/><Relationship Id="rId108" Type="http://schemas.openxmlformats.org/officeDocument/2006/relationships/hyperlink" Target="mailto:edio@grupoautoshow.com.br" TargetMode="External"/><Relationship Id="rId315" Type="http://schemas.openxmlformats.org/officeDocument/2006/relationships/hyperlink" Target="mailto:ernani@nissulgala.com;marcelo@nissulgala.com" TargetMode="External"/><Relationship Id="rId357" Type="http://schemas.openxmlformats.org/officeDocument/2006/relationships/hyperlink" Target="mailto:felipe.zanforlin@grupoville.com.br" TargetMode="External"/><Relationship Id="rId522" Type="http://schemas.openxmlformats.org/officeDocument/2006/relationships/hyperlink" Target="mailto:carlos.henrique@revemar.com.br" TargetMode="External"/><Relationship Id="rId54" Type="http://schemas.openxmlformats.org/officeDocument/2006/relationships/hyperlink" Target="mailto:posvenda@gamaautos.com.br" TargetMode="External"/><Relationship Id="rId96" Type="http://schemas.openxmlformats.org/officeDocument/2006/relationships/hyperlink" Target="mailto:breno@gruponasa.com.br" TargetMode="External"/><Relationship Id="rId161" Type="http://schemas.openxmlformats.org/officeDocument/2006/relationships/hyperlink" Target="mailto:gergeralpv@grupoleauto.com.br;gergeralpc@grupoleauto.com.br" TargetMode="External"/><Relationship Id="rId217" Type="http://schemas.openxmlformats.org/officeDocument/2006/relationships/hyperlink" Target="mailto:neideazevedo@romagroup.com.br;" TargetMode="External"/><Relationship Id="rId399" Type="http://schemas.openxmlformats.org/officeDocument/2006/relationships/hyperlink" Target="mailto:amaral@grupoautoshow.com.br" TargetMode="External"/><Relationship Id="rId259" Type="http://schemas.openxmlformats.org/officeDocument/2006/relationships/hyperlink" Target="mailto:jocemara@renaultdijon.com.br;" TargetMode="External"/><Relationship Id="rId424" Type="http://schemas.openxmlformats.org/officeDocument/2006/relationships/hyperlink" Target="mailto:saymon.avila@grupoiesa.com.br" TargetMode="External"/><Relationship Id="rId466" Type="http://schemas.openxmlformats.org/officeDocument/2006/relationships/hyperlink" Target="mailto:armandoperalta@grupoapf.com.br" TargetMode="External"/><Relationship Id="rId23" Type="http://schemas.openxmlformats.org/officeDocument/2006/relationships/hyperlink" Target="mailto:marcio.macedo@tecar.com.br" TargetMode="External"/><Relationship Id="rId119" Type="http://schemas.openxmlformats.org/officeDocument/2006/relationships/hyperlink" Target="mailto:gabryelle.rodrigues@gruponasa.com.br" TargetMode="External"/><Relationship Id="rId270" Type="http://schemas.openxmlformats.org/officeDocument/2006/relationships/hyperlink" Target="mailto:felipefranco@itavema.com.br" TargetMode="External"/><Relationship Id="rId326" Type="http://schemas.openxmlformats.org/officeDocument/2006/relationships/hyperlink" Target="mailto:bruna.bandeira@nissulgala.com;joelise@nissulgala.com;ana.dias@nissulgala.com;rogerio@nissulgala.com" TargetMode="External"/><Relationship Id="rId533" Type="http://schemas.openxmlformats.org/officeDocument/2006/relationships/hyperlink" Target="mailto:devincer.miguel@rpoint.com.br" TargetMode="External"/><Relationship Id="rId65" Type="http://schemas.openxmlformats.org/officeDocument/2006/relationships/hyperlink" Target="mailto:antonio.rosa@orvelrenault.com.br" TargetMode="External"/><Relationship Id="rId130" Type="http://schemas.openxmlformats.org/officeDocument/2006/relationships/hyperlink" Target="mailto:supvnrtj@grupoleauto.com.br" TargetMode="External"/><Relationship Id="rId368" Type="http://schemas.openxmlformats.org/officeDocument/2006/relationships/hyperlink" Target="mailto:clayton.santos@formularenault.com.br" TargetMode="External"/><Relationship Id="rId172" Type="http://schemas.openxmlformats.org/officeDocument/2006/relationships/hyperlink" Target="mailto:gerenteposvenda.tatui@velmax.com.br" TargetMode="External"/><Relationship Id="rId228" Type="http://schemas.openxmlformats.org/officeDocument/2006/relationships/hyperlink" Target="mailto:marcelo.vancin@santaemilia.com.br" TargetMode="External"/><Relationship Id="rId435" Type="http://schemas.openxmlformats.org/officeDocument/2006/relationships/hyperlink" Target="mailto:sandro.of@azzurranet.com.br;bruno.vn@azzurranet.com.br;leandro.pc@azzurranet.com.br" TargetMode="External"/><Relationship Id="rId477" Type="http://schemas.openxmlformats.org/officeDocument/2006/relationships/hyperlink" Target="mailto:adriano.moura@gruposinal.com;marcello.bruno@gruposinal.com" TargetMode="External"/><Relationship Id="rId281" Type="http://schemas.openxmlformats.org/officeDocument/2006/relationships/hyperlink" Target="mailto:mbetuker@itavema.com.br" TargetMode="External"/><Relationship Id="rId337" Type="http://schemas.openxmlformats.org/officeDocument/2006/relationships/hyperlink" Target="mailto:luis.fernando@grupojorlan.com" TargetMode="External"/><Relationship Id="rId502" Type="http://schemas.openxmlformats.org/officeDocument/2006/relationships/hyperlink" Target="mailto:vicente@grupoautomega.com.br;gerse.silva@grupoautomega.com.br" TargetMode="External"/><Relationship Id="rId34" Type="http://schemas.openxmlformats.org/officeDocument/2006/relationships/hyperlink" Target="mailto:furlan@renaultalliance.com.br" TargetMode="External"/><Relationship Id="rId76" Type="http://schemas.openxmlformats.org/officeDocument/2006/relationships/hyperlink" Target="mailto:eduardo.of@azzurranet.com.br" TargetMode="External"/><Relationship Id="rId141" Type="http://schemas.openxmlformats.org/officeDocument/2006/relationships/hyperlink" Target="mailto:msilva@rpoint.com.br" TargetMode="External"/><Relationship Id="rId379" Type="http://schemas.openxmlformats.org/officeDocument/2006/relationships/hyperlink" Target="mailto:flavia.ferreira@formularenault.com.br" TargetMode="External"/><Relationship Id="rId7" Type="http://schemas.openxmlformats.org/officeDocument/2006/relationships/hyperlink" Target="mailto:vicente@grupoautomega.com.br;gerse.silva@grupoautomega.com.br" TargetMode="External"/><Relationship Id="rId183" Type="http://schemas.openxmlformats.org/officeDocument/2006/relationships/hyperlink" Target="mailto:bianca.sodre@grupovia1.com.br;Joana.ramos@eurovia.com.br%20;" TargetMode="External"/><Relationship Id="rId239" Type="http://schemas.openxmlformats.org/officeDocument/2006/relationships/hyperlink" Target="mailto:gilberto.neto@adtsa.com.br" TargetMode="External"/><Relationship Id="rId390" Type="http://schemas.openxmlformats.org/officeDocument/2006/relationships/hyperlink" Target="mailto:guilherme.barbosa@formularenault.com.br" TargetMode="External"/><Relationship Id="rId404" Type="http://schemas.openxmlformats.org/officeDocument/2006/relationships/hyperlink" Target="mailto:vanessa.barbosa@grupotoriba.com.br" TargetMode="External"/><Relationship Id="rId446" Type="http://schemas.openxmlformats.org/officeDocument/2006/relationships/hyperlink" Target="mailto:oficina@renaultvivant.com.br;danilo.lins@renaultvivant.com.br" TargetMode="External"/><Relationship Id="rId250" Type="http://schemas.openxmlformats.org/officeDocument/2006/relationships/hyperlink" Target="mailto:thiago.zafatoshi@valecrenault.com.br" TargetMode="External"/><Relationship Id="rId292" Type="http://schemas.openxmlformats.org/officeDocument/2006/relationships/hyperlink" Target="mailto:diretoria.admfinanceiro@grupoandreta.com.br;" TargetMode="External"/><Relationship Id="rId306" Type="http://schemas.openxmlformats.org/officeDocument/2006/relationships/hyperlink" Target="mailto:ana.flexa@adtsa.com.br" TargetMode="External"/><Relationship Id="rId488" Type="http://schemas.openxmlformats.org/officeDocument/2006/relationships/hyperlink" Target="mailto:nicholas.toledo@proeste.com.br" TargetMode="External"/><Relationship Id="rId45" Type="http://schemas.openxmlformats.org/officeDocument/2006/relationships/hyperlink" Target="mailto:rafael.freitas@grupojorlan.com" TargetMode="External"/><Relationship Id="rId87" Type="http://schemas.openxmlformats.org/officeDocument/2006/relationships/hyperlink" Target="mailto:guilherme@luchini.com.br;" TargetMode="External"/><Relationship Id="rId110" Type="http://schemas.openxmlformats.org/officeDocument/2006/relationships/hyperlink" Target="mailto:andre.collier@renaultfaberge.com.br" TargetMode="External"/><Relationship Id="rId348" Type="http://schemas.openxmlformats.org/officeDocument/2006/relationships/hyperlink" Target="mailto:moacir.bartolomei@grupoville.com.br;andersonpazzini@grupoville.com.br" TargetMode="External"/><Relationship Id="rId513" Type="http://schemas.openxmlformats.org/officeDocument/2006/relationships/hyperlink" Target="mailto:carlos.henrique@revemar.com.br" TargetMode="External"/><Relationship Id="rId152" Type="http://schemas.openxmlformats.org/officeDocument/2006/relationships/hyperlink" Target="mailto:alison.prf@grupojcf.com" TargetMode="External"/><Relationship Id="rId194" Type="http://schemas.openxmlformats.org/officeDocument/2006/relationships/hyperlink" Target="mailto:daislan.sales@grupojorlan.com" TargetMode="External"/><Relationship Id="rId208" Type="http://schemas.openxmlformats.org/officeDocument/2006/relationships/hyperlink" Target="mailto:liliane.costa@adtsa.com.br" TargetMode="External"/><Relationship Id="rId415" Type="http://schemas.openxmlformats.org/officeDocument/2006/relationships/hyperlink" Target="mailto:cotech.ror@fancar.com.br;geovane.santos@fancar.com.br" TargetMode="External"/><Relationship Id="rId457" Type="http://schemas.openxmlformats.org/officeDocument/2006/relationships/hyperlink" Target="mailto:rodrigo.herbst@autoplusrenault.com.br;marcos.griten@autoplusrenault.com.br" TargetMode="External"/><Relationship Id="rId261" Type="http://schemas.openxmlformats.org/officeDocument/2006/relationships/hyperlink" Target="mailto:fabio.maraux@eurovia.com.br" TargetMode="External"/><Relationship Id="rId499" Type="http://schemas.openxmlformats.org/officeDocument/2006/relationships/hyperlink" Target="mailto:sandro.of@azzurranet.com.br;bruno.vn@azzurranet.com.br;leandro.pc@azzurranet.com.br" TargetMode="External"/><Relationship Id="rId14" Type="http://schemas.openxmlformats.org/officeDocument/2006/relationships/hyperlink" Target="mailto:keilaaugusta@navesa.com.br" TargetMode="External"/><Relationship Id="rId56" Type="http://schemas.openxmlformats.org/officeDocument/2006/relationships/hyperlink" Target="mailto:Josefa.prf@grupojcf.com.br" TargetMode="External"/><Relationship Id="rId317" Type="http://schemas.openxmlformats.org/officeDocument/2006/relationships/hyperlink" Target="mailto:ernani@nissulgala.com;marcelo@nissulgala.com" TargetMode="External"/><Relationship Id="rId359" Type="http://schemas.openxmlformats.org/officeDocument/2006/relationships/hyperlink" Target="mailto:andre.paiola@grupoville.com.br" TargetMode="External"/><Relationship Id="rId524" Type="http://schemas.openxmlformats.org/officeDocument/2006/relationships/hyperlink" Target="mailto:cristiane.sm@revemar.com.br" TargetMode="External"/><Relationship Id="rId98" Type="http://schemas.openxmlformats.org/officeDocument/2006/relationships/hyperlink" Target="mailto:peterson.souza@grupoiesa.com.br" TargetMode="External"/><Relationship Id="rId121" Type="http://schemas.openxmlformats.org/officeDocument/2006/relationships/hyperlink" Target="mailto:magno@valecrenault.com.br;" TargetMode="External"/><Relationship Id="rId163" Type="http://schemas.openxmlformats.org/officeDocument/2006/relationships/hyperlink" Target="mailto:geroftj@grupoleauto.com.br" TargetMode="External"/><Relationship Id="rId219" Type="http://schemas.openxmlformats.org/officeDocument/2006/relationships/hyperlink" Target="mailto:anderson.mendonca@dinisa.com.br;" TargetMode="External"/><Relationship Id="rId370" Type="http://schemas.openxmlformats.org/officeDocument/2006/relationships/hyperlink" Target="mailto:edson.nagao@formularenault.com.br" TargetMode="External"/><Relationship Id="rId426" Type="http://schemas.openxmlformats.org/officeDocument/2006/relationships/hyperlink" Target="mailto:paulo.lema@formularenault.com.br" TargetMode="External"/><Relationship Id="rId230" Type="http://schemas.openxmlformats.org/officeDocument/2006/relationships/hyperlink" Target="mailto:luziano.grellmann@itaimbe.com.br" TargetMode="External"/><Relationship Id="rId468" Type="http://schemas.openxmlformats.org/officeDocument/2006/relationships/hyperlink" Target="mailto:penna@gruposinal.com;alexandre.tarin@gruposinal.com" TargetMode="External"/><Relationship Id="rId25" Type="http://schemas.openxmlformats.org/officeDocument/2006/relationships/hyperlink" Target="mailto:edio@grupoautoshow.com.br" TargetMode="External"/><Relationship Id="rId67" Type="http://schemas.openxmlformats.org/officeDocument/2006/relationships/hyperlink" Target="mailto:diegomoura@itaimbe.com.br" TargetMode="External"/><Relationship Id="rId272" Type="http://schemas.openxmlformats.org/officeDocument/2006/relationships/hyperlink" Target="mailto:felipefranco@itavema.com.br" TargetMode="External"/><Relationship Id="rId328" Type="http://schemas.openxmlformats.org/officeDocument/2006/relationships/hyperlink" Target="mailto:bruna.bandeira@nissulgala.com;joelise@nissulgala.com;ana.dias@nissulgala.com;rogerio@nissulgala.com" TargetMode="External"/><Relationship Id="rId132" Type="http://schemas.openxmlformats.org/officeDocument/2006/relationships/hyperlink" Target="mailto:gilmara@jpnrenault.com.br" TargetMode="External"/><Relationship Id="rId174" Type="http://schemas.openxmlformats.org/officeDocument/2006/relationships/hyperlink" Target="mailto:rodrigojannuzzi@romagroup.com.br" TargetMode="External"/><Relationship Id="rId381" Type="http://schemas.openxmlformats.org/officeDocument/2006/relationships/hyperlink" Target="mailto:eimili.martins@formularenault.com.br" TargetMode="External"/><Relationship Id="rId241" Type="http://schemas.openxmlformats.org/officeDocument/2006/relationships/hyperlink" Target="mailto:dalzineide.silva@adtsa.com.br" TargetMode="External"/><Relationship Id="rId437" Type="http://schemas.openxmlformats.org/officeDocument/2006/relationships/hyperlink" Target="mailto:jorge.castro@drsulveiculos.com.br;marcio.coelho@drsul.com.br" TargetMode="External"/><Relationship Id="rId479" Type="http://schemas.openxmlformats.org/officeDocument/2006/relationships/hyperlink" Target="mailto:andre.naaman@gruposinal.com;marcello.bruno@gruposinal.com" TargetMode="External"/><Relationship Id="rId36" Type="http://schemas.openxmlformats.org/officeDocument/2006/relationships/hyperlink" Target="mailto:diretoria@openveiculos.com.br;gerentegeral@openveiculos.com.br" TargetMode="External"/><Relationship Id="rId283" Type="http://schemas.openxmlformats.org/officeDocument/2006/relationships/hyperlink" Target="mailto:andrea.monteiro@itavemafrance.com.br" TargetMode="External"/><Relationship Id="rId339" Type="http://schemas.openxmlformats.org/officeDocument/2006/relationships/hyperlink" Target="mailto:luis.fernando@grupojorlan.com" TargetMode="External"/><Relationship Id="rId490" Type="http://schemas.openxmlformats.org/officeDocument/2006/relationships/hyperlink" Target="mailto:eduardo.noronha@proeste.com.br" TargetMode="External"/><Relationship Id="rId504" Type="http://schemas.openxmlformats.org/officeDocument/2006/relationships/hyperlink" Target="mailto:anderson.galoni@eurorenault.com.br;pablo@ortovel.com.br" TargetMode="External"/><Relationship Id="rId78" Type="http://schemas.openxmlformats.org/officeDocument/2006/relationships/hyperlink" Target="mailto:robson.vieira@gruposinal.com" TargetMode="External"/><Relationship Id="rId101" Type="http://schemas.openxmlformats.org/officeDocument/2006/relationships/hyperlink" Target="mailto:claudia.bertotto@grupoiesa.com.br" TargetMode="External"/><Relationship Id="rId143" Type="http://schemas.openxmlformats.org/officeDocument/2006/relationships/hyperlink" Target="mailto:nagib.duarte@dinisa.com.br;;%20lorenna.mororo@dinisa.com.br" TargetMode="External"/><Relationship Id="rId185" Type="http://schemas.openxmlformats.org/officeDocument/2006/relationships/hyperlink" Target="mailto:alessandro.soldi@automob.com.br" TargetMode="External"/><Relationship Id="rId350" Type="http://schemas.openxmlformats.org/officeDocument/2006/relationships/hyperlink" Target="mailto:moacir.bartolomei@grupoville.com.br;andersonpazzini@grupoville.com.br" TargetMode="External"/><Relationship Id="rId406" Type="http://schemas.openxmlformats.org/officeDocument/2006/relationships/hyperlink" Target="mailto:marcio.santos@grupotoriba.com.br;" TargetMode="External"/><Relationship Id="rId9" Type="http://schemas.openxmlformats.org/officeDocument/2006/relationships/hyperlink" Target="mailto:comercial.estacaorenault@gruposaga.com.br;" TargetMode="External"/><Relationship Id="rId210" Type="http://schemas.openxmlformats.org/officeDocument/2006/relationships/hyperlink" Target="mailto:leonardo.pacheco@adtsa.com.br" TargetMode="External"/><Relationship Id="rId392" Type="http://schemas.openxmlformats.org/officeDocument/2006/relationships/hyperlink" Target="mailto:leonardo.harte@grupoville.com.br" TargetMode="External"/><Relationship Id="rId448" Type="http://schemas.openxmlformats.org/officeDocument/2006/relationships/hyperlink" Target="mailto:josejunior@autobelo.com.br;" TargetMode="External"/><Relationship Id="rId252" Type="http://schemas.openxmlformats.org/officeDocument/2006/relationships/hyperlink" Target="mailto:henrique.franco@rpoint.com.br" TargetMode="External"/><Relationship Id="rId294" Type="http://schemas.openxmlformats.org/officeDocument/2006/relationships/hyperlink" Target="mailto:gergeral.andretaamericana@grupoandreta.com.br" TargetMode="External"/><Relationship Id="rId308" Type="http://schemas.openxmlformats.org/officeDocument/2006/relationships/hyperlink" Target="mailto:leandro@premierveiculos.com.br" TargetMode="External"/><Relationship Id="rId515" Type="http://schemas.openxmlformats.org/officeDocument/2006/relationships/hyperlink" Target="mailto:carlos.henrique@revemar.com.br" TargetMode="External"/><Relationship Id="rId47" Type="http://schemas.openxmlformats.org/officeDocument/2006/relationships/hyperlink" Target="mailto:agnaldo.brito@primavia.com.br" TargetMode="External"/><Relationship Id="rId89" Type="http://schemas.openxmlformats.org/officeDocument/2006/relationships/hyperlink" Target="mailto:flavia.tavares@eurovia.com.br" TargetMode="External"/><Relationship Id="rId112" Type="http://schemas.openxmlformats.org/officeDocument/2006/relationships/hyperlink" Target="mailto:roberto.faberge@grupofaberge.com.br" TargetMode="External"/><Relationship Id="rId154" Type="http://schemas.openxmlformats.org/officeDocument/2006/relationships/hyperlink" Target="mailto:gervnrab@grupoleauto.com.br" TargetMode="External"/><Relationship Id="rId361" Type="http://schemas.openxmlformats.org/officeDocument/2006/relationships/hyperlink" Target="mailto:ari.junior@grupoville.com.br" TargetMode="External"/><Relationship Id="rId196" Type="http://schemas.openxmlformats.org/officeDocument/2006/relationships/hyperlink" Target="mailto:joao.o@globoveiculos.com.br;" TargetMode="External"/><Relationship Id="rId417" Type="http://schemas.openxmlformats.org/officeDocument/2006/relationships/hyperlink" Target="mailto:renatosaraiva@eurorenault.com.br;" TargetMode="External"/><Relationship Id="rId459" Type="http://schemas.openxmlformats.org/officeDocument/2006/relationships/hyperlink" Target="mailto:alexandre.cancellier@grupoiesa.com.br" TargetMode="External"/><Relationship Id="rId16" Type="http://schemas.openxmlformats.org/officeDocument/2006/relationships/hyperlink" Target="mailto:romildo@pinauto.com.br" TargetMode="External"/><Relationship Id="rId221" Type="http://schemas.openxmlformats.org/officeDocument/2006/relationships/hyperlink" Target="mailto:raphaela.machado@grupourca.com.br" TargetMode="External"/><Relationship Id="rId263" Type="http://schemas.openxmlformats.org/officeDocument/2006/relationships/hyperlink" Target="mailto:qualidade5@grupofaberge.com.br;Jane.mary@grupofaberge.com.br" TargetMode="External"/><Relationship Id="rId319" Type="http://schemas.openxmlformats.org/officeDocument/2006/relationships/hyperlink" Target="mailto:ernani@nissulgala.com;marcelo@nissulgala.com" TargetMode="External"/><Relationship Id="rId470" Type="http://schemas.openxmlformats.org/officeDocument/2006/relationships/hyperlink" Target="mailto:wilson.nakasima@gruposinal.com;robson.vieira@gruposinal.com" TargetMode="External"/><Relationship Id="rId526" Type="http://schemas.openxmlformats.org/officeDocument/2006/relationships/hyperlink" Target="mailto:cristiane.sm@revemar.com.br" TargetMode="External"/><Relationship Id="rId58" Type="http://schemas.openxmlformats.org/officeDocument/2006/relationships/hyperlink" Target="mailto:max.erikson@orvelrenault.com.br" TargetMode="External"/><Relationship Id="rId123" Type="http://schemas.openxmlformats.org/officeDocument/2006/relationships/hyperlink" Target="mailto:magno@valecrenault.com.br;" TargetMode="External"/><Relationship Id="rId330" Type="http://schemas.openxmlformats.org/officeDocument/2006/relationships/hyperlink" Target="mailto:paulo.pinheiro@rpoint.com.br" TargetMode="External"/><Relationship Id="rId165" Type="http://schemas.openxmlformats.org/officeDocument/2006/relationships/hyperlink" Target="mailto:egeraldi@bestpoints.com.br" TargetMode="External"/><Relationship Id="rId372" Type="http://schemas.openxmlformats.org/officeDocument/2006/relationships/hyperlink" Target="mailto:leonardo.silva@formularenault.com.br" TargetMode="External"/><Relationship Id="rId428" Type="http://schemas.openxmlformats.org/officeDocument/2006/relationships/hyperlink" Target="mailto:ericsonmiranda@romagroup.com.br;" TargetMode="External"/><Relationship Id="rId232" Type="http://schemas.openxmlformats.org/officeDocument/2006/relationships/hyperlink" Target="mailto:luziano.grellmann@itaimbe.com.br" TargetMode="External"/><Relationship Id="rId274" Type="http://schemas.openxmlformats.org/officeDocument/2006/relationships/hyperlink" Target="mailto:jonas.fandrade@itavemafrance.com.br;waiter.psantos@itavema.com.br" TargetMode="External"/><Relationship Id="rId481" Type="http://schemas.openxmlformats.org/officeDocument/2006/relationships/hyperlink" Target="mailto:filipe.carvalho@gruposinal.com;marcello.bruno@gruposinal.com" TargetMode="External"/><Relationship Id="rId27" Type="http://schemas.openxmlformats.org/officeDocument/2006/relationships/hyperlink" Target="mailto:carlos.silvano@amazonasfrance.com.br" TargetMode="External"/><Relationship Id="rId69" Type="http://schemas.openxmlformats.org/officeDocument/2006/relationships/hyperlink" Target="mailto:henrique.soares@redencao.com.br" TargetMode="External"/><Relationship Id="rId134" Type="http://schemas.openxmlformats.org/officeDocument/2006/relationships/hyperlink" Target="mailto:axena@viaparisnet.com.br;" TargetMode="External"/><Relationship Id="rId80" Type="http://schemas.openxmlformats.org/officeDocument/2006/relationships/hyperlink" Target="mailto:pedro.leite@grupourca.com.br" TargetMode="External"/><Relationship Id="rId176" Type="http://schemas.openxmlformats.org/officeDocument/2006/relationships/hyperlink" Target="mailto:fernandaalves@romagroup.com.br" TargetMode="External"/><Relationship Id="rId341" Type="http://schemas.openxmlformats.org/officeDocument/2006/relationships/hyperlink" Target="mailto:ericson.silva@grupojorlan.com;" TargetMode="External"/><Relationship Id="rId383" Type="http://schemas.openxmlformats.org/officeDocument/2006/relationships/hyperlink" Target="mailto:gabriela.bbsilva@itavemafrance.com.br;mayara.sgonzaga@itavemafrance.com.br;" TargetMode="External"/><Relationship Id="rId439" Type="http://schemas.openxmlformats.org/officeDocument/2006/relationships/hyperlink" Target="mailto:sigrid.rutzen@drsul.com.br" TargetMode="External"/><Relationship Id="rId201" Type="http://schemas.openxmlformats.org/officeDocument/2006/relationships/hyperlink" Target="mailto:Loreane@grupojcf.com.br" TargetMode="External"/><Relationship Id="rId243" Type="http://schemas.openxmlformats.org/officeDocument/2006/relationships/hyperlink" Target="mailto:marcelo.aquino@adtsa.com.br" TargetMode="External"/><Relationship Id="rId285" Type="http://schemas.openxmlformats.org/officeDocument/2006/relationships/hyperlink" Target="mailto:andrea.monteiro@itavemafrance.com.br" TargetMode="External"/><Relationship Id="rId450" Type="http://schemas.openxmlformats.org/officeDocument/2006/relationships/hyperlink" Target="mailto:guilherme.barbosa@formularenault.com.br;gisele.ocraska@grupobarigui.com.br" TargetMode="External"/><Relationship Id="rId506" Type="http://schemas.openxmlformats.org/officeDocument/2006/relationships/hyperlink" Target="mailto:carolina.martins@guaracampogrande.com.br;emanuelle.silva@guaracampogrande.com.br" TargetMode="External"/><Relationship Id="rId38" Type="http://schemas.openxmlformats.org/officeDocument/2006/relationships/hyperlink" Target="mailto:wilson.costa@drsul.com.br;" TargetMode="External"/><Relationship Id="rId103" Type="http://schemas.openxmlformats.org/officeDocument/2006/relationships/hyperlink" Target="mailto:qualidade@autoplusrenault.com.br;agendamento2@autoplusrenault.com.br" TargetMode="External"/><Relationship Id="rId310" Type="http://schemas.openxmlformats.org/officeDocument/2006/relationships/hyperlink" Target="mailto:jose@nissulgala.com" TargetMode="External"/><Relationship Id="rId492" Type="http://schemas.openxmlformats.org/officeDocument/2006/relationships/hyperlink" Target="mailto:eder.ferreira@proeste.com.br" TargetMode="External"/><Relationship Id="rId91" Type="http://schemas.openxmlformats.org/officeDocument/2006/relationships/hyperlink" Target="mailto:lucianocarvalho@armandoveiculos.com.br" TargetMode="External"/><Relationship Id="rId145" Type="http://schemas.openxmlformats.org/officeDocument/2006/relationships/hyperlink" Target="mailto:gergeral.mercantilbraganca@grupoandreta.com.br" TargetMode="External"/><Relationship Id="rId187" Type="http://schemas.openxmlformats.org/officeDocument/2006/relationships/hyperlink" Target="mailto:pedro.villasboas@originalautos.com.br;" TargetMode="External"/><Relationship Id="rId352" Type="http://schemas.openxmlformats.org/officeDocument/2006/relationships/hyperlink" Target="mailto:leonardo.harte@grupoville.com.br" TargetMode="External"/><Relationship Id="rId394" Type="http://schemas.openxmlformats.org/officeDocument/2006/relationships/hyperlink" Target="mailto:amaral@grupoautoshow.com.br" TargetMode="External"/><Relationship Id="rId408" Type="http://schemas.openxmlformats.org/officeDocument/2006/relationships/hyperlink" Target="mailto:wilson.arrojo@grupotoriba.com.br" TargetMode="External"/><Relationship Id="rId212" Type="http://schemas.openxmlformats.org/officeDocument/2006/relationships/hyperlink" Target="mailto:crm.moc@carmoveiculos.com.br" TargetMode="External"/><Relationship Id="rId254" Type="http://schemas.openxmlformats.org/officeDocument/2006/relationships/hyperlink" Target="mailto:qualidade@grupomazzutti.com.br;" TargetMode="External"/><Relationship Id="rId49" Type="http://schemas.openxmlformats.org/officeDocument/2006/relationships/hyperlink" Target="mailto:aline.pessoa@redencao.com.br" TargetMode="External"/><Relationship Id="rId114" Type="http://schemas.openxmlformats.org/officeDocument/2006/relationships/hyperlink" Target="mailto:qualidade.renault@grupourca.com.br;" TargetMode="External"/><Relationship Id="rId296" Type="http://schemas.openxmlformats.org/officeDocument/2006/relationships/hyperlink" Target="mailto:gergeral.andretalimeira@grupoandreta.com.br" TargetMode="External"/><Relationship Id="rId461" Type="http://schemas.openxmlformats.org/officeDocument/2006/relationships/hyperlink" Target="mailto:brenda.taborda@grupoiesa.com.br" TargetMode="External"/><Relationship Id="rId517" Type="http://schemas.openxmlformats.org/officeDocument/2006/relationships/hyperlink" Target="mailto:carlos.henrique@revemar.com.br" TargetMode="External"/><Relationship Id="rId60" Type="http://schemas.openxmlformats.org/officeDocument/2006/relationships/hyperlink" Target="mailto:max.erikson@orvelrenault.com.br" TargetMode="External"/><Relationship Id="rId156" Type="http://schemas.openxmlformats.org/officeDocument/2006/relationships/hyperlink" Target="mailto:gergeralpv@grupoleauto.com.br;gergeralpc@grupoleauto.com.br" TargetMode="External"/><Relationship Id="rId198" Type="http://schemas.openxmlformats.org/officeDocument/2006/relationships/hyperlink" Target="mailto:bruno.almeida@formularenault.com.br" TargetMode="External"/><Relationship Id="rId321" Type="http://schemas.openxmlformats.org/officeDocument/2006/relationships/hyperlink" Target="mailto:priscila.vargas@nissulgala.com" TargetMode="External"/><Relationship Id="rId363" Type="http://schemas.openxmlformats.org/officeDocument/2006/relationships/hyperlink" Target="mailto:guilherme.barbosa@formularenault.com.br" TargetMode="External"/><Relationship Id="rId419" Type="http://schemas.openxmlformats.org/officeDocument/2006/relationships/hyperlink" Target="mailto:cotech.eurofrc@eurorenault.com.br;bruna.miranda@eurorenault.com.br;" TargetMode="External"/><Relationship Id="rId223" Type="http://schemas.openxmlformats.org/officeDocument/2006/relationships/hyperlink" Target="mailto:michele.christofoletti@santaemilia.com.br;" TargetMode="External"/><Relationship Id="rId430" Type="http://schemas.openxmlformats.org/officeDocument/2006/relationships/hyperlink" Target="mailto:andre.dare@grupoiesa.com.br;" TargetMode="External"/><Relationship Id="rId18" Type="http://schemas.openxmlformats.org/officeDocument/2006/relationships/hyperlink" Target="mailto:flavio@ravelrenault.com.br" TargetMode="External"/><Relationship Id="rId265" Type="http://schemas.openxmlformats.org/officeDocument/2006/relationships/hyperlink" Target="mailto:thiagoanjos@romagroup.com.br" TargetMode="External"/><Relationship Id="rId472" Type="http://schemas.openxmlformats.org/officeDocument/2006/relationships/hyperlink" Target="mailto:sergio.pomelli@gruposinal.com;robson.vieira@gruposinal.com" TargetMode="External"/><Relationship Id="rId528" Type="http://schemas.openxmlformats.org/officeDocument/2006/relationships/hyperlink" Target="mailto:geise.moraes@revemar.com.br;" TargetMode="External"/><Relationship Id="rId125" Type="http://schemas.openxmlformats.org/officeDocument/2006/relationships/hyperlink" Target="mailto:andressa.pussa@valecrenault.com.br" TargetMode="External"/><Relationship Id="rId167" Type="http://schemas.openxmlformats.org/officeDocument/2006/relationships/hyperlink" Target="mailto:gerentegeral@openveiculos.com.br;treinamento@openveiculos.com.br;cotech-too@openveiculos.net.br" TargetMode="External"/><Relationship Id="rId332" Type="http://schemas.openxmlformats.org/officeDocument/2006/relationships/hyperlink" Target="mailto:helio.soares@sonnervig.com.br" TargetMode="External"/><Relationship Id="rId374" Type="http://schemas.openxmlformats.org/officeDocument/2006/relationships/hyperlink" Target="mailto:oseias.constantino@grupobarigui.com.br" TargetMode="External"/><Relationship Id="rId71" Type="http://schemas.openxmlformats.org/officeDocument/2006/relationships/hyperlink" Target="mailto:thyago.santos@autoplusrenault.com.br;marcos.griten@autoplusrenault.com.br" TargetMode="External"/><Relationship Id="rId234" Type="http://schemas.openxmlformats.org/officeDocument/2006/relationships/hyperlink" Target="mailto:fabio.rosa@grupojorlan.com" TargetMode="External"/><Relationship Id="rId2" Type="http://schemas.openxmlformats.org/officeDocument/2006/relationships/hyperlink" Target="mailto:qualidaderenaultpvh@gruposaga.com.br" TargetMode="External"/><Relationship Id="rId29" Type="http://schemas.openxmlformats.org/officeDocument/2006/relationships/hyperlink" Target="mailto:raquel.galdina@amazonasfrance.com.br" TargetMode="External"/><Relationship Id="rId276" Type="http://schemas.openxmlformats.org/officeDocument/2006/relationships/hyperlink" Target="mailto:jonas.fandrade@itavemafrance.com.br;waiter.psantos@itavema.com.br" TargetMode="External"/><Relationship Id="rId441" Type="http://schemas.openxmlformats.org/officeDocument/2006/relationships/hyperlink" Target="mailto:Rodrigo.muller@drsul.com.br" TargetMode="External"/><Relationship Id="rId483" Type="http://schemas.openxmlformats.org/officeDocument/2006/relationships/hyperlink" Target="mailto:armandoperalta@grupoapf.com.br" TargetMode="External"/><Relationship Id="rId40" Type="http://schemas.openxmlformats.org/officeDocument/2006/relationships/hyperlink" Target="mailto:flavia.simphronio@grupoiesa.com.br" TargetMode="External"/><Relationship Id="rId136" Type="http://schemas.openxmlformats.org/officeDocument/2006/relationships/hyperlink" Target="mailto:axena@viaparisnet.com.br;" TargetMode="External"/><Relationship Id="rId178" Type="http://schemas.openxmlformats.org/officeDocument/2006/relationships/hyperlink" Target="mailto:guilherme@luchini.com.br;" TargetMode="External"/><Relationship Id="rId301" Type="http://schemas.openxmlformats.org/officeDocument/2006/relationships/hyperlink" Target="mailto:geroficina.andretamogi@grupoandreta.com.br" TargetMode="External"/><Relationship Id="rId343" Type="http://schemas.openxmlformats.org/officeDocument/2006/relationships/hyperlink" Target="mailto:marcos.andre@grupojorlan.com" TargetMode="External"/><Relationship Id="rId82" Type="http://schemas.openxmlformats.org/officeDocument/2006/relationships/hyperlink" Target="mailto:marcos.delgado@pinauto.com.br" TargetMode="External"/><Relationship Id="rId203" Type="http://schemas.openxmlformats.org/officeDocument/2006/relationships/hyperlink" Target="mailto:igor.vaz@eurovia.com.br;" TargetMode="External"/><Relationship Id="rId385" Type="http://schemas.openxmlformats.org/officeDocument/2006/relationships/hyperlink" Target="mailto:claudia.bertotto@grupoiesa.com.br" TargetMode="External"/><Relationship Id="rId245" Type="http://schemas.openxmlformats.org/officeDocument/2006/relationships/hyperlink" Target="mailto:Liliane.costa@adtsa.com.br" TargetMode="External"/><Relationship Id="rId287" Type="http://schemas.openxmlformats.org/officeDocument/2006/relationships/hyperlink" Target="mailto:diretoria.admfinanceiro@grupoandreta.com.br;" TargetMode="External"/><Relationship Id="rId410" Type="http://schemas.openxmlformats.org/officeDocument/2006/relationships/hyperlink" Target="mailto:leandro.dias@autoplusrenault.com.br;" TargetMode="External"/><Relationship Id="rId452" Type="http://schemas.openxmlformats.org/officeDocument/2006/relationships/hyperlink" Target="mailto:hellen.spaz@gruposaga.com.br" TargetMode="External"/><Relationship Id="rId494" Type="http://schemas.openxmlformats.org/officeDocument/2006/relationships/hyperlink" Target="mailto:mauricio.f@globoveiculos.com.br;alessandro@grupoglobo.com.br;flavio.b@globoveiculos.com.br;cristiano@grupoglobo.com.br" TargetMode="External"/><Relationship Id="rId508" Type="http://schemas.openxmlformats.org/officeDocument/2006/relationships/hyperlink" Target="mailto:larissa.quadro@guararenaultdourados.com.br" TargetMode="External"/><Relationship Id="rId105" Type="http://schemas.openxmlformats.org/officeDocument/2006/relationships/hyperlink" Target="mailto:qualidade@autoplusrenault.com.br;agendamento2@autoplusrenault.com.br" TargetMode="External"/><Relationship Id="rId147" Type="http://schemas.openxmlformats.org/officeDocument/2006/relationships/hyperlink" Target="mailto:Loreane@grupojcf.com.br" TargetMode="External"/><Relationship Id="rId312" Type="http://schemas.openxmlformats.org/officeDocument/2006/relationships/hyperlink" Target="mailto:jose@nissulgala.com" TargetMode="External"/><Relationship Id="rId354" Type="http://schemas.openxmlformats.org/officeDocument/2006/relationships/hyperlink" Target="mailto:leonardo.harte@grupoville.com.br" TargetMode="External"/><Relationship Id="rId51" Type="http://schemas.openxmlformats.org/officeDocument/2006/relationships/hyperlink" Target="mailto:welitonsilva@romagroup.com.br" TargetMode="External"/><Relationship Id="rId93" Type="http://schemas.openxmlformats.org/officeDocument/2006/relationships/hyperlink" Target="mailto:Ana.prm@grupojcf.com.br" TargetMode="External"/><Relationship Id="rId189" Type="http://schemas.openxmlformats.org/officeDocument/2006/relationships/hyperlink" Target="mailto:marco.caetano@grupoautomega.com.br" TargetMode="External"/><Relationship Id="rId396" Type="http://schemas.openxmlformats.org/officeDocument/2006/relationships/hyperlink" Target="mailto:amaral@grupoautoshow.com.br" TargetMode="External"/><Relationship Id="rId214" Type="http://schemas.openxmlformats.org/officeDocument/2006/relationships/hyperlink" Target="mailto:piterpassos@romagroup.com.br" TargetMode="External"/><Relationship Id="rId256" Type="http://schemas.openxmlformats.org/officeDocument/2006/relationships/hyperlink" Target="mailto:juliana.rh@azzurranet.com.br;ana.sac@azzurranet.com.br;eliene.crm@azzurranet.com.br;escvendascg@azzurranet.com.br;esc.renaultcg@azzurranet.com.br;lucas@azzurranet.com.br" TargetMode="External"/><Relationship Id="rId298" Type="http://schemas.openxmlformats.org/officeDocument/2006/relationships/hyperlink" Target="mailto:geroficina.andretaamericana@grupoandreta.com.br" TargetMode="External"/><Relationship Id="rId421" Type="http://schemas.openxmlformats.org/officeDocument/2006/relationships/hyperlink" Target="mailto:melrison.renault@vialestepatos.com.br;" TargetMode="External"/><Relationship Id="rId463" Type="http://schemas.openxmlformats.org/officeDocument/2006/relationships/hyperlink" Target="mailto:jordan.dias@tecar.com.br" TargetMode="External"/><Relationship Id="rId519" Type="http://schemas.openxmlformats.org/officeDocument/2006/relationships/hyperlink" Target="mailto:carlos.henrique@revemar.com.br" TargetMode="External"/><Relationship Id="rId116" Type="http://schemas.openxmlformats.org/officeDocument/2006/relationships/hyperlink" Target="mailto:adriana.cabreira@nissulgala.com" TargetMode="External"/><Relationship Id="rId158" Type="http://schemas.openxmlformats.org/officeDocument/2006/relationships/hyperlink" Target="mailto:gergeralpv@grupoleauto.com.br;gergeralpc@grupoleauto.com.br" TargetMode="External"/><Relationship Id="rId323" Type="http://schemas.openxmlformats.org/officeDocument/2006/relationships/hyperlink" Target="mailto:estevao.crestani@nissulgala.com" TargetMode="External"/><Relationship Id="rId530" Type="http://schemas.openxmlformats.org/officeDocument/2006/relationships/hyperlink" Target="mailto:qualidade.mco.dno2@revemar.com.br" TargetMode="External"/><Relationship Id="rId20" Type="http://schemas.openxmlformats.org/officeDocument/2006/relationships/hyperlink" Target="mailto:crm@ravelrenault.com.br" TargetMode="External"/><Relationship Id="rId62" Type="http://schemas.openxmlformats.org/officeDocument/2006/relationships/hyperlink" Target="mailto:max.erikson@orvelrenault.com.br" TargetMode="External"/><Relationship Id="rId365" Type="http://schemas.openxmlformats.org/officeDocument/2006/relationships/hyperlink" Target="mailto:jovancir.junior@formularenault.com.br" TargetMode="External"/><Relationship Id="rId225" Type="http://schemas.openxmlformats.org/officeDocument/2006/relationships/hyperlink" Target="mailto:alex.eugenio@santaemilia.com.br" TargetMode="External"/><Relationship Id="rId267" Type="http://schemas.openxmlformats.org/officeDocument/2006/relationships/hyperlink" Target="mailto:mvinicius@romagroup.com.br" TargetMode="External"/><Relationship Id="rId432" Type="http://schemas.openxmlformats.org/officeDocument/2006/relationships/hyperlink" Target="mailto:diretor@vialestepatos.com.br;eridan.qf@hotmail.com;" TargetMode="External"/><Relationship Id="rId474" Type="http://schemas.openxmlformats.org/officeDocument/2006/relationships/hyperlink" Target="mailto:rodrigo.braz@gruposinal.com;robson.vieira@gruposinal.com" TargetMode="External"/><Relationship Id="rId127" Type="http://schemas.openxmlformats.org/officeDocument/2006/relationships/hyperlink" Target="mailto:roberta.rubi@grupoitadil.com.br" TargetMode="External"/><Relationship Id="rId31" Type="http://schemas.openxmlformats.org/officeDocument/2006/relationships/hyperlink" Target="mailto:cleusa.rosa@grupoiesa.com.br" TargetMode="External"/><Relationship Id="rId73" Type="http://schemas.openxmlformats.org/officeDocument/2006/relationships/hyperlink" Target="mailto:aline.cqa@azzurranet.com.br" TargetMode="External"/><Relationship Id="rId169" Type="http://schemas.openxmlformats.org/officeDocument/2006/relationships/hyperlink" Target="mailto:marco.lsalinas@itavemafrance.com.br" TargetMode="External"/><Relationship Id="rId334" Type="http://schemas.openxmlformats.org/officeDocument/2006/relationships/hyperlink" Target="mailto:helio.soares@sonnervig.com.br" TargetMode="External"/><Relationship Id="rId376" Type="http://schemas.openxmlformats.org/officeDocument/2006/relationships/hyperlink" Target="mailto:rivaldo.junior@formularenault.com.br" TargetMode="External"/><Relationship Id="rId4" Type="http://schemas.openxmlformats.org/officeDocument/2006/relationships/hyperlink" Target="mailto:eudes.aquino@adtsa.com.br" TargetMode="External"/><Relationship Id="rId180" Type="http://schemas.openxmlformats.org/officeDocument/2006/relationships/hyperlink" Target="mailto:guilherme@luchini.com.br;" TargetMode="External"/><Relationship Id="rId236" Type="http://schemas.openxmlformats.org/officeDocument/2006/relationships/hyperlink" Target="mailto:ana.louzeiro@grupojorlan.com;%20ana.braz@grupojorlan.com" TargetMode="External"/><Relationship Id="rId278" Type="http://schemas.openxmlformats.org/officeDocument/2006/relationships/hyperlink" Target="mailto:sergio.msalves@itavemafrance.com.br" TargetMode="External"/><Relationship Id="rId401" Type="http://schemas.openxmlformats.org/officeDocument/2006/relationships/hyperlink" Target="mailto:wagner@grupoglobo.com.br;fernanda.gomes@globoveiculos.com.br;joao.h@globoveiculos.com.br" TargetMode="External"/><Relationship Id="rId443" Type="http://schemas.openxmlformats.org/officeDocument/2006/relationships/hyperlink" Target="mailto:filipe.guimaraes@drsul.com.br" TargetMode="External"/><Relationship Id="rId303" Type="http://schemas.openxmlformats.org/officeDocument/2006/relationships/hyperlink" Target="mailto:santiago.silva@adtsa.com.br" TargetMode="External"/><Relationship Id="rId485" Type="http://schemas.openxmlformats.org/officeDocument/2006/relationships/hyperlink" Target="mailto:clayton.dias@valecrenault.com.br" TargetMode="External"/><Relationship Id="rId42" Type="http://schemas.openxmlformats.org/officeDocument/2006/relationships/hyperlink" Target="mailto:alex.martins@grupoiesa.com.br" TargetMode="External"/><Relationship Id="rId84" Type="http://schemas.openxmlformats.org/officeDocument/2006/relationships/hyperlink" Target="mailto:vitorleta@grupoleauto.com.br;rodrigoleta@grupoleauto.com.br;gabrielleta@grupoleauto.com.br;rafaelleta@grupoleauto.com.br" TargetMode="External"/><Relationship Id="rId138" Type="http://schemas.openxmlformats.org/officeDocument/2006/relationships/hyperlink" Target="mailto:rvendas2.ara@aravel.com.br" TargetMode="External"/><Relationship Id="rId345" Type="http://schemas.openxmlformats.org/officeDocument/2006/relationships/hyperlink" Target="mailto:ana.louzeiro@grupojorlan.com;%20ana.braz@grupojorlan.com" TargetMode="External"/><Relationship Id="rId387" Type="http://schemas.openxmlformats.org/officeDocument/2006/relationships/hyperlink" Target="mailto:lillian.martins@rpoint.com.br" TargetMode="External"/><Relationship Id="rId510" Type="http://schemas.openxmlformats.org/officeDocument/2006/relationships/hyperlink" Target="mailto:arthur.davila@guaracampogrande.com.br;leandro.onofre@guaracampogrande.com.br" TargetMode="External"/><Relationship Id="rId191" Type="http://schemas.openxmlformats.org/officeDocument/2006/relationships/hyperlink" Target="mailto:guilherme.t@globoveiculos.com.br" TargetMode="External"/><Relationship Id="rId205" Type="http://schemas.openxmlformats.org/officeDocument/2006/relationships/hyperlink" Target="mailto:marcelo.aquino@adtsa.com.br" TargetMode="External"/><Relationship Id="rId247" Type="http://schemas.openxmlformats.org/officeDocument/2006/relationships/hyperlink" Target="mailto:vendas1054@besourorenault.com.br" TargetMode="External"/><Relationship Id="rId412" Type="http://schemas.openxmlformats.org/officeDocument/2006/relationships/hyperlink" Target="mailto:vinicius.vn@azzurranet.com.br" TargetMode="External"/><Relationship Id="rId107" Type="http://schemas.openxmlformats.org/officeDocument/2006/relationships/hyperlink" Target="mailto:laudelino.junior@autoplusrenault.com.br" TargetMode="External"/><Relationship Id="rId289" Type="http://schemas.openxmlformats.org/officeDocument/2006/relationships/hyperlink" Target="mailto:diretoria.admfinanceiro@grupoandreta.com.br;" TargetMode="External"/><Relationship Id="rId454" Type="http://schemas.openxmlformats.org/officeDocument/2006/relationships/hyperlink" Target="mailto:qualidade@autoplusrenault.com.br;agendamento2@autoplusrenault.com.br" TargetMode="External"/><Relationship Id="rId496" Type="http://schemas.openxmlformats.org/officeDocument/2006/relationships/hyperlink" Target="mailto:alessandro@grupoglobo.com.br;flavio.b@globoveiculos.com.br;cristiano@grupoglobo.com.br" TargetMode="External"/><Relationship Id="rId11" Type="http://schemas.openxmlformats.org/officeDocument/2006/relationships/hyperlink" Target="mailto:adriana.cabreira@nissulgala.com" TargetMode="External"/><Relationship Id="rId53" Type="http://schemas.openxmlformats.org/officeDocument/2006/relationships/hyperlink" Target="mailto:marcelo.meireles@grupoautomega.com.br" TargetMode="External"/><Relationship Id="rId149" Type="http://schemas.openxmlformats.org/officeDocument/2006/relationships/hyperlink" Target="mailto:Haidee.mvm@grupojcf.com.br" TargetMode="External"/><Relationship Id="rId314" Type="http://schemas.openxmlformats.org/officeDocument/2006/relationships/hyperlink" Target="mailto:jose@nissulgala.com" TargetMode="External"/><Relationship Id="rId356" Type="http://schemas.openxmlformats.org/officeDocument/2006/relationships/hyperlink" Target="mailto:leonardo.harte@grupoville.com.br" TargetMode="External"/><Relationship Id="rId398" Type="http://schemas.openxmlformats.org/officeDocument/2006/relationships/hyperlink" Target="mailto:amaral@grupoautoshow.com.br" TargetMode="External"/><Relationship Id="rId521" Type="http://schemas.openxmlformats.org/officeDocument/2006/relationships/hyperlink" Target="mailto:carlos.henrique@revemar.com.br" TargetMode="External"/><Relationship Id="rId95" Type="http://schemas.openxmlformats.org/officeDocument/2006/relationships/hyperlink" Target="mailto:thayrine.pereira@gruponasa.com.br;" TargetMode="External"/><Relationship Id="rId160" Type="http://schemas.openxmlformats.org/officeDocument/2006/relationships/hyperlink" Target="mailto:gerofrpe@grupoleauto.com.br" TargetMode="External"/><Relationship Id="rId216" Type="http://schemas.openxmlformats.org/officeDocument/2006/relationships/hyperlink" Target="mailto:mvinicius@romagroup.com.br;marcoteixeira@romagroup.com.br;marcotullio@romagroup.com.br;" TargetMode="External"/><Relationship Id="rId423" Type="http://schemas.openxmlformats.org/officeDocument/2006/relationships/hyperlink" Target="mailto:angela@vialestepatos.com.br;" TargetMode="External"/><Relationship Id="rId258" Type="http://schemas.openxmlformats.org/officeDocument/2006/relationships/hyperlink" Target="mailto:rafaelmoreno.vn@azzurranet.com.br;" TargetMode="External"/><Relationship Id="rId465" Type="http://schemas.openxmlformats.org/officeDocument/2006/relationships/hyperlink" Target="mailto:gilberto.melgarejo@guararenaultdourados.com.Br;" TargetMode="External"/><Relationship Id="rId22" Type="http://schemas.openxmlformats.org/officeDocument/2006/relationships/hyperlink" Target="mailto:jhn@tecar.com.br" TargetMode="External"/><Relationship Id="rId64" Type="http://schemas.openxmlformats.org/officeDocument/2006/relationships/hyperlink" Target="mailto:antonio.rosa@orvelrenault.com.br" TargetMode="External"/><Relationship Id="rId118" Type="http://schemas.openxmlformats.org/officeDocument/2006/relationships/hyperlink" Target="mailto:adriana.cabreira@nissulgala.com" TargetMode="External"/><Relationship Id="rId325" Type="http://schemas.openxmlformats.org/officeDocument/2006/relationships/hyperlink" Target="mailto:bruna.bandeira@nissulgala.com;joelise@nissulgala.com;ana.dias@nissulgala.com;rogerio@nissulgala.com" TargetMode="External"/><Relationship Id="rId367" Type="http://schemas.openxmlformats.org/officeDocument/2006/relationships/hyperlink" Target="mailto:luis.ribeiro@formularenault.com.br" TargetMode="External"/><Relationship Id="rId532" Type="http://schemas.openxmlformats.org/officeDocument/2006/relationships/hyperlink" Target="mailto:samira.freitas@rpoint.com.br" TargetMode="External"/><Relationship Id="rId171" Type="http://schemas.openxmlformats.org/officeDocument/2006/relationships/hyperlink" Target="mailto:luciana.ccredigolo@itavemafrance.com.br" TargetMode="External"/><Relationship Id="rId227" Type="http://schemas.openxmlformats.org/officeDocument/2006/relationships/hyperlink" Target="mailto:agnaldo.sousa@santaemilia.com.br" TargetMode="External"/><Relationship Id="rId269" Type="http://schemas.openxmlformats.org/officeDocument/2006/relationships/hyperlink" Target="mailto:felipefranco@itavema.com.br" TargetMode="External"/><Relationship Id="rId434" Type="http://schemas.openxmlformats.org/officeDocument/2006/relationships/hyperlink" Target="mailto:lellopepe@azzurranet.com.br;pasquale@azzurranet.com.br;hugo@azzurranet.com.br;stefano@azzurranet.com.br" TargetMode="External"/><Relationship Id="rId476" Type="http://schemas.openxmlformats.org/officeDocument/2006/relationships/hyperlink" Target="mailto:giovanna.gasparotto@gruposinal.com;pedro.ferreira@gruposinal.com;guilherme.barbosa@gruposinal.com" TargetMode="External"/><Relationship Id="rId33" Type="http://schemas.openxmlformats.org/officeDocument/2006/relationships/hyperlink" Target="mailto:paulo@aravel.com.br" TargetMode="External"/><Relationship Id="rId129" Type="http://schemas.openxmlformats.org/officeDocument/2006/relationships/hyperlink" Target="mailto:gervnrbf@grupoleauto.com.br" TargetMode="External"/><Relationship Id="rId280" Type="http://schemas.openxmlformats.org/officeDocument/2006/relationships/hyperlink" Target="mailto:anderson.msmidi@itavemafrance.com.br" TargetMode="External"/><Relationship Id="rId336" Type="http://schemas.openxmlformats.org/officeDocument/2006/relationships/hyperlink" Target="mailto:hudson.t@globoveiculos.com.br" TargetMode="External"/><Relationship Id="rId501" Type="http://schemas.openxmlformats.org/officeDocument/2006/relationships/hyperlink" Target="mailto:patricia@grupoautomega.com.br;" TargetMode="External"/><Relationship Id="rId75" Type="http://schemas.openxmlformats.org/officeDocument/2006/relationships/hyperlink" Target="mailto:sandro.of@azzurranet.com.br" TargetMode="External"/><Relationship Id="rId140" Type="http://schemas.openxmlformats.org/officeDocument/2006/relationships/hyperlink" Target="mailto:edson.rodrigues@gruposinal.com;marcello.bruno@gruposinal.com" TargetMode="External"/><Relationship Id="rId182" Type="http://schemas.openxmlformats.org/officeDocument/2006/relationships/hyperlink" Target="mailto:geroficina.mercantilatibaia@grupoandreta.com.br" TargetMode="External"/><Relationship Id="rId378" Type="http://schemas.openxmlformats.org/officeDocument/2006/relationships/hyperlink" Target="mailto:sandy.souza@formularenault.com.br" TargetMode="External"/><Relationship Id="rId403" Type="http://schemas.openxmlformats.org/officeDocument/2006/relationships/hyperlink" Target="mailto:marcio.santos@grupotoriba.com.br;" TargetMode="External"/><Relationship Id="rId6" Type="http://schemas.openxmlformats.org/officeDocument/2006/relationships/hyperlink" Target="mailto:rodrigo@carmais.com.br;adriano.mendonca@carmais.com.br" TargetMode="External"/><Relationship Id="rId238" Type="http://schemas.openxmlformats.org/officeDocument/2006/relationships/hyperlink" Target="mailto:gilberto.neto@adtsa.com.br" TargetMode="External"/><Relationship Id="rId445" Type="http://schemas.openxmlformats.org/officeDocument/2006/relationships/hyperlink" Target="mailto:Denis.bernardo@drsul.com.br" TargetMode="External"/><Relationship Id="rId487" Type="http://schemas.openxmlformats.org/officeDocument/2006/relationships/hyperlink" Target="mailto:cesar.reese@autoplusrenault.com.br" TargetMode="External"/><Relationship Id="rId291" Type="http://schemas.openxmlformats.org/officeDocument/2006/relationships/hyperlink" Target="mailto:diretoria.admfinanceiro@grupoandreta.com.br;" TargetMode="External"/><Relationship Id="rId305" Type="http://schemas.openxmlformats.org/officeDocument/2006/relationships/hyperlink" Target="mailto:dalzineide.silva@adtsa.com.br" TargetMode="External"/><Relationship Id="rId347" Type="http://schemas.openxmlformats.org/officeDocument/2006/relationships/hyperlink" Target="mailto:fabio.ito@grupobarigui.com.br" TargetMode="External"/><Relationship Id="rId512" Type="http://schemas.openxmlformats.org/officeDocument/2006/relationships/hyperlink" Target="mailto:carlos.henrique@revemar.com.br" TargetMode="External"/><Relationship Id="rId44" Type="http://schemas.openxmlformats.org/officeDocument/2006/relationships/hyperlink" Target="mailto:pedro.santos@grupoiesa.com.br" TargetMode="External"/><Relationship Id="rId86" Type="http://schemas.openxmlformats.org/officeDocument/2006/relationships/hyperlink" Target="mailto:mary.nascimento@rpoint.com.br" TargetMode="External"/><Relationship Id="rId151" Type="http://schemas.openxmlformats.org/officeDocument/2006/relationships/hyperlink" Target="mailto:alison.prf@grupojcf.com" TargetMode="External"/><Relationship Id="rId389" Type="http://schemas.openxmlformats.org/officeDocument/2006/relationships/hyperlink" Target="mailto:pedro.dcamargo@rpoint.com.br" TargetMode="External"/><Relationship Id="rId193" Type="http://schemas.openxmlformats.org/officeDocument/2006/relationships/hyperlink" Target="mailto:ivan.amaral@grupojorlan.com" TargetMode="External"/><Relationship Id="rId207" Type="http://schemas.openxmlformats.org/officeDocument/2006/relationships/hyperlink" Target="mailto:liliane.costa@adtsa.com.br" TargetMode="External"/><Relationship Id="rId249" Type="http://schemas.openxmlformats.org/officeDocument/2006/relationships/hyperlink" Target="mailto:posvendaspetropolis@besourorenault.com.br" TargetMode="External"/><Relationship Id="rId414" Type="http://schemas.openxmlformats.org/officeDocument/2006/relationships/hyperlink" Target="mailto:thiago.marques@fancar.com.br" TargetMode="External"/><Relationship Id="rId456" Type="http://schemas.openxmlformats.org/officeDocument/2006/relationships/hyperlink" Target="mailto:marcos.griten@autoplusrenault.com.br" TargetMode="External"/><Relationship Id="rId498" Type="http://schemas.openxmlformats.org/officeDocument/2006/relationships/hyperlink" Target="mailto:juliana.rh@azzurranet.com.br;lucas@azzurranet.com.br;ana.sac@azzurranet.com.br;eliene.crm@azzurranet.com.br" TargetMode="External"/><Relationship Id="rId13" Type="http://schemas.openxmlformats.org/officeDocument/2006/relationships/hyperlink" Target="mailto:marcos.maia@navesa.com.br" TargetMode="External"/><Relationship Id="rId109" Type="http://schemas.openxmlformats.org/officeDocument/2006/relationships/hyperlink" Target="mailto:eglerayner.goncalves@autoplusrenault.com.br" TargetMode="External"/><Relationship Id="rId260" Type="http://schemas.openxmlformats.org/officeDocument/2006/relationships/hyperlink" Target="mailto:geroficina.mercantilcampinas@grupoandreta.com.br" TargetMode="External"/><Relationship Id="rId316" Type="http://schemas.openxmlformats.org/officeDocument/2006/relationships/hyperlink" Target="mailto:ernani@nissulgala.com;marcelo@nissulgala.com" TargetMode="External"/><Relationship Id="rId523" Type="http://schemas.openxmlformats.org/officeDocument/2006/relationships/hyperlink" Target="mailto:carlos.henrique@revemar.com.br" TargetMode="External"/><Relationship Id="rId55" Type="http://schemas.openxmlformats.org/officeDocument/2006/relationships/hyperlink" Target="mailto:lilian.prm@grupojcf.com.br" TargetMode="External"/><Relationship Id="rId97" Type="http://schemas.openxmlformats.org/officeDocument/2006/relationships/hyperlink" Target="mailto:cristiane.costa@drsul.com.br;" TargetMode="External"/><Relationship Id="rId120" Type="http://schemas.openxmlformats.org/officeDocument/2006/relationships/hyperlink" Target="mailto:magno@valecrenault.com.br;" TargetMode="External"/><Relationship Id="rId358" Type="http://schemas.openxmlformats.org/officeDocument/2006/relationships/hyperlink" Target="mailto:joao.ossana@grupoville.com.br" TargetMode="External"/><Relationship Id="rId162" Type="http://schemas.openxmlformats.org/officeDocument/2006/relationships/hyperlink" Target="mailto:alfredoleta@grupoleauto.com.br;marcoleta@grupoleauto.com.br;francescoleta@grupoleauto.com.br" TargetMode="External"/><Relationship Id="rId218" Type="http://schemas.openxmlformats.org/officeDocument/2006/relationships/hyperlink" Target="mailto:neideazevedo@romagroup.com.br" TargetMode="External"/><Relationship Id="rId425" Type="http://schemas.openxmlformats.org/officeDocument/2006/relationships/hyperlink" Target="mailto:lucas.silva@grupoiesa.com.br" TargetMode="External"/><Relationship Id="rId467" Type="http://schemas.openxmlformats.org/officeDocument/2006/relationships/hyperlink" Target="mailto:penna@gruposinal.com;alexandre.tarin@gruposinal.com" TargetMode="External"/><Relationship Id="rId271" Type="http://schemas.openxmlformats.org/officeDocument/2006/relationships/hyperlink" Target="mailto:felipefranco@itavema.com.br" TargetMode="External"/><Relationship Id="rId24" Type="http://schemas.openxmlformats.org/officeDocument/2006/relationships/hyperlink" Target="mailto:marcio.macedo@tecar.com.br;Leo.pascoal@tecar.com.br" TargetMode="External"/><Relationship Id="rId66" Type="http://schemas.openxmlformats.org/officeDocument/2006/relationships/hyperlink" Target="mailto:diegomoura@itaimbe.com.br" TargetMode="External"/><Relationship Id="rId131" Type="http://schemas.openxmlformats.org/officeDocument/2006/relationships/hyperlink" Target="mailto:supvnrpe@grupoleauto.com.br" TargetMode="External"/><Relationship Id="rId327" Type="http://schemas.openxmlformats.org/officeDocument/2006/relationships/hyperlink" Target="mailto:bruna.bandeira@nissulgala.com;joelise@nissulgala.com;ana.dias@nissulgala.com;rogerio@nissulgala.com" TargetMode="External"/><Relationship Id="rId369" Type="http://schemas.openxmlformats.org/officeDocument/2006/relationships/hyperlink" Target="mailto:william.toporoski@formularenault.com.br" TargetMode="External"/><Relationship Id="rId534" Type="http://schemas.openxmlformats.org/officeDocument/2006/relationships/hyperlink" Target="mailto:johnata.rodrigues@rpoint.com.br" TargetMode="External"/><Relationship Id="rId173" Type="http://schemas.openxmlformats.org/officeDocument/2006/relationships/hyperlink" Target="mailto:rodrigojannuzzi@romagroup.com.br" TargetMode="External"/><Relationship Id="rId229" Type="http://schemas.openxmlformats.org/officeDocument/2006/relationships/hyperlink" Target="mailto:ronaldo.freitas@itaimbe.com.br" TargetMode="External"/><Relationship Id="rId380" Type="http://schemas.openxmlformats.org/officeDocument/2006/relationships/hyperlink" Target="mailto:juliana.fonseca@formularenault.com.br" TargetMode="External"/><Relationship Id="rId436" Type="http://schemas.openxmlformats.org/officeDocument/2006/relationships/hyperlink" Target="mailto:Daniel.valente@drsul.com.br" TargetMode="External"/><Relationship Id="rId240" Type="http://schemas.openxmlformats.org/officeDocument/2006/relationships/hyperlink" Target="mailto:gilberto.neto@adtsa.com.br" TargetMode="External"/><Relationship Id="rId478" Type="http://schemas.openxmlformats.org/officeDocument/2006/relationships/hyperlink" Target="mailto:thiago.cardoso@gruposinal.com;marcello.bruno@gruposinal.com" TargetMode="External"/><Relationship Id="rId35" Type="http://schemas.openxmlformats.org/officeDocument/2006/relationships/hyperlink" Target="mailto:diretoria@openveiculos.com.br;gerentegeral@openveiculos.com.br" TargetMode="External"/><Relationship Id="rId77" Type="http://schemas.openxmlformats.org/officeDocument/2006/relationships/hyperlink" Target="mailto:luma.campos@tecar.com.br" TargetMode="External"/><Relationship Id="rId100" Type="http://schemas.openxmlformats.org/officeDocument/2006/relationships/hyperlink" Target="mailto:bethielle.molina@grupoiesa.com.br" TargetMode="External"/><Relationship Id="rId282" Type="http://schemas.openxmlformats.org/officeDocument/2006/relationships/hyperlink" Target="mailto:andrea.monteiro@itavemafrance.com.br" TargetMode="External"/><Relationship Id="rId338" Type="http://schemas.openxmlformats.org/officeDocument/2006/relationships/hyperlink" Target="mailto:luis.fernando@grupojorlan.com" TargetMode="External"/><Relationship Id="rId503" Type="http://schemas.openxmlformats.org/officeDocument/2006/relationships/hyperlink" Target="mailto:pedro.silva@eurorenault.com.br;pablo@ortovel.com.br" TargetMode="External"/><Relationship Id="rId8" Type="http://schemas.openxmlformats.org/officeDocument/2006/relationships/hyperlink" Target="mailto:patricia@grupoautomega.com.br;" TargetMode="External"/><Relationship Id="rId142" Type="http://schemas.openxmlformats.org/officeDocument/2006/relationships/hyperlink" Target="mailto:;gustavo.rodrigues@dinisa.com.br;mteresa@dinisa.com.br" TargetMode="External"/><Relationship Id="rId184" Type="http://schemas.openxmlformats.org/officeDocument/2006/relationships/hyperlink" Target="mailto:bianca.sodre@grupovia1.com.br;Joana.ramos@eurovia.com.br%20;" TargetMode="External"/><Relationship Id="rId391" Type="http://schemas.openxmlformats.org/officeDocument/2006/relationships/hyperlink" Target="mailto:claudenir.souza@rpoint.com.br" TargetMode="External"/><Relationship Id="rId405" Type="http://schemas.openxmlformats.org/officeDocument/2006/relationships/hyperlink" Target="mailto:vanessa.barbosa@grupotoriba.com.br" TargetMode="External"/><Relationship Id="rId447" Type="http://schemas.openxmlformats.org/officeDocument/2006/relationships/hyperlink" Target="mailto:diego@autobelo.com.br;" TargetMode="External"/><Relationship Id="rId251" Type="http://schemas.openxmlformats.org/officeDocument/2006/relationships/hyperlink" Target="mailto:luciano@muchiutt.com.br;" TargetMode="External"/><Relationship Id="rId489" Type="http://schemas.openxmlformats.org/officeDocument/2006/relationships/hyperlink" Target="mailto:lourdes.silva@proeste.com.br" TargetMode="External"/><Relationship Id="rId46" Type="http://schemas.openxmlformats.org/officeDocument/2006/relationships/hyperlink" Target="mailto:anderson.mendonca@dinisa.com.br" TargetMode="External"/><Relationship Id="rId293" Type="http://schemas.openxmlformats.org/officeDocument/2006/relationships/hyperlink" Target="mailto:diretoria.admfinanceiro@grupoandreta.com.br;" TargetMode="External"/><Relationship Id="rId307" Type="http://schemas.openxmlformats.org/officeDocument/2006/relationships/hyperlink" Target="mailto:ana.flexa@adtsa.com.br" TargetMode="External"/><Relationship Id="rId349" Type="http://schemas.openxmlformats.org/officeDocument/2006/relationships/hyperlink" Target="mailto:moacir.bartolomei@grupoville.com.br;andersonpazzini@grupoville.com.br" TargetMode="External"/><Relationship Id="rId514" Type="http://schemas.openxmlformats.org/officeDocument/2006/relationships/hyperlink" Target="mailto:carlos.henrique@revemar.com.br" TargetMode="External"/><Relationship Id="rId88" Type="http://schemas.openxmlformats.org/officeDocument/2006/relationships/hyperlink" Target="mailto:pedro.xavier@eurovia.com.br;" TargetMode="External"/><Relationship Id="rId111" Type="http://schemas.openxmlformats.org/officeDocument/2006/relationships/hyperlink" Target="mailto:edemar.nunes@grupofaberge.com.br" TargetMode="External"/><Relationship Id="rId153" Type="http://schemas.openxmlformats.org/officeDocument/2006/relationships/hyperlink" Target="mailto:alfredoleta@grupoleauto.com.br;marcoleta@grupoleauto.com.br;francescoleta@grupoleauto.com.br;" TargetMode="External"/><Relationship Id="rId195" Type="http://schemas.openxmlformats.org/officeDocument/2006/relationships/hyperlink" Target="mailto:luciano.b@globoveiculos.com.br;" TargetMode="External"/><Relationship Id="rId209" Type="http://schemas.openxmlformats.org/officeDocument/2006/relationships/hyperlink" Target="mailto:leide.nunes@adtsa.com.br" TargetMode="External"/><Relationship Id="rId360" Type="http://schemas.openxmlformats.org/officeDocument/2006/relationships/hyperlink" Target="mailto:jefferson.silva@grupoville.com.br" TargetMode="External"/><Relationship Id="rId416" Type="http://schemas.openxmlformats.org/officeDocument/2006/relationships/hyperlink" Target="mailto:gabriela.bbsilva@itavemafrance.com.br;mayara.sgonzaga@itavemafrance.com.br;" TargetMode="External"/><Relationship Id="rId220" Type="http://schemas.openxmlformats.org/officeDocument/2006/relationships/hyperlink" Target="mailto:guilherme.silva@grupourca.com.br" TargetMode="External"/><Relationship Id="rId458" Type="http://schemas.openxmlformats.org/officeDocument/2006/relationships/hyperlink" Target="mailto:jessica.alves@autoplusrenault.com.br;marcos.griten@autoplusrenault.com.br" TargetMode="External"/><Relationship Id="rId15" Type="http://schemas.openxmlformats.org/officeDocument/2006/relationships/hyperlink" Target="mailto:brenopinheiro@pinauto.com.br" TargetMode="External"/><Relationship Id="rId57" Type="http://schemas.openxmlformats.org/officeDocument/2006/relationships/hyperlink" Target="mailto:andre.bessi@orvelrenault.com.br" TargetMode="External"/><Relationship Id="rId262" Type="http://schemas.openxmlformats.org/officeDocument/2006/relationships/hyperlink" Target="mailto:lais.murray@grupofaberge.com.br;" TargetMode="External"/><Relationship Id="rId318" Type="http://schemas.openxmlformats.org/officeDocument/2006/relationships/hyperlink" Target="mailto:ernani@nissulgala.com;marcelo@nissulgala.com" TargetMode="External"/><Relationship Id="rId525" Type="http://schemas.openxmlformats.org/officeDocument/2006/relationships/hyperlink" Target="mailto:cristiane.sm@revemar.com.br" TargetMode="External"/><Relationship Id="rId99" Type="http://schemas.openxmlformats.org/officeDocument/2006/relationships/hyperlink" Target="mailto:bethielle.molina@grupoiesa.com.br" TargetMode="External"/><Relationship Id="rId122" Type="http://schemas.openxmlformats.org/officeDocument/2006/relationships/hyperlink" Target="mailto:magno@valecrenault.com.br;" TargetMode="External"/><Relationship Id="rId164" Type="http://schemas.openxmlformats.org/officeDocument/2006/relationships/hyperlink" Target="mailto:gergeralpv@grupoleauto.com.br;gergeralpc@grupoleauto.com.br" TargetMode="External"/><Relationship Id="rId371" Type="http://schemas.openxmlformats.org/officeDocument/2006/relationships/hyperlink" Target="mailto:gesse.cunha@formularenault.com.br" TargetMode="External"/><Relationship Id="rId427" Type="http://schemas.openxmlformats.org/officeDocument/2006/relationships/hyperlink" Target="mailto:luis.canales@formularenault.com.br" TargetMode="External"/><Relationship Id="rId469" Type="http://schemas.openxmlformats.org/officeDocument/2006/relationships/hyperlink" Target="mailto:alvaro.alves@gruposinal.com;robson.vieira@gruposinal.com" TargetMode="External"/><Relationship Id="rId26" Type="http://schemas.openxmlformats.org/officeDocument/2006/relationships/hyperlink" Target="mailto:rene.silva@grupoamazonas.com.br" TargetMode="External"/><Relationship Id="rId231" Type="http://schemas.openxmlformats.org/officeDocument/2006/relationships/hyperlink" Target="mailto:isidoro.leon@itaimbe.com.br" TargetMode="External"/><Relationship Id="rId273" Type="http://schemas.openxmlformats.org/officeDocument/2006/relationships/hyperlink" Target="mailto:jonas.fandrade@itavemafrance.com.br;waiter.psantos@itavema.com.br" TargetMode="External"/><Relationship Id="rId329" Type="http://schemas.openxmlformats.org/officeDocument/2006/relationships/hyperlink" Target="mailto:bruno.jannuzzi@rpoint.com.br" TargetMode="External"/><Relationship Id="rId480" Type="http://schemas.openxmlformats.org/officeDocument/2006/relationships/hyperlink" Target="mailto:carlos.rey@gruposinal.com;marcello.bruno@gruposinal.com" TargetMode="External"/><Relationship Id="rId68" Type="http://schemas.openxmlformats.org/officeDocument/2006/relationships/hyperlink" Target="mailto:adm.tatui@velmax.com.br" TargetMode="External"/><Relationship Id="rId133" Type="http://schemas.openxmlformats.org/officeDocument/2006/relationships/hyperlink" Target="mailto:diegomoura@itaimbe.com.br" TargetMode="External"/><Relationship Id="rId175" Type="http://schemas.openxmlformats.org/officeDocument/2006/relationships/hyperlink" Target="mailto:welitonsilva@romagroup.com.br" TargetMode="External"/><Relationship Id="rId340" Type="http://schemas.openxmlformats.org/officeDocument/2006/relationships/hyperlink" Target="mailto:ericson.silva@grupojorlan.com;" TargetMode="External"/><Relationship Id="rId200" Type="http://schemas.openxmlformats.org/officeDocument/2006/relationships/hyperlink" Target="mailto:Loreane@grupojcf.com.br" TargetMode="External"/><Relationship Id="rId382" Type="http://schemas.openxmlformats.org/officeDocument/2006/relationships/hyperlink" Target="mailto:marcello.bruno@gruposinal.com;alexandre.tarin@gruposinal.com" TargetMode="External"/><Relationship Id="rId438" Type="http://schemas.openxmlformats.org/officeDocument/2006/relationships/hyperlink" Target="mailto:Eber.vier@drsulveiculos.com.br" TargetMode="External"/><Relationship Id="rId242" Type="http://schemas.openxmlformats.org/officeDocument/2006/relationships/hyperlink" Target="mailto:marcelo.aquino@adtsa.com.br" TargetMode="External"/><Relationship Id="rId284" Type="http://schemas.openxmlformats.org/officeDocument/2006/relationships/hyperlink" Target="mailto:andrea.monteiro@itavemafrance.com.br" TargetMode="External"/><Relationship Id="rId491" Type="http://schemas.openxmlformats.org/officeDocument/2006/relationships/hyperlink" Target="mailto:felipe.rodrigues@proeste.com.br" TargetMode="External"/><Relationship Id="rId505" Type="http://schemas.openxmlformats.org/officeDocument/2006/relationships/hyperlink" Target="mailto:supervisor.eurofr@eurorenault.com.br;pablo@ortovel.com.br" TargetMode="External"/><Relationship Id="rId37" Type="http://schemas.openxmlformats.org/officeDocument/2006/relationships/hyperlink" Target="mailto:diretoria@openveiculos.com.br;gerentegeral@openveiculos.com.br" TargetMode="External"/><Relationship Id="rId79" Type="http://schemas.openxmlformats.org/officeDocument/2006/relationships/hyperlink" Target="mailto:pedro.leite@grupourca.com.brpatricia.ferreira@grupourca.com.br" TargetMode="External"/><Relationship Id="rId102" Type="http://schemas.openxmlformats.org/officeDocument/2006/relationships/hyperlink" Target="mailto:qualidade@autoplusrenault.com.br;agendamento2@autoplusrenault.com.br" TargetMode="External"/><Relationship Id="rId144" Type="http://schemas.openxmlformats.org/officeDocument/2006/relationships/hyperlink" Target="mailto:gergeral.mercantilatibaia@grupoandreta.com.br" TargetMode="External"/><Relationship Id="rId90" Type="http://schemas.openxmlformats.org/officeDocument/2006/relationships/hyperlink" Target="mailto:lucianocarvalho@armandoveiculos.com.br" TargetMode="External"/><Relationship Id="rId186" Type="http://schemas.openxmlformats.org/officeDocument/2006/relationships/hyperlink" Target="mailto:maria.darleni@originalautos.com.br;" TargetMode="External"/><Relationship Id="rId351" Type="http://schemas.openxmlformats.org/officeDocument/2006/relationships/hyperlink" Target="mailto:moacir.bartolomei@grupoville.com.br;andersonpazzini@grupoville.com.br" TargetMode="External"/><Relationship Id="rId393" Type="http://schemas.openxmlformats.org/officeDocument/2006/relationships/hyperlink" Target="mailto:joao.mjunior@originalautos.com.br" TargetMode="External"/><Relationship Id="rId407" Type="http://schemas.openxmlformats.org/officeDocument/2006/relationships/hyperlink" Target="mailto:wilson.arrojo@grupotoriba.com.br" TargetMode="External"/><Relationship Id="rId449" Type="http://schemas.openxmlformats.org/officeDocument/2006/relationships/hyperlink" Target="mailto:leonaldo.zanelatto@grupoville.com.br;Leonardo.harte@grupoville.com.br;" TargetMode="External"/><Relationship Id="rId211" Type="http://schemas.openxmlformats.org/officeDocument/2006/relationships/hyperlink" Target="mailto:posvendas@carmoveiculos.com.br" TargetMode="External"/><Relationship Id="rId253" Type="http://schemas.openxmlformats.org/officeDocument/2006/relationships/hyperlink" Target="mailto:qualidade@grupomazzutti.com.br;" TargetMode="External"/><Relationship Id="rId295" Type="http://schemas.openxmlformats.org/officeDocument/2006/relationships/hyperlink" Target="mailto:gergeral.mercantilcampinas@grupoandreta.com.br" TargetMode="External"/><Relationship Id="rId309" Type="http://schemas.openxmlformats.org/officeDocument/2006/relationships/hyperlink" Target="mailto:marcos.milanez@grupopremierveiculos.com.br" TargetMode="External"/><Relationship Id="rId460" Type="http://schemas.openxmlformats.org/officeDocument/2006/relationships/hyperlink" Target="mailto:ana.amaral@grupoiesa.com.br" TargetMode="External"/><Relationship Id="rId516" Type="http://schemas.openxmlformats.org/officeDocument/2006/relationships/hyperlink" Target="mailto:carlos.henrique@revemar.com.br" TargetMode="External"/><Relationship Id="rId48" Type="http://schemas.openxmlformats.org/officeDocument/2006/relationships/hyperlink" Target="mailto:aline.pessoa@redencao.com.br" TargetMode="External"/><Relationship Id="rId113" Type="http://schemas.openxmlformats.org/officeDocument/2006/relationships/hyperlink" Target="mailto:dea.pena@carmais.com.br" TargetMode="External"/><Relationship Id="rId320" Type="http://schemas.openxmlformats.org/officeDocument/2006/relationships/hyperlink" Target="mailto:priscila.vargas@nissulgala.com" TargetMode="External"/><Relationship Id="rId155" Type="http://schemas.openxmlformats.org/officeDocument/2006/relationships/hyperlink" Target="mailto:supofrab@grupoleauto.com.br" TargetMode="External"/><Relationship Id="rId197" Type="http://schemas.openxmlformats.org/officeDocument/2006/relationships/hyperlink" Target="mailto:carlos.junior@primavia.com.br;" TargetMode="External"/><Relationship Id="rId362" Type="http://schemas.openxmlformats.org/officeDocument/2006/relationships/hyperlink" Target="mailto:carlos.cerqueira@grupoville.com.br" TargetMode="External"/><Relationship Id="rId418" Type="http://schemas.openxmlformats.org/officeDocument/2006/relationships/hyperlink" Target="mailto:supervisor.eurofr@eurorenault.com.br;assistente.vendasdiretas@eurorenault.com.br;eder.nardin@eurorenault.com.br" TargetMode="External"/><Relationship Id="rId222" Type="http://schemas.openxmlformats.org/officeDocument/2006/relationships/hyperlink" Target="mailto:michele.christofoletti@santaemilia.com.br;" TargetMode="External"/><Relationship Id="rId264" Type="http://schemas.openxmlformats.org/officeDocument/2006/relationships/hyperlink" Target="mailto:cidnilson.sanchez@renaultfaberge.com.br" TargetMode="External"/><Relationship Id="rId471" Type="http://schemas.openxmlformats.org/officeDocument/2006/relationships/hyperlink" Target="mailto:cristhian.santos@gruposinal.com;robson.vieira@gruposinal.com" TargetMode="External"/><Relationship Id="rId17" Type="http://schemas.openxmlformats.org/officeDocument/2006/relationships/hyperlink" Target="mailto:rodrigo@ravelrenault.com.br" TargetMode="External"/><Relationship Id="rId59" Type="http://schemas.openxmlformats.org/officeDocument/2006/relationships/hyperlink" Target="mailto:sabrina.borges@orvelrenault.com.br" TargetMode="External"/><Relationship Id="rId124" Type="http://schemas.openxmlformats.org/officeDocument/2006/relationships/hyperlink" Target="mailto:magno@valecrenault.com.br;" TargetMode="External"/><Relationship Id="rId527" Type="http://schemas.openxmlformats.org/officeDocument/2006/relationships/hyperlink" Target="mailto:reymar.sena@revemar.com.br" TargetMode="External"/><Relationship Id="rId70" Type="http://schemas.openxmlformats.org/officeDocument/2006/relationships/hyperlink" Target="mailto:edson.junior@grupoiesa.com.br" TargetMode="External"/><Relationship Id="rId166" Type="http://schemas.openxmlformats.org/officeDocument/2006/relationships/hyperlink" Target="mailto:gerentegeral@openveiculos.com.br;treinamento@openveiculos.com.br;cotech1@openveiculos.net.br" TargetMode="External"/><Relationship Id="rId331" Type="http://schemas.openxmlformats.org/officeDocument/2006/relationships/hyperlink" Target="mailto:helio.soares@sonnervig.com.br" TargetMode="External"/><Relationship Id="rId373" Type="http://schemas.openxmlformats.org/officeDocument/2006/relationships/hyperlink" Target="mailto:william.toporoski@formularenault.com.br" TargetMode="External"/><Relationship Id="rId429" Type="http://schemas.openxmlformats.org/officeDocument/2006/relationships/hyperlink" Target="mailto:cristianoalmeida@romagroup.com.br;" TargetMode="External"/><Relationship Id="rId1" Type="http://schemas.openxmlformats.org/officeDocument/2006/relationships/hyperlink" Target="mailto:felipe.santos-extern@renault.com" TargetMode="External"/><Relationship Id="rId233" Type="http://schemas.openxmlformats.org/officeDocument/2006/relationships/hyperlink" Target="mailto:luziano.grellmann@itaimbe.com.br" TargetMode="External"/><Relationship Id="rId440" Type="http://schemas.openxmlformats.org/officeDocument/2006/relationships/hyperlink" Target="mailto:Sigrid.rutzen@drsul.com.br" TargetMode="External"/><Relationship Id="rId28" Type="http://schemas.openxmlformats.org/officeDocument/2006/relationships/hyperlink" Target="mailto:roberlei.junior@amazonasfrance.com.br" TargetMode="External"/><Relationship Id="rId275" Type="http://schemas.openxmlformats.org/officeDocument/2006/relationships/hyperlink" Target="mailto:jonas.fandrade@itavemafrance.com.br;waiter.psantos@itavema.com.br" TargetMode="External"/><Relationship Id="rId300" Type="http://schemas.openxmlformats.org/officeDocument/2006/relationships/hyperlink" Target="mailto:geroficina.andretalimeira@grupoandreta.com.br" TargetMode="External"/><Relationship Id="rId482" Type="http://schemas.openxmlformats.org/officeDocument/2006/relationships/hyperlink" Target="mailto:mailson.oliveira@gruposinal.com;marcello.bruno@gruposinal.com" TargetMode="External"/><Relationship Id="rId81" Type="http://schemas.openxmlformats.org/officeDocument/2006/relationships/hyperlink" Target="mailto:assistente.vendasdiretas@eurorenault.com.br;benigno.junior@eurorenault.com.br" TargetMode="External"/><Relationship Id="rId135" Type="http://schemas.openxmlformats.org/officeDocument/2006/relationships/hyperlink" Target="mailto:axena@viaparisnet.com.br;" TargetMode="External"/><Relationship Id="rId177" Type="http://schemas.openxmlformats.org/officeDocument/2006/relationships/hyperlink" Target="mailto:rodrigo.rocha@primavia.com.br" TargetMode="External"/><Relationship Id="rId342" Type="http://schemas.openxmlformats.org/officeDocument/2006/relationships/hyperlink" Target="mailto:ericson.silva@grupojorlan.com;" TargetMode="External"/><Relationship Id="rId384" Type="http://schemas.openxmlformats.org/officeDocument/2006/relationships/hyperlink" Target="mailto:andre.dare@grupoiesa.com.br" TargetMode="External"/><Relationship Id="rId202" Type="http://schemas.openxmlformats.org/officeDocument/2006/relationships/hyperlink" Target="mailto:jackeline.araujo@grupopremierveiculos.com.br" TargetMode="External"/><Relationship Id="rId244" Type="http://schemas.openxmlformats.org/officeDocument/2006/relationships/hyperlink" Target="mailto:marcelo.aquino@adtsa.com.br" TargetMode="External"/><Relationship Id="rId39" Type="http://schemas.openxmlformats.org/officeDocument/2006/relationships/hyperlink" Target="mailto:saymon.avila@grupoiesa.com.br" TargetMode="External"/><Relationship Id="rId286" Type="http://schemas.openxmlformats.org/officeDocument/2006/relationships/hyperlink" Target="mailto:diretoria.admfinanceiro@grupoandreta.com.br;" TargetMode="External"/><Relationship Id="rId451" Type="http://schemas.openxmlformats.org/officeDocument/2006/relationships/hyperlink" Target="mailto:gerson.sjunior@gruposaga.com.br;jeovanne.aprado@gruposaga.com.br" TargetMode="External"/><Relationship Id="rId493" Type="http://schemas.openxmlformats.org/officeDocument/2006/relationships/hyperlink" Target="mailto:eric.coelho@mcgestao.com.br" TargetMode="External"/><Relationship Id="rId507" Type="http://schemas.openxmlformats.org/officeDocument/2006/relationships/hyperlink" Target="mailto:carolina.martins@guaracampogrande.com.br;emanuelle.silva@guaracampogrande.com.br" TargetMode="External"/><Relationship Id="rId50" Type="http://schemas.openxmlformats.org/officeDocument/2006/relationships/hyperlink" Target="mailto:henrique.soares@redencao.com.br" TargetMode="External"/><Relationship Id="rId104" Type="http://schemas.openxmlformats.org/officeDocument/2006/relationships/hyperlink" Target="mailto:qualidade@autoplusrenault.com.br;agendamento2@autoplusrenault.com.br" TargetMode="External"/><Relationship Id="rId146" Type="http://schemas.openxmlformats.org/officeDocument/2006/relationships/hyperlink" Target="mailto:geroficina.mercantilandreta@grupoandreta.com.br" TargetMode="External"/><Relationship Id="rId188" Type="http://schemas.openxmlformats.org/officeDocument/2006/relationships/hyperlink" Target="mailto:hamilton.goia@grupoautomega.com.br" TargetMode="External"/><Relationship Id="rId311" Type="http://schemas.openxmlformats.org/officeDocument/2006/relationships/hyperlink" Target="mailto:jose@nissulgala.com" TargetMode="External"/><Relationship Id="rId353" Type="http://schemas.openxmlformats.org/officeDocument/2006/relationships/hyperlink" Target="mailto:leonardo.harte@grupoville.com.br" TargetMode="External"/><Relationship Id="rId395" Type="http://schemas.openxmlformats.org/officeDocument/2006/relationships/hyperlink" Target="mailto:amaral@grupoautoshow.com.br" TargetMode="External"/><Relationship Id="rId409" Type="http://schemas.openxmlformats.org/officeDocument/2006/relationships/hyperlink" Target="mailto:marcos.matias@autoplusrenault.com.br;marcos.griten@autoplusrenault.com.br" TargetMode="External"/><Relationship Id="rId92" Type="http://schemas.openxmlformats.org/officeDocument/2006/relationships/hyperlink" Target="mailto:assistenteuba@renaultdijon.com.br" TargetMode="External"/><Relationship Id="rId213" Type="http://schemas.openxmlformats.org/officeDocument/2006/relationships/hyperlink" Target="mailto:crm@carmoveiculos.com.br;" TargetMode="External"/><Relationship Id="rId420" Type="http://schemas.openxmlformats.org/officeDocument/2006/relationships/hyperlink" Target="mailto:amanda.souza@eurorenault.com.br;" TargetMode="External"/><Relationship Id="rId255" Type="http://schemas.openxmlformats.org/officeDocument/2006/relationships/hyperlink" Target="mailto:aline.cqa@azzurranet.com.br;sabrina.cqa@azzurranet.com.br;vitoria.cqa@azzurranet.com.br;jessica.cqa@azzurranet.com.br" TargetMode="External"/><Relationship Id="rId297" Type="http://schemas.openxmlformats.org/officeDocument/2006/relationships/hyperlink" Target="mailto:gergeral.andretamogi@grupoandreta.com.br" TargetMode="External"/><Relationship Id="rId462" Type="http://schemas.openxmlformats.org/officeDocument/2006/relationships/hyperlink" Target="mailto:brenda.castro@grupoiesa.com.br;mailto:monica.lessa@grupoiesa.com.br" TargetMode="External"/><Relationship Id="rId518" Type="http://schemas.openxmlformats.org/officeDocument/2006/relationships/hyperlink" Target="mailto:carlos.henrique@revemar.com.br" TargetMode="External"/><Relationship Id="rId115" Type="http://schemas.openxmlformats.org/officeDocument/2006/relationships/hyperlink" Target="mailto:angelicagarcez@gruporollemberg.com" TargetMode="External"/><Relationship Id="rId157" Type="http://schemas.openxmlformats.org/officeDocument/2006/relationships/hyperlink" Target="mailto:alfredoleta@grupoleauto.com.br;marcoleta@grupoleauto.com.br;francescoleta@grupoleauto.com.br" TargetMode="External"/><Relationship Id="rId322" Type="http://schemas.openxmlformats.org/officeDocument/2006/relationships/hyperlink" Target="mailto:priscila.vargas@nissulgala.com" TargetMode="External"/><Relationship Id="rId364" Type="http://schemas.openxmlformats.org/officeDocument/2006/relationships/hyperlink" Target="mailto:marlize.fogaca@formularenault.com.br" TargetMode="External"/><Relationship Id="rId61" Type="http://schemas.openxmlformats.org/officeDocument/2006/relationships/hyperlink" Target="mailto:hudson.junior@orvelrenault.com.br" TargetMode="External"/><Relationship Id="rId199" Type="http://schemas.openxmlformats.org/officeDocument/2006/relationships/hyperlink" Target="mailto:Loreane@grupojcf.com.br" TargetMode="External"/><Relationship Id="rId19" Type="http://schemas.openxmlformats.org/officeDocument/2006/relationships/hyperlink" Target="mailto:flavio@ravelrenault.com.br" TargetMode="External"/><Relationship Id="rId224" Type="http://schemas.openxmlformats.org/officeDocument/2006/relationships/hyperlink" Target="mailto:michele.christofoletti@santaemilia.com.br;" TargetMode="External"/><Relationship Id="rId266" Type="http://schemas.openxmlformats.org/officeDocument/2006/relationships/hyperlink" Target="mailto:mvinicius@romagroup.com.br" TargetMode="External"/><Relationship Id="rId431" Type="http://schemas.openxmlformats.org/officeDocument/2006/relationships/hyperlink" Target="mailto:jean@jubiabaeuro.com.br" TargetMode="External"/><Relationship Id="rId473" Type="http://schemas.openxmlformats.org/officeDocument/2006/relationships/hyperlink" Target="mailto:thiago.marcondes@gruposinal.com;robson.vieira@gruposinal.com" TargetMode="External"/><Relationship Id="rId529" Type="http://schemas.openxmlformats.org/officeDocument/2006/relationships/hyperlink" Target="mailto:ednaldo.candido@revemar.com.br" TargetMode="External"/><Relationship Id="rId30" Type="http://schemas.openxmlformats.org/officeDocument/2006/relationships/hyperlink" Target="mailto:cleusa.rosa@grupoiesa.com.br" TargetMode="External"/><Relationship Id="rId126" Type="http://schemas.openxmlformats.org/officeDocument/2006/relationships/hyperlink" Target="mailto:lane.araujo@mcgestao.com.br" TargetMode="External"/><Relationship Id="rId168" Type="http://schemas.openxmlformats.org/officeDocument/2006/relationships/hyperlink" Target="mailto:juliana.clemente@dinisa.com.br;" TargetMode="External"/><Relationship Id="rId333" Type="http://schemas.openxmlformats.org/officeDocument/2006/relationships/hyperlink" Target="mailto:helio.soares@sonnervig.com.br" TargetMode="External"/><Relationship Id="rId72" Type="http://schemas.openxmlformats.org/officeDocument/2006/relationships/hyperlink" Target="mailto:aline.cqa@azzurranet.com.br;sabrina.cqa@azzurranet.com.br;vitoria.cqa@azzurranet.com.br;jessica.cqa@azzurranet.com.br" TargetMode="External"/><Relationship Id="rId375" Type="http://schemas.openxmlformats.org/officeDocument/2006/relationships/hyperlink" Target="mailto:rivaldo.junior@formularenault.com.br" TargetMode="External"/><Relationship Id="rId3" Type="http://schemas.openxmlformats.org/officeDocument/2006/relationships/hyperlink" Target="mailto:rosiane.msilva@gruposaga.com.br;" TargetMode="External"/><Relationship Id="rId235" Type="http://schemas.openxmlformats.org/officeDocument/2006/relationships/hyperlink" Target="mailto:marcos.medeiros@brfrance.com.br" TargetMode="External"/><Relationship Id="rId277" Type="http://schemas.openxmlformats.org/officeDocument/2006/relationships/hyperlink" Target="mailto:marcos.rmorais@itavemafrance.com.br" TargetMode="External"/><Relationship Id="rId400" Type="http://schemas.openxmlformats.org/officeDocument/2006/relationships/hyperlink" Target="mailto:hugo.costa@tecar.com.br" TargetMode="External"/><Relationship Id="rId442" Type="http://schemas.openxmlformats.org/officeDocument/2006/relationships/hyperlink" Target="mailto:Eduardo.sousa@drsul.com.br" TargetMode="External"/><Relationship Id="rId484" Type="http://schemas.openxmlformats.org/officeDocument/2006/relationships/hyperlink" Target="mailto:meri.machado@grupoautomega.com.br" TargetMode="External"/><Relationship Id="rId137" Type="http://schemas.openxmlformats.org/officeDocument/2006/relationships/hyperlink" Target="mailto:wilsonjr1500@hotmail.com;" TargetMode="External"/><Relationship Id="rId302" Type="http://schemas.openxmlformats.org/officeDocument/2006/relationships/hyperlink" Target="mailto:Liliane.costa@adtsa.com.br" TargetMode="External"/><Relationship Id="rId344" Type="http://schemas.openxmlformats.org/officeDocument/2006/relationships/hyperlink" Target="mailto:ana.louzeiro@grupojorlan.com;%20ana.braz@grupojorlan.com" TargetMode="External"/><Relationship Id="rId41" Type="http://schemas.openxmlformats.org/officeDocument/2006/relationships/hyperlink" Target="mailto:edson.junior@grupoiesa.com.br" TargetMode="External"/><Relationship Id="rId83" Type="http://schemas.openxmlformats.org/officeDocument/2006/relationships/hyperlink" Target="mailto:vitorleta@grupoleauto.com.br;rodrigoleta@grupoleauto.com.br;gabrielleta@grupoleauto.com.br;rafaelleta@grupoleauto.com.br" TargetMode="External"/><Relationship Id="rId179" Type="http://schemas.openxmlformats.org/officeDocument/2006/relationships/hyperlink" Target="mailto:guilherme@luchini.com.br;" TargetMode="External"/><Relationship Id="rId386" Type="http://schemas.openxmlformats.org/officeDocument/2006/relationships/hyperlink" Target="mailto:lillian.martins@rpoint.com.br" TargetMode="External"/><Relationship Id="rId190" Type="http://schemas.openxmlformats.org/officeDocument/2006/relationships/hyperlink" Target="mailto:marcio.coelho@drsul.com.br" TargetMode="External"/><Relationship Id="rId204" Type="http://schemas.openxmlformats.org/officeDocument/2006/relationships/hyperlink" Target="mailto:lane.araujo@mcgestao.com.br;" TargetMode="External"/><Relationship Id="rId246" Type="http://schemas.openxmlformats.org/officeDocument/2006/relationships/hyperlink" Target="mailto:marcio.lima@globoveiculos.com.br" TargetMode="External"/><Relationship Id="rId288" Type="http://schemas.openxmlformats.org/officeDocument/2006/relationships/hyperlink" Target="mailto:diretoria.admfinanceiro@grupoandreta.com.br;" TargetMode="External"/><Relationship Id="rId411" Type="http://schemas.openxmlformats.org/officeDocument/2006/relationships/hyperlink" Target="mailto:joao.kelczeski@autoplusrenault.com.br" TargetMode="External"/><Relationship Id="rId453" Type="http://schemas.openxmlformats.org/officeDocument/2006/relationships/hyperlink" Target="mailto:daiane.padilha@grupoglobo.com.br;priscila.duma@globoveiculos.com.br" TargetMode="External"/><Relationship Id="rId509" Type="http://schemas.openxmlformats.org/officeDocument/2006/relationships/hyperlink" Target="mailto:carolina.martins@guaracampogrande.com.br;emanuelle.silva@guaracampogrande.com.br" TargetMode="External"/><Relationship Id="rId106" Type="http://schemas.openxmlformats.org/officeDocument/2006/relationships/hyperlink" Target="mailto:qualidade@autoplusrenault.com.br;agendamento2@autoplusrenault.com.br" TargetMode="External"/><Relationship Id="rId313" Type="http://schemas.openxmlformats.org/officeDocument/2006/relationships/hyperlink" Target="mailto:jose@nissulgala.com" TargetMode="External"/><Relationship Id="rId495" Type="http://schemas.openxmlformats.org/officeDocument/2006/relationships/hyperlink" Target="mailto:alessandro@grupoglobo.com.br;flavio.b@globoveiculos.com.br;cristiano@grupoglobo.com.br" TargetMode="External"/><Relationship Id="rId10" Type="http://schemas.openxmlformats.org/officeDocument/2006/relationships/hyperlink" Target="mailto:rhude.hermes@guaracampogrande.com.br" TargetMode="External"/><Relationship Id="rId52" Type="http://schemas.openxmlformats.org/officeDocument/2006/relationships/hyperlink" Target="mailto:fernandaalves@romagroup.com.br" TargetMode="External"/><Relationship Id="rId94" Type="http://schemas.openxmlformats.org/officeDocument/2006/relationships/hyperlink" Target="mailto:celio.junior@gruponasa.com.br;" TargetMode="External"/><Relationship Id="rId148" Type="http://schemas.openxmlformats.org/officeDocument/2006/relationships/hyperlink" Target="mailto:Ana.prm@grupojcf.com.br" TargetMode="External"/><Relationship Id="rId355" Type="http://schemas.openxmlformats.org/officeDocument/2006/relationships/hyperlink" Target="mailto:leonardo.harte@grupoville.com.br" TargetMode="External"/><Relationship Id="rId397" Type="http://schemas.openxmlformats.org/officeDocument/2006/relationships/hyperlink" Target="mailto:amaral@grupoautoshow.com.br" TargetMode="External"/><Relationship Id="rId520" Type="http://schemas.openxmlformats.org/officeDocument/2006/relationships/hyperlink" Target="mailto:carlos.henrique@revemar.com.br" TargetMode="External"/><Relationship Id="rId215" Type="http://schemas.openxmlformats.org/officeDocument/2006/relationships/hyperlink" Target="mailto:paulopereira@romagroup.com.br" TargetMode="External"/><Relationship Id="rId257" Type="http://schemas.openxmlformats.org/officeDocument/2006/relationships/hyperlink" Target="mailto:gerenterenaultcg.of@azzurranet.com.br" TargetMode="External"/><Relationship Id="rId422" Type="http://schemas.openxmlformats.org/officeDocument/2006/relationships/hyperlink" Target="mailto:renildo@vialestepatos.com.br;" TargetMode="External"/><Relationship Id="rId464" Type="http://schemas.openxmlformats.org/officeDocument/2006/relationships/hyperlink" Target="mailto:leandro.onofre@guaracampogrande.com.br;arthur.davila@guaracampogrande.com.br" TargetMode="External"/><Relationship Id="rId299" Type="http://schemas.openxmlformats.org/officeDocument/2006/relationships/hyperlink" Target="mailto:geroficina.mercantilbraganca@grupoandreta.com.br" TargetMode="External"/><Relationship Id="rId63" Type="http://schemas.openxmlformats.org/officeDocument/2006/relationships/hyperlink" Target="mailto:francisco.junior@orvelrenault.com.br" TargetMode="External"/><Relationship Id="rId159" Type="http://schemas.openxmlformats.org/officeDocument/2006/relationships/hyperlink" Target="mailto:alfredoleta@grupoleauto.com.br;marcoleta@grupoleauto.com.br;francescoleta@grupoleauto.com.br;" TargetMode="External"/><Relationship Id="rId366" Type="http://schemas.openxmlformats.org/officeDocument/2006/relationships/hyperlink" Target="mailto:eduardo.macedo@formularenault.com.br" TargetMode="External"/><Relationship Id="rId226" Type="http://schemas.openxmlformats.org/officeDocument/2006/relationships/hyperlink" Target="mailto:lucas.costa@santaemilia.com.br" TargetMode="External"/><Relationship Id="rId433" Type="http://schemas.openxmlformats.org/officeDocument/2006/relationships/hyperlink" Target="mailto:tayna@vialestepatos.com.br;victor.renault@vialestepatos.com.br;josimar@vialestepatos.com.br;gustavo@vialestepatos.com.br;val.santos@vialestepatos.com.br" TargetMode="External"/><Relationship Id="rId74" Type="http://schemas.openxmlformats.org/officeDocument/2006/relationships/hyperlink" Target="mailto:bruno.vn@azzurranet.com.br" TargetMode="External"/><Relationship Id="rId377" Type="http://schemas.openxmlformats.org/officeDocument/2006/relationships/hyperlink" Target="mailto:guilherme.barbosa@formularenault.com.br" TargetMode="External"/><Relationship Id="rId500" Type="http://schemas.openxmlformats.org/officeDocument/2006/relationships/hyperlink" Target="mailto:juliana.rh@azzurranet.com.br;ana.sac@azzurranet.com.br;eliene.crm@azzurranet.com.br;lucas@azzurranet.com.br" TargetMode="External"/><Relationship Id="rId5" Type="http://schemas.openxmlformats.org/officeDocument/2006/relationships/hyperlink" Target="mailto:gergeral.mercantilandreta@grupoandreta.com.br" TargetMode="External"/><Relationship Id="rId237" Type="http://schemas.openxmlformats.org/officeDocument/2006/relationships/hyperlink" Target="mailto:gilberto.neto@adtsa.com.b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eduardo.e.nogueira@renault.com" TargetMode="External"/><Relationship Id="rId13" Type="http://schemas.openxmlformats.org/officeDocument/2006/relationships/hyperlink" Target="mailto:henrique.nascimento@renault.com" TargetMode="External"/><Relationship Id="rId18" Type="http://schemas.openxmlformats.org/officeDocument/2006/relationships/hyperlink" Target="mailto:suzana.muller@renault.com" TargetMode="External"/><Relationship Id="rId3" Type="http://schemas.openxmlformats.org/officeDocument/2006/relationships/hyperlink" Target="mailto:mariana.fonseca@renault.com" TargetMode="External"/><Relationship Id="rId21" Type="http://schemas.openxmlformats.org/officeDocument/2006/relationships/comments" Target="../comments1.xml"/><Relationship Id="rId7" Type="http://schemas.openxmlformats.org/officeDocument/2006/relationships/hyperlink" Target="mailto:alexander.serrano@renault.com" TargetMode="External"/><Relationship Id="rId12" Type="http://schemas.openxmlformats.org/officeDocument/2006/relationships/hyperlink" Target="mailto:carolina.c.almeida@renault.com" TargetMode="External"/><Relationship Id="rId17" Type="http://schemas.openxmlformats.org/officeDocument/2006/relationships/hyperlink" Target="mailto:gisele.pinto@renault.com;" TargetMode="External"/><Relationship Id="rId2" Type="http://schemas.openxmlformats.org/officeDocument/2006/relationships/hyperlink" Target="mailto:hebert.lourenco@renault.com" TargetMode="External"/><Relationship Id="rId16" Type="http://schemas.openxmlformats.org/officeDocument/2006/relationships/hyperlink" Target="mailto:thiago.braga@renault.com;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mailto:karine.k.dinardi@renault.com" TargetMode="External"/><Relationship Id="rId6" Type="http://schemas.openxmlformats.org/officeDocument/2006/relationships/hyperlink" Target="mailto:renata.r.andrade@renault.com" TargetMode="External"/><Relationship Id="rId11" Type="http://schemas.openxmlformats.org/officeDocument/2006/relationships/hyperlink" Target="mailto:amanda.aguiar@renault.com" TargetMode="External"/><Relationship Id="rId5" Type="http://schemas.openxmlformats.org/officeDocument/2006/relationships/hyperlink" Target="mailto:carlos.utrabo@renault.com" TargetMode="External"/><Relationship Id="rId15" Type="http://schemas.openxmlformats.org/officeDocument/2006/relationships/hyperlink" Target="mailto:henrique.nascimento@renault.com" TargetMode="External"/><Relationship Id="rId10" Type="http://schemas.openxmlformats.org/officeDocument/2006/relationships/hyperlink" Target="mailto:alexander.serrano@renault.com" TargetMode="External"/><Relationship Id="rId19" Type="http://schemas.openxmlformats.org/officeDocument/2006/relationships/hyperlink" Target="mailto:eduardo.e.nogueira@renault.com" TargetMode="External"/><Relationship Id="rId4" Type="http://schemas.openxmlformats.org/officeDocument/2006/relationships/hyperlink" Target="mailto:leonardo.l.candido@renault.com" TargetMode="External"/><Relationship Id="rId9" Type="http://schemas.openxmlformats.org/officeDocument/2006/relationships/hyperlink" Target="mailto:eduardo.e.nogueira@renault.com" TargetMode="External"/><Relationship Id="rId14" Type="http://schemas.openxmlformats.org/officeDocument/2006/relationships/hyperlink" Target="mailto:aline.albino@renault.com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danyke.livramento@renault.com" TargetMode="External"/><Relationship Id="rId21" Type="http://schemas.openxmlformats.org/officeDocument/2006/relationships/hyperlink" Target="mailto:andre.r.ferreira@renault.com" TargetMode="External"/><Relationship Id="rId42" Type="http://schemas.openxmlformats.org/officeDocument/2006/relationships/hyperlink" Target="mailto:leonardo.l.candido@renault.com" TargetMode="External"/><Relationship Id="rId47" Type="http://schemas.openxmlformats.org/officeDocument/2006/relationships/hyperlink" Target="mailto:michele.nojima@renault.com" TargetMode="External"/><Relationship Id="rId63" Type="http://schemas.openxmlformats.org/officeDocument/2006/relationships/hyperlink" Target="mailto:carolina.santos@renault.com" TargetMode="External"/><Relationship Id="rId68" Type="http://schemas.openxmlformats.org/officeDocument/2006/relationships/comments" Target="../comments2.xml"/><Relationship Id="rId7" Type="http://schemas.openxmlformats.org/officeDocument/2006/relationships/hyperlink" Target="mailto:aline.albino@renault.com" TargetMode="External"/><Relationship Id="rId2" Type="http://schemas.openxmlformats.org/officeDocument/2006/relationships/hyperlink" Target="mailto:carolina.santos@renault.com" TargetMode="External"/><Relationship Id="rId16" Type="http://schemas.openxmlformats.org/officeDocument/2006/relationships/hyperlink" Target="mailto:carolina.santos@renault.com" TargetMode="External"/><Relationship Id="rId29" Type="http://schemas.openxmlformats.org/officeDocument/2006/relationships/hyperlink" Target="mailto:danyke.livramento@renault.com" TargetMode="External"/><Relationship Id="rId11" Type="http://schemas.openxmlformats.org/officeDocument/2006/relationships/hyperlink" Target="mailto:aline.albino@renault.com" TargetMode="External"/><Relationship Id="rId24" Type="http://schemas.openxmlformats.org/officeDocument/2006/relationships/hyperlink" Target="mailto:andre.r.ferreira@renault.com" TargetMode="External"/><Relationship Id="rId32" Type="http://schemas.openxmlformats.org/officeDocument/2006/relationships/hyperlink" Target="mailto:heloisa.landiose-extern@renault.com" TargetMode="External"/><Relationship Id="rId37" Type="http://schemas.openxmlformats.org/officeDocument/2006/relationships/hyperlink" Target="mailto:heloisa.landiose-extern@renault.com" TargetMode="External"/><Relationship Id="rId40" Type="http://schemas.openxmlformats.org/officeDocument/2006/relationships/hyperlink" Target="mailto:heloisa.landiose-extern@renault.com" TargetMode="External"/><Relationship Id="rId45" Type="http://schemas.openxmlformats.org/officeDocument/2006/relationships/hyperlink" Target="mailto:leonardo.l.candido@renault.com" TargetMode="External"/><Relationship Id="rId53" Type="http://schemas.openxmlformats.org/officeDocument/2006/relationships/hyperlink" Target="mailto:rafael.anselmo-extern@renault.com" TargetMode="External"/><Relationship Id="rId58" Type="http://schemas.openxmlformats.org/officeDocument/2006/relationships/hyperlink" Target="mailto:rafael.anselmo-extern@renault.com" TargetMode="External"/><Relationship Id="rId66" Type="http://schemas.openxmlformats.org/officeDocument/2006/relationships/drawing" Target="../drawings/drawing1.xml"/><Relationship Id="rId5" Type="http://schemas.openxmlformats.org/officeDocument/2006/relationships/hyperlink" Target="mailto:aline.albino@renault.com" TargetMode="External"/><Relationship Id="rId61" Type="http://schemas.openxmlformats.org/officeDocument/2006/relationships/hyperlink" Target="mailto:rafael.anselmo-extern@renault.com" TargetMode="External"/><Relationship Id="rId19" Type="http://schemas.openxmlformats.org/officeDocument/2006/relationships/hyperlink" Target="mailto:andre.r.ferreira@renault.com" TargetMode="External"/><Relationship Id="rId14" Type="http://schemas.openxmlformats.org/officeDocument/2006/relationships/hyperlink" Target="mailto:carolina.santos@renault.com" TargetMode="External"/><Relationship Id="rId22" Type="http://schemas.openxmlformats.org/officeDocument/2006/relationships/hyperlink" Target="mailto:andre.r.ferreira@renault.com" TargetMode="External"/><Relationship Id="rId27" Type="http://schemas.openxmlformats.org/officeDocument/2006/relationships/hyperlink" Target="mailto:danyke.livramento@renault.com" TargetMode="External"/><Relationship Id="rId30" Type="http://schemas.openxmlformats.org/officeDocument/2006/relationships/hyperlink" Target="mailto:danyke.livramento@renault.com" TargetMode="External"/><Relationship Id="rId35" Type="http://schemas.openxmlformats.org/officeDocument/2006/relationships/hyperlink" Target="mailto:heloisa.landiose-extern@renault.com" TargetMode="External"/><Relationship Id="rId43" Type="http://schemas.openxmlformats.org/officeDocument/2006/relationships/hyperlink" Target="mailto:leonardo.l.candido@renault.com" TargetMode="External"/><Relationship Id="rId48" Type="http://schemas.openxmlformats.org/officeDocument/2006/relationships/hyperlink" Target="mailto:michele.nojima@renault.com" TargetMode="External"/><Relationship Id="rId56" Type="http://schemas.openxmlformats.org/officeDocument/2006/relationships/hyperlink" Target="mailto:rafael.anselmo-extern@renault.com" TargetMode="External"/><Relationship Id="rId64" Type="http://schemas.openxmlformats.org/officeDocument/2006/relationships/hyperlink" Target="mailto:carolina.santos@renault.com" TargetMode="External"/><Relationship Id="rId69" Type="http://schemas.microsoft.com/office/2017/10/relationships/threadedComment" Target="../threadedComments/threadedComment1.xml"/><Relationship Id="rId8" Type="http://schemas.openxmlformats.org/officeDocument/2006/relationships/hyperlink" Target="mailto:aline.albino@renault.com" TargetMode="External"/><Relationship Id="rId51" Type="http://schemas.openxmlformats.org/officeDocument/2006/relationships/hyperlink" Target="mailto:michele.nojima@renault.com" TargetMode="External"/><Relationship Id="rId3" Type="http://schemas.openxmlformats.org/officeDocument/2006/relationships/hyperlink" Target="mailto:carolina.santos@renault.com" TargetMode="External"/><Relationship Id="rId12" Type="http://schemas.openxmlformats.org/officeDocument/2006/relationships/hyperlink" Target="mailto:carolina.santos@renault.com" TargetMode="External"/><Relationship Id="rId17" Type="http://schemas.openxmlformats.org/officeDocument/2006/relationships/hyperlink" Target="mailto:carolina.santos@renault.com" TargetMode="External"/><Relationship Id="rId25" Type="http://schemas.openxmlformats.org/officeDocument/2006/relationships/hyperlink" Target="mailto:andre.r.ferreira@renault.com" TargetMode="External"/><Relationship Id="rId33" Type="http://schemas.openxmlformats.org/officeDocument/2006/relationships/hyperlink" Target="mailto:heloisa.landiose-extern@renault.com" TargetMode="External"/><Relationship Id="rId38" Type="http://schemas.openxmlformats.org/officeDocument/2006/relationships/hyperlink" Target="mailto:heloisa.landiose-extern@renault.com" TargetMode="External"/><Relationship Id="rId46" Type="http://schemas.openxmlformats.org/officeDocument/2006/relationships/hyperlink" Target="mailto:leonardo.l.candido@renault.com" TargetMode="External"/><Relationship Id="rId59" Type="http://schemas.openxmlformats.org/officeDocument/2006/relationships/hyperlink" Target="mailto:rafael.anselmo-extern@renault.com" TargetMode="External"/><Relationship Id="rId67" Type="http://schemas.openxmlformats.org/officeDocument/2006/relationships/vmlDrawing" Target="../drawings/vmlDrawing2.vml"/><Relationship Id="rId20" Type="http://schemas.openxmlformats.org/officeDocument/2006/relationships/hyperlink" Target="mailto:andre.r.ferreira@renault.com" TargetMode="External"/><Relationship Id="rId41" Type="http://schemas.openxmlformats.org/officeDocument/2006/relationships/hyperlink" Target="mailto:heloisa.landiose-extern@renault.com" TargetMode="External"/><Relationship Id="rId54" Type="http://schemas.openxmlformats.org/officeDocument/2006/relationships/hyperlink" Target="mailto:rafael.anselmo-extern@renault.com" TargetMode="External"/><Relationship Id="rId62" Type="http://schemas.openxmlformats.org/officeDocument/2006/relationships/hyperlink" Target="mailto:rafael.anselmo-extern@renault.com" TargetMode="External"/><Relationship Id="rId1" Type="http://schemas.openxmlformats.org/officeDocument/2006/relationships/hyperlink" Target="mailto:andre.r.ferreira@renault.com" TargetMode="External"/><Relationship Id="rId6" Type="http://schemas.openxmlformats.org/officeDocument/2006/relationships/hyperlink" Target="mailto:aline.albino@renault.com" TargetMode="External"/><Relationship Id="rId15" Type="http://schemas.openxmlformats.org/officeDocument/2006/relationships/hyperlink" Target="mailto:carolina.santos@renault.com" TargetMode="External"/><Relationship Id="rId23" Type="http://schemas.openxmlformats.org/officeDocument/2006/relationships/hyperlink" Target="mailto:andre.r.ferreira@renault.com" TargetMode="External"/><Relationship Id="rId28" Type="http://schemas.openxmlformats.org/officeDocument/2006/relationships/hyperlink" Target="mailto:danyke.livramento@renault.com" TargetMode="External"/><Relationship Id="rId36" Type="http://schemas.openxmlformats.org/officeDocument/2006/relationships/hyperlink" Target="mailto:heloisa.landiose-extern@renault.com" TargetMode="External"/><Relationship Id="rId49" Type="http://schemas.openxmlformats.org/officeDocument/2006/relationships/hyperlink" Target="mailto:michele.nojima@renault.com" TargetMode="External"/><Relationship Id="rId57" Type="http://schemas.openxmlformats.org/officeDocument/2006/relationships/hyperlink" Target="mailto:rafael.anselmo-extern@renault.com" TargetMode="External"/><Relationship Id="rId10" Type="http://schemas.openxmlformats.org/officeDocument/2006/relationships/hyperlink" Target="mailto:aline.albino@renault.com" TargetMode="External"/><Relationship Id="rId31" Type="http://schemas.openxmlformats.org/officeDocument/2006/relationships/hyperlink" Target="mailto:danyke.livramento@renault.com" TargetMode="External"/><Relationship Id="rId44" Type="http://schemas.openxmlformats.org/officeDocument/2006/relationships/hyperlink" Target="mailto:leonardo.l.candido@renault.com" TargetMode="External"/><Relationship Id="rId52" Type="http://schemas.openxmlformats.org/officeDocument/2006/relationships/hyperlink" Target="mailto:michele.nojima@renault.com" TargetMode="External"/><Relationship Id="rId60" Type="http://schemas.openxmlformats.org/officeDocument/2006/relationships/hyperlink" Target="mailto:rafael.anselmo-extern@renault.com" TargetMode="External"/><Relationship Id="rId65" Type="http://schemas.openxmlformats.org/officeDocument/2006/relationships/printerSettings" Target="../printerSettings/printerSettings4.bin"/><Relationship Id="rId4" Type="http://schemas.openxmlformats.org/officeDocument/2006/relationships/hyperlink" Target="mailto:rafael.anselmo-extern@renault.com" TargetMode="External"/><Relationship Id="rId9" Type="http://schemas.openxmlformats.org/officeDocument/2006/relationships/hyperlink" Target="mailto:aline.albino@renault.com" TargetMode="External"/><Relationship Id="rId13" Type="http://schemas.openxmlformats.org/officeDocument/2006/relationships/hyperlink" Target="mailto:carolina.santos@renault.com" TargetMode="External"/><Relationship Id="rId18" Type="http://schemas.openxmlformats.org/officeDocument/2006/relationships/hyperlink" Target="mailto:andre.r.ferreira@renault.com" TargetMode="External"/><Relationship Id="rId39" Type="http://schemas.openxmlformats.org/officeDocument/2006/relationships/hyperlink" Target="mailto:heloisa.landiose-extern@renault.com" TargetMode="External"/><Relationship Id="rId34" Type="http://schemas.openxmlformats.org/officeDocument/2006/relationships/hyperlink" Target="mailto:heloisa.landiose-extern@renault.com" TargetMode="External"/><Relationship Id="rId50" Type="http://schemas.openxmlformats.org/officeDocument/2006/relationships/hyperlink" Target="mailto:michele.nojima@renault.com" TargetMode="External"/><Relationship Id="rId55" Type="http://schemas.openxmlformats.org/officeDocument/2006/relationships/hyperlink" Target="mailto:rafael.anselmo-extern@renault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56768-5B84-447F-82CC-629D2B12A413}">
  <sheetPr codeName="Plan11"/>
  <dimension ref="A1:L263"/>
  <sheetViews>
    <sheetView showGridLines="0" topLeftCell="B1" zoomScale="70" zoomScaleNormal="70" workbookViewId="0">
      <pane xSplit="2" topLeftCell="D1" activePane="topRight" state="frozen"/>
      <selection pane="topRight" activeCell="F190" sqref="F190"/>
      <selection activeCell="F37" sqref="F37"/>
    </sheetView>
  </sheetViews>
  <sheetFormatPr defaultRowHeight="14.45"/>
  <cols>
    <col min="1" max="1" width="10" bestFit="1" customWidth="1"/>
    <col min="2" max="2" width="14.42578125" style="2" customWidth="1"/>
    <col min="3" max="3" width="42.5703125" customWidth="1"/>
    <col min="4" max="4" width="9.5703125" style="3" bestFit="1" customWidth="1"/>
    <col min="5" max="5" width="7.5703125" style="3" customWidth="1"/>
    <col min="6" max="6" width="58.5703125" style="4" customWidth="1"/>
    <col min="7" max="7" width="29.5703125" style="4" customWidth="1"/>
    <col min="8" max="8" width="43.5703125" style="4" bestFit="1" customWidth="1"/>
    <col min="9" max="9" width="52.5703125" style="4" bestFit="1" customWidth="1"/>
    <col min="10" max="11" width="51.42578125" style="4" bestFit="1" customWidth="1"/>
    <col min="12" max="12" width="123.42578125" customWidth="1"/>
  </cols>
  <sheetData>
    <row r="1" spans="1:12" ht="15.6">
      <c r="A1" s="1" t="s">
        <v>0</v>
      </c>
      <c r="F1" s="5"/>
      <c r="G1" s="5"/>
    </row>
    <row r="2" spans="1:12" ht="18.600000000000001">
      <c r="A2" s="6"/>
      <c r="B2" s="7"/>
      <c r="C2" s="2"/>
      <c r="F2" s="374" t="s">
        <v>1</v>
      </c>
      <c r="G2" s="374"/>
      <c r="H2" s="374"/>
      <c r="I2" s="374"/>
      <c r="J2" s="374"/>
      <c r="K2" s="375"/>
      <c r="L2" s="8" t="s">
        <v>2</v>
      </c>
    </row>
    <row r="3" spans="1:12" ht="18.600000000000001">
      <c r="A3" s="6"/>
      <c r="B3" s="9" t="s">
        <v>3</v>
      </c>
      <c r="C3" s="10" t="s">
        <v>4</v>
      </c>
      <c r="D3" s="11" t="s">
        <v>5</v>
      </c>
      <c r="E3" s="11" t="s">
        <v>6</v>
      </c>
      <c r="F3" s="13" t="s">
        <v>7</v>
      </c>
      <c r="G3" s="13" t="s">
        <v>8</v>
      </c>
      <c r="H3" s="12" t="s">
        <v>9</v>
      </c>
      <c r="I3" s="14" t="s">
        <v>10</v>
      </c>
      <c r="J3" s="14" t="s">
        <v>11</v>
      </c>
      <c r="K3" s="14" t="s">
        <v>12</v>
      </c>
      <c r="L3" s="15"/>
    </row>
    <row r="4" spans="1:12">
      <c r="A4" s="6"/>
      <c r="B4" s="2">
        <v>7600913</v>
      </c>
      <c r="C4" s="4" t="s">
        <v>13</v>
      </c>
      <c r="D4" s="3">
        <v>1</v>
      </c>
      <c r="E4" s="3">
        <v>1</v>
      </c>
      <c r="F4" s="17" t="s">
        <v>14</v>
      </c>
      <c r="G4" s="4" t="s">
        <v>15</v>
      </c>
      <c r="H4" s="16" t="s">
        <v>16</v>
      </c>
      <c r="I4" s="16" t="s">
        <v>17</v>
      </c>
      <c r="J4" s="16" t="s">
        <v>18</v>
      </c>
      <c r="K4" s="17" t="s">
        <v>19</v>
      </c>
      <c r="L4" s="18" t="str">
        <f>F4&amp;";"&amp;G4&amp;";"&amp;H4&amp;";"&amp;I4&amp;";"&amp;J4&amp;";"&amp;K4</f>
        <v>alessandro@grupoglobo.com.br; flavio.b@globoveiculos.com.br; wagner@grupoglobo.com.br;mario@grupoglobo.com.br; alessandro@grupoglobo.com.br; gabriel@grupoglobo.com.br; mariojunior@grupoglobo.com.br;; pedro.pereira@globoveiculos.com.br; wagner.p@globoveiculos.com.br; joao.h@globoveiculos.com.br ;maicon.ristal@globoveiculos.com.br; gerenteposvendasgf4@globoford.com.br;lucimara.b@globoveiculos.com.br; cristiani.souza@globoveiculos.com.br; agatha.oliveira@grupoglobo.com.br;mauricio.fernandes@globoveiculos.com.br; garantiajoinville@globoveiculos.com.br; garantiajoinville@globoveiculos.com.br; emily.pereira@globoveiculos.com.br</v>
      </c>
    </row>
    <row r="5" spans="1:12">
      <c r="A5" s="6"/>
      <c r="B5" s="2">
        <v>7600358</v>
      </c>
      <c r="C5" s="4" t="s">
        <v>20</v>
      </c>
      <c r="D5" s="3">
        <v>1</v>
      </c>
      <c r="E5" s="3">
        <v>1</v>
      </c>
      <c r="F5" s="4" t="s">
        <v>21</v>
      </c>
      <c r="G5" s="4" t="s">
        <v>15</v>
      </c>
      <c r="H5" s="16" t="s">
        <v>22</v>
      </c>
      <c r="I5" s="16" t="s">
        <v>23</v>
      </c>
      <c r="J5" s="16" t="s">
        <v>24</v>
      </c>
      <c r="K5" s="17" t="s">
        <v>25</v>
      </c>
      <c r="L5" s="18" t="str">
        <f t="shared" ref="L5:L68" si="0">F5&amp;";"&amp;G5&amp;";"&amp;H5&amp;";"&amp;I5&amp;";"&amp;J5&amp;";"&amp;K5</f>
        <v>alessandro@grupoglobo.com.br;  luiz.rezende@grupoglobo.com.br;;mario@grupoglobo.com.br; alessandro@grupoglobo.com.br; gabriel@grupoglobo.com.br; mariojunior@grupoglobo.com.br;;sherlon.b@globoveiculos.com.br;juliano.a@globoveiculos.com.br;lucimara.b@globoveiculos.com.br; agatha.oliveira@grupoglobo.com.br;luciano.b@globoveiculos.com.br; agatha.oliveira@grupoglobo.com.br</v>
      </c>
    </row>
    <row r="6" spans="1:12">
      <c r="A6" s="6"/>
      <c r="B6" s="2">
        <v>7600361</v>
      </c>
      <c r="C6" s="4" t="s">
        <v>26</v>
      </c>
      <c r="D6" s="3">
        <v>1</v>
      </c>
      <c r="E6" s="3">
        <v>1</v>
      </c>
      <c r="F6" s="4" t="s">
        <v>27</v>
      </c>
      <c r="G6" s="4" t="s">
        <v>15</v>
      </c>
      <c r="H6" s="16" t="s">
        <v>28</v>
      </c>
      <c r="I6" s="16" t="s">
        <v>29</v>
      </c>
      <c r="J6" s="16" t="s">
        <v>24</v>
      </c>
      <c r="K6" s="17" t="s">
        <v>30</v>
      </c>
      <c r="L6" s="18" t="str">
        <f t="shared" si="0"/>
        <v>giba@globoveiculos.com.br;alessandro@grupoglobo.com.br; luiz.rezende@grupoglobo.com.br;mario@grupoglobo.com.br; alessandro@grupoglobo.com.br; gabriel@grupoglobo.com.br; mariojunior@grupoglobo.com.br;;diego.antunes@globoveiculos.com.br;giba@globoveiculos.com.br;lucimara.b@globoveiculos.com.br; agatha.oliveira@grupoglobo.com.br;joao.o@globoveiculos.com.br; agatha.oliveira@grupoglobo.com.br</v>
      </c>
    </row>
    <row r="7" spans="1:12">
      <c r="A7" s="6"/>
      <c r="B7" s="2">
        <v>7600100</v>
      </c>
      <c r="C7" t="s">
        <v>31</v>
      </c>
      <c r="D7" s="3">
        <v>1</v>
      </c>
      <c r="E7" s="3">
        <v>1</v>
      </c>
      <c r="F7" s="17" t="s">
        <v>32</v>
      </c>
      <c r="G7" s="4" t="s">
        <v>15</v>
      </c>
      <c r="H7" s="16" t="s">
        <v>33</v>
      </c>
      <c r="I7" s="16"/>
      <c r="J7" s="16" t="s">
        <v>34</v>
      </c>
      <c r="K7" s="17" t="s">
        <v>35</v>
      </c>
      <c r="L7" s="18" t="str">
        <f t="shared" si="0"/>
        <v>alessandro@grupoglobo.com.br;flavio.b@globoveiculos.com.br;mario@grupoglobo.com.br; alessandro@grupoglobo.com.br; gabriel@grupoglobo.com.br; mariojunior@grupoglobo.com.br;;ronaldo.leao@globoveiculos.com.br; wagner@grupoglobo.com.br;;lucimara.b@globoveiculos.com.br; priscila.duma@globoveiculos.com.br; agatha.oliveira@grupoglobo.com.br;; Cristiano.luz@globoveiculos.com.br</v>
      </c>
    </row>
    <row r="8" spans="1:12">
      <c r="A8" s="6"/>
      <c r="B8" s="2">
        <v>7601214</v>
      </c>
      <c r="C8" t="s">
        <v>36</v>
      </c>
      <c r="D8" s="3">
        <v>1</v>
      </c>
      <c r="E8" s="3">
        <v>1</v>
      </c>
      <c r="F8" s="17" t="s">
        <v>14</v>
      </c>
      <c r="G8" s="4" t="s">
        <v>15</v>
      </c>
      <c r="H8" s="16" t="s">
        <v>37</v>
      </c>
      <c r="I8" s="16" t="s">
        <v>38</v>
      </c>
      <c r="J8" s="16" t="s">
        <v>24</v>
      </c>
      <c r="K8" t="s">
        <v>39</v>
      </c>
      <c r="L8" s="18" t="str">
        <f t="shared" si="0"/>
        <v>alessandro@grupoglobo.com.br; flavio.b@globoveiculos.com.br; wagner@grupoglobo.com.br;mario@grupoglobo.com.br; alessandro@grupoglobo.com.br; gabriel@grupoglobo.com.br; mariojunior@grupoglobo.com.br;;evandro.brasileiro@globoveiculos.com.br; wagner.p@globoveiculos.com.br;valerio.hack@globoveiculos.com.br; rogerio.nascimento@globoveiculos.com.br;lucimara.b@globoveiculos.com.br; agatha.oliveira@grupoglobo.com.br;daiane.padilha@grupoglobo.com.br</v>
      </c>
    </row>
    <row r="9" spans="1:12">
      <c r="A9" s="6"/>
      <c r="B9" s="2">
        <v>7600728</v>
      </c>
      <c r="C9" t="s">
        <v>40</v>
      </c>
      <c r="D9" s="3">
        <v>1</v>
      </c>
      <c r="E9" s="3">
        <v>1</v>
      </c>
      <c r="F9" s="4" t="s">
        <v>41</v>
      </c>
      <c r="G9" s="4" t="s">
        <v>15</v>
      </c>
      <c r="H9" s="16" t="s">
        <v>42</v>
      </c>
      <c r="I9" s="16" t="s">
        <v>43</v>
      </c>
      <c r="J9" s="16" t="s">
        <v>18</v>
      </c>
      <c r="K9" s="17" t="s">
        <v>44</v>
      </c>
      <c r="L9" s="18" t="str">
        <f t="shared" si="0"/>
        <v>mauricio.f@globoveiculos.com.br;alessandro@grupoglobo.com.br;flavio.b@globoveiculos.com.br;mario@grupoglobo.com.br; alessandro@grupoglobo.com.br; gabriel@grupoglobo.com.br; mariojunior@grupoglobo.com.br;;gabriel.oliveira@globoveiculos.com.br; wagner@grupoglobo.com.br;maicon.ristal@globoveiculos.com.br; mauricio.fernandes@globoveiculos.com.br;lucimara.b@globoveiculos.com.br; cristiani.souza@globoveiculos.com.br; agatha.oliveira@grupoglobo.com.br;cotech.joinville@globoveiculos.com.br; mauricio.fernandes@globoveiculos.com.br; garantiajoinville@globoveiculos.com.br; garantiajoinville@globoveiculos.com.br; emily.pereira@globoveiculos.com.br</v>
      </c>
    </row>
    <row r="10" spans="1:12">
      <c r="A10" s="6"/>
      <c r="B10" s="2">
        <v>7600595</v>
      </c>
      <c r="C10" t="s">
        <v>45</v>
      </c>
      <c r="D10" s="3">
        <v>1</v>
      </c>
      <c r="E10" s="3">
        <v>1</v>
      </c>
      <c r="F10" s="17" t="s">
        <v>32</v>
      </c>
      <c r="G10" s="4" t="s">
        <v>15</v>
      </c>
      <c r="H10" s="16" t="s">
        <v>46</v>
      </c>
      <c r="I10" s="16" t="s">
        <v>47</v>
      </c>
      <c r="J10" s="16" t="s">
        <v>34</v>
      </c>
      <c r="K10" s="17" t="s">
        <v>48</v>
      </c>
      <c r="L10" s="18" t="str">
        <f t="shared" si="0"/>
        <v>alessandro@grupoglobo.com.br;flavio.b@globoveiculos.com.br;mario@grupoglobo.com.br; alessandro@grupoglobo.com.br; gabriel@grupoglobo.com.br; mariojunior@grupoglobo.com.br;;julio.c@globoveiculos.com.br; wagner@grupoglobo.com.br;hudson.t@globoveiculos.com.br;lucimara.b@globoveiculos.com.br; priscila.duma@globoveiculos.com.br; agatha.oliveira@grupoglobo.com.br;cotech.fpolis@globoveiculos.com.br</v>
      </c>
    </row>
    <row r="11" spans="1:12">
      <c r="A11" s="6"/>
      <c r="B11" s="2">
        <v>7600331</v>
      </c>
      <c r="C11" t="s">
        <v>49</v>
      </c>
      <c r="D11" s="3">
        <v>1</v>
      </c>
      <c r="E11" s="3">
        <v>1</v>
      </c>
      <c r="F11" s="17" t="s">
        <v>32</v>
      </c>
      <c r="G11" s="4" t="s">
        <v>15</v>
      </c>
      <c r="H11" s="16" t="s">
        <v>50</v>
      </c>
      <c r="I11" s="16" t="s">
        <v>51</v>
      </c>
      <c r="J11" s="16" t="s">
        <v>34</v>
      </c>
      <c r="K11" s="17" t="s">
        <v>52</v>
      </c>
      <c r="L11" s="18" t="str">
        <f t="shared" si="0"/>
        <v>alessandro@grupoglobo.com.br;flavio.b@globoveiculos.com.br;mario@grupoglobo.com.br; alessandro@grupoglobo.com.br; gabriel@grupoglobo.com.br; mariojunior@grupoglobo.com.br;;fernanda.gomes@globoveiculos.com.br; wagner@grupoglobo.com.br;ramon.h@globoveiculos.com.br;lucimara.b@globoveiculos.com.br; priscila.duma@globoveiculos.com.br; agatha.oliveira@grupoglobo.com.br;bruno.raimundo@globoveiculos.com.br</v>
      </c>
    </row>
    <row r="12" spans="1:12">
      <c r="A12" s="6"/>
      <c r="B12" s="2">
        <v>7600360</v>
      </c>
      <c r="C12" t="s">
        <v>53</v>
      </c>
      <c r="D12" s="3">
        <v>1</v>
      </c>
      <c r="E12" s="3">
        <v>1</v>
      </c>
      <c r="F12" s="19" t="s">
        <v>54</v>
      </c>
      <c r="G12" s="4" t="s">
        <v>15</v>
      </c>
      <c r="H12" s="16" t="s">
        <v>55</v>
      </c>
      <c r="I12" s="16" t="s">
        <v>56</v>
      </c>
      <c r="J12" s="16" t="s">
        <v>24</v>
      </c>
      <c r="K12" s="17" t="s">
        <v>57</v>
      </c>
      <c r="L12" s="18" t="str">
        <f t="shared" si="0"/>
        <v>alessandro@grupoglobo.com.br; luiz.rezende@grupoglobo.com.br;mario@grupoglobo.com.br; alessandro@grupoglobo.com.br; gabriel@grupoglobo.com.br; mariojunior@grupoglobo.com.br;;anderson.souza@globoveiculos.com.br;karytas@globoveiculos.com.br;lucimara.b@globoveiculos.com.br; agatha.oliveira@grupoglobo.com.br;; agatha.oliveira@grupoglobo.com.br</v>
      </c>
    </row>
    <row r="13" spans="1:12">
      <c r="A13" s="6"/>
      <c r="B13" s="2">
        <v>7601108</v>
      </c>
      <c r="C13" t="s">
        <v>58</v>
      </c>
      <c r="D13" s="3">
        <v>1</v>
      </c>
      <c r="E13" s="3">
        <v>2</v>
      </c>
      <c r="F13" s="19" t="s">
        <v>59</v>
      </c>
      <c r="G13" s="19" t="s">
        <v>60</v>
      </c>
      <c r="H13" s="16" t="s">
        <v>61</v>
      </c>
      <c r="I13" s="16" t="s">
        <v>62</v>
      </c>
      <c r="J13" s="16" t="s">
        <v>63</v>
      </c>
      <c r="K13" s="17" t="s">
        <v>64</v>
      </c>
      <c r="L13" s="18" t="str">
        <f t="shared" si="0"/>
        <v>paulo@aravel.com.br;sergio@aravel.com.br; pedro@aravel.com.br; ;rvendas2.ara@aravel.com.br;gerservicos.ara@aravel.com.br;pessoal@aravel.com.br; rh@aravel.com.br;rpecas.ara@aravel.com.br</v>
      </c>
    </row>
    <row r="14" spans="1:12">
      <c r="A14" s="6"/>
      <c r="B14" s="2">
        <v>7600453</v>
      </c>
      <c r="C14" t="s">
        <v>65</v>
      </c>
      <c r="D14" s="3">
        <v>1</v>
      </c>
      <c r="E14" s="3">
        <v>2</v>
      </c>
      <c r="F14" s="19" t="s">
        <v>66</v>
      </c>
      <c r="G14" s="19" t="s">
        <v>67</v>
      </c>
      <c r="H14" s="1" t="s">
        <v>68</v>
      </c>
      <c r="I14" s="16" t="s">
        <v>69</v>
      </c>
      <c r="J14" s="16" t="s">
        <v>70</v>
      </c>
      <c r="K14" s="17" t="s">
        <v>71</v>
      </c>
      <c r="L14" s="18" t="str">
        <f t="shared" si="0"/>
        <v>eduardo.mattos@formularenault.com.br; fabio.ito@grupobarigui.com.br;ivo.roveda@grupobarigui.com.br;sauer.filho@grupobarigui.com.br;;marcelo.oliveira@nissanbarigui.com.br;ademir.ferreira@formularenault.com.br;william.toporoski@formularenault.com.br;; rubia.breunig@formularenault.com.br; oscar.ito@formularenault.com.br; rivaldo.junior@formularenault.com.br;eder.freitas@formularenault.com.br; bruno.almeida@formularenault.com.br; aline.straube@formularenault.com.br; guilherme.barbosa@formularenault.com.br; sidney.damacena@formularenault.com.br</v>
      </c>
    </row>
    <row r="15" spans="1:12">
      <c r="A15" s="6"/>
      <c r="B15" s="2">
        <v>7600391</v>
      </c>
      <c r="C15" t="s">
        <v>72</v>
      </c>
      <c r="D15" s="3">
        <v>1</v>
      </c>
      <c r="E15" s="3">
        <v>2</v>
      </c>
      <c r="F15" s="19" t="s">
        <v>66</v>
      </c>
      <c r="G15" s="19" t="s">
        <v>67</v>
      </c>
      <c r="H15" s="1" t="s">
        <v>73</v>
      </c>
      <c r="I15" s="16" t="s">
        <v>74</v>
      </c>
      <c r="J15" s="16" t="s">
        <v>75</v>
      </c>
      <c r="K15" s="17" t="s">
        <v>76</v>
      </c>
      <c r="L15" s="18" t="str">
        <f t="shared" si="0"/>
        <v>eduardo.mattos@formularenault.com.br; fabio.ito@grupobarigui.com.br;ivo.roveda@grupobarigui.com.br;sauer.filho@grupobarigui.com.br;;marcelo.oliveira@nissanbarigui.com.br; paulo.lema@formularenault.com.br;carlos.maia@formularenault.com.br;edson.nagao@formularenault.com.br; rubia.breunig@formularenault.com.br; oscar.ito@formularenault.com.br; rivaldo.junior@formularenault.com.br;; aline.straube@formularenault.com.br; guilherme.barbosa@formularenault.com.br; sidney.damacena@formularenault.com.br</v>
      </c>
    </row>
    <row r="16" spans="1:12">
      <c r="A16" s="6"/>
      <c r="B16" s="2">
        <v>7601222</v>
      </c>
      <c r="C16" t="s">
        <v>77</v>
      </c>
      <c r="D16" s="3">
        <v>1</v>
      </c>
      <c r="E16" s="3">
        <v>2</v>
      </c>
      <c r="F16" s="19" t="s">
        <v>66</v>
      </c>
      <c r="G16" s="19" t="s">
        <v>67</v>
      </c>
      <c r="H16" s="16" t="s">
        <v>78</v>
      </c>
      <c r="I16" s="16" t="s">
        <v>79</v>
      </c>
      <c r="J16" s="16" t="s">
        <v>80</v>
      </c>
      <c r="K16" s="17" t="s">
        <v>81</v>
      </c>
      <c r="L16" s="18" t="str">
        <f t="shared" si="0"/>
        <v>eduardo.mattos@formularenault.com.br; fabio.ito@grupobarigui.com.br;ivo.roveda@grupobarigui.com.br;sauer.filho@grupobarigui.com.br;;marcelo.oliveira@nissanbarigui.com.br; marlize.fogaca@nissanbarigui.com.br;michel.fernandes@grupobarigui.com.br; volmir.rottava@grupobarigui.com.br;sandy.souza@formularenault.com.br; ; oscar.ito@formularenault.com.br; rubia.breunig@formularenault.com.br;sandy.souza@formularenault.com.br; aline.straube@formularenault.com.br; eimili.martins@formularenault.com.br; guilherme.barbosa@formularenault.com.br; sidney.damacena@formularenault.com.br; thaise.souza@formularenault.com.br</v>
      </c>
    </row>
    <row r="17" spans="1:12">
      <c r="A17" s="6"/>
      <c r="B17" s="2">
        <v>7600569</v>
      </c>
      <c r="C17" t="s">
        <v>82</v>
      </c>
      <c r="D17" s="3">
        <v>1</v>
      </c>
      <c r="E17" s="3">
        <v>2</v>
      </c>
      <c r="F17" s="19" t="s">
        <v>66</v>
      </c>
      <c r="G17" s="19" t="s">
        <v>67</v>
      </c>
      <c r="H17" s="16" t="s">
        <v>83</v>
      </c>
      <c r="I17" s="16" t="s">
        <v>84</v>
      </c>
      <c r="J17" s="16" t="s">
        <v>80</v>
      </c>
      <c r="K17" s="17" t="s">
        <v>85</v>
      </c>
      <c r="L17" s="18" t="str">
        <f t="shared" si="0"/>
        <v>eduardo.mattos@formularenault.com.br; fabio.ito@grupobarigui.com.br;ivo.roveda@grupobarigui.com.br;sauer.filho@grupobarigui.com.br;;luis.leite@grupobarigui.com.br; marcelo.oliveira@nissanbarigui.com.br; jefferson.rosa@formularenault.com.br; gesse.cunha@formularenault.com.br;; ;sandy.souza@formularenault.com.br; ; oscar.ito@formularenault.com.br; rubia.breunig@formularenault.com.br;aline.straube@formularenault.com.br; sandy.souza@formularenault.com.br; guilherme.barbosa@formularenault.com.br; sidney.damacena@formularenault.com.br</v>
      </c>
    </row>
    <row r="18" spans="1:12">
      <c r="A18" s="6"/>
      <c r="B18" s="2">
        <v>7600474</v>
      </c>
      <c r="C18" t="s">
        <v>86</v>
      </c>
      <c r="D18" s="3">
        <v>1</v>
      </c>
      <c r="E18" s="3">
        <v>2</v>
      </c>
      <c r="F18" s="19" t="s">
        <v>66</v>
      </c>
      <c r="G18" s="4" t="s">
        <v>87</v>
      </c>
      <c r="H18" s="16" t="s">
        <v>88</v>
      </c>
      <c r="I18" s="16" t="s">
        <v>89</v>
      </c>
      <c r="J18" s="16" t="s">
        <v>90</v>
      </c>
      <c r="K18" s="17" t="s">
        <v>91</v>
      </c>
      <c r="L18" s="18" t="str">
        <f t="shared" si="0"/>
        <v>eduardo.mattos@formularenault.com.br; fabio.ito@grupobarigui.com.br;ivo.roveda@grupobarigui.com.br;sauer.filho@grupobarigui.com.br; ; ;  jefferson.rosa@formularenault.com.br; eduardo.macedo@formularenault.com.br;marcelo.oliveira@nissanbarigui.com.br; eduardo.macedo@formularenault.com.br;; ; eduardo.macedo@formularenault.com.br; ; jefferson.rosa@formularenault.com.br; leonardo.silva@formularenault.com.br;sandy.souza@renaultbarigui.com.br ;oscar.ito@formularenault.com.br; rubia.breunig@formularenault.com.br; flavia.ferreira@formularenault.com.br;aline.straube@formularenault.com.br; guilherme.barbosa@formularenault.com.br; sidney.damacena@formularenault.com.br</v>
      </c>
    </row>
    <row r="19" spans="1:12">
      <c r="A19" s="6"/>
      <c r="B19" s="2">
        <v>7601220</v>
      </c>
      <c r="C19" t="s">
        <v>92</v>
      </c>
      <c r="D19" s="3">
        <v>1</v>
      </c>
      <c r="E19" s="3">
        <v>2</v>
      </c>
      <c r="F19" s="19" t="s">
        <v>66</v>
      </c>
      <c r="G19" s="19" t="s">
        <v>67</v>
      </c>
      <c r="H19" s="16" t="s">
        <v>93</v>
      </c>
      <c r="I19" s="16" t="s">
        <v>69</v>
      </c>
      <c r="J19" s="16" t="s">
        <v>94</v>
      </c>
      <c r="K19" s="17" t="s">
        <v>95</v>
      </c>
      <c r="L19" s="18" t="str">
        <f t="shared" si="0"/>
        <v>eduardo.mattos@formularenault.com.br; fabio.ito@grupobarigui.com.br;ivo.roveda@grupobarigui.com.br;sauer.filho@grupobarigui.com.br;;marcelo.oliveira@nissanbarigui.com.br; luis.ribeiro@formularenault.com.br;william.toporoski@formularenault.com.br;; oscar.ito@formularenault.com.br; rubia.breunig@formularenault.com.br;thassia.siqueira@formularenault.com.br; aline.straube@formularenault.com.br; guilherme.barbosa@formularenault.com.br; sidney.damacena@formularenault.com.br</v>
      </c>
    </row>
    <row r="20" spans="1:12">
      <c r="A20" s="6"/>
      <c r="B20" s="2">
        <v>7601221</v>
      </c>
      <c r="C20" t="s">
        <v>96</v>
      </c>
      <c r="D20" s="3">
        <v>1</v>
      </c>
      <c r="E20" s="3">
        <v>2</v>
      </c>
      <c r="F20" s="19" t="s">
        <v>66</v>
      </c>
      <c r="G20" s="4" t="s">
        <v>97</v>
      </c>
      <c r="H20" s="16" t="s">
        <v>98</v>
      </c>
      <c r="I20" s="16" t="s">
        <v>99</v>
      </c>
      <c r="J20" s="16" t="s">
        <v>94</v>
      </c>
      <c r="K20" s="1" t="s">
        <v>100</v>
      </c>
      <c r="L20" s="18" t="str">
        <f t="shared" si="0"/>
        <v>eduardo.mattos@formularenault.com.br; fabio.ito@grupobarigui.com.br;ivo.roveda@grupobarigui.com.br;sauer.filho@grupobarigui.com.br; ; ;marcelo.oliveira@nissanbarigui.com.br; clayton.santos@formularenault.com.br;oseias.constantino@grupobarigui.com.br;; oscar.ito@formularenault.com.br; rubia.breunig@formularenault.com.br;aline.straube@formularenault.com.br; eimili.martins@formularenault.com.br; guilherme.barbosa@formularenault.com.br; sidney.damacena@formularenault.com.br</v>
      </c>
    </row>
    <row r="21" spans="1:12">
      <c r="A21" s="6"/>
      <c r="B21" s="2">
        <v>7600560</v>
      </c>
      <c r="C21" t="s">
        <v>101</v>
      </c>
      <c r="D21" s="3">
        <v>1</v>
      </c>
      <c r="E21" s="3">
        <v>3</v>
      </c>
      <c r="F21" s="19" t="s">
        <v>102</v>
      </c>
      <c r="G21" s="4" t="s">
        <v>103</v>
      </c>
      <c r="H21" s="16" t="s">
        <v>104</v>
      </c>
      <c r="I21" s="19" t="s">
        <v>105</v>
      </c>
      <c r="J21" s="16" t="s">
        <v>106</v>
      </c>
      <c r="K21" s="17" t="s">
        <v>107</v>
      </c>
      <c r="L21" s="18" t="str">
        <f t="shared" si="0"/>
        <v>job.castro@grupoautomega.com.br; vicente@grupoautomega.com.br;leonardo@repecon.com.br;alan.gregory@grupoautomega.com.br;leandro.soares@grupoautomega.com.br;bruna.badin@grupoautomega.com.br;patricia@grupoautomega.com.br; fabio@grupoautomega.com.br; josemara.silva@grupoautomega.com.br</v>
      </c>
    </row>
    <row r="22" spans="1:12">
      <c r="A22" s="6"/>
      <c r="B22" s="2">
        <v>7600219</v>
      </c>
      <c r="C22" t="s">
        <v>108</v>
      </c>
      <c r="D22" s="3">
        <v>1</v>
      </c>
      <c r="E22" s="3">
        <v>3</v>
      </c>
      <c r="F22" s="19" t="s">
        <v>102</v>
      </c>
      <c r="G22" s="4" t="s">
        <v>103</v>
      </c>
      <c r="H22" s="16" t="s">
        <v>109</v>
      </c>
      <c r="I22" s="19" t="s">
        <v>110</v>
      </c>
      <c r="J22" s="16" t="s">
        <v>106</v>
      </c>
      <c r="K22" s="17" t="s">
        <v>107</v>
      </c>
      <c r="L22" s="18" t="str">
        <f t="shared" si="0"/>
        <v>job.castro@grupoautomega.com.br; vicente@grupoautomega.com.br;leonardo@repecon.com.br;adriano.silva@grupoautomega.com.br;jairo.nandi@grupoautomega.com.br;bruna.badin@grupoautomega.com.br;patricia@grupoautomega.com.br; fabio@grupoautomega.com.br; josemara.silva@grupoautomega.com.br</v>
      </c>
    </row>
    <row r="23" spans="1:12">
      <c r="A23" s="6"/>
      <c r="B23" s="2">
        <v>7600007</v>
      </c>
      <c r="C23" t="s">
        <v>111</v>
      </c>
      <c r="D23" s="3">
        <v>1</v>
      </c>
      <c r="E23" s="3">
        <v>3</v>
      </c>
      <c r="F23" s="19" t="s">
        <v>102</v>
      </c>
      <c r="G23" s="4" t="s">
        <v>103</v>
      </c>
      <c r="H23" s="1" t="s">
        <v>112</v>
      </c>
      <c r="I23" s="19" t="s">
        <v>113</v>
      </c>
      <c r="J23" s="16" t="s">
        <v>106</v>
      </c>
      <c r="K23" s="17" t="s">
        <v>107</v>
      </c>
      <c r="L23" s="18" t="str">
        <f t="shared" si="0"/>
        <v>job.castro@grupoautomega.com.br; vicente@grupoautomega.com.br;leonardo@repecon.com.br;marcelo.meireles@grupoautomega.com.br;sidnei.camilo@grupoautomega.com.br;bruna.badin@grupoautomega.com.br;patricia@grupoautomega.com.br; fabio@grupoautomega.com.br; josemara.silva@grupoautomega.com.br</v>
      </c>
    </row>
    <row r="24" spans="1:12">
      <c r="A24" s="6"/>
      <c r="B24" s="2">
        <v>7600642</v>
      </c>
      <c r="C24" t="s">
        <v>114</v>
      </c>
      <c r="D24" s="3">
        <v>1</v>
      </c>
      <c r="E24" s="3">
        <v>3</v>
      </c>
      <c r="F24" s="19" t="s">
        <v>102</v>
      </c>
      <c r="G24" s="4" t="s">
        <v>103</v>
      </c>
      <c r="H24" s="16" t="s">
        <v>115</v>
      </c>
      <c r="I24" s="19" t="s">
        <v>116</v>
      </c>
      <c r="J24" s="16" t="s">
        <v>106</v>
      </c>
      <c r="K24" s="17" t="s">
        <v>107</v>
      </c>
      <c r="L24" s="18" t="str">
        <f t="shared" si="0"/>
        <v>job.castro@grupoautomega.com.br; vicente@grupoautomega.com.br;leonardo@repecon.com.br;jaime.nunes@grupoautomega.com.br;eduardo.tamura@grupoautomega.com.br;bruna.badin@grupoautomega.com.br;patricia@grupoautomega.com.br; fabio@grupoautomega.com.br; josemara.silva@grupoautomega.com.br</v>
      </c>
    </row>
    <row r="25" spans="1:12">
      <c r="A25" s="6"/>
      <c r="B25" s="2">
        <v>7600778</v>
      </c>
      <c r="C25" t="s">
        <v>117</v>
      </c>
      <c r="D25" s="3">
        <v>1</v>
      </c>
      <c r="E25" s="3">
        <v>3</v>
      </c>
      <c r="F25" s="19" t="s">
        <v>102</v>
      </c>
      <c r="G25" s="4" t="s">
        <v>103</v>
      </c>
      <c r="H25" s="16" t="s">
        <v>118</v>
      </c>
      <c r="I25" s="19"/>
      <c r="J25" s="16" t="s">
        <v>106</v>
      </c>
      <c r="K25" s="17" t="s">
        <v>107</v>
      </c>
      <c r="L25" s="18" t="str">
        <f t="shared" si="0"/>
        <v>job.castro@grupoautomega.com.br; vicente@grupoautomega.com.br;leonardo@repecon.com.br;jossias.dalla@grupoautomega.com.br;;bruna.badin@grupoautomega.com.br;patricia@grupoautomega.com.br; fabio@grupoautomega.com.br; josemara.silva@grupoautomega.com.br</v>
      </c>
    </row>
    <row r="26" spans="1:12">
      <c r="A26" s="6"/>
      <c r="B26" s="2">
        <v>7601148</v>
      </c>
      <c r="C26" t="s">
        <v>119</v>
      </c>
      <c r="D26" s="3">
        <v>1</v>
      </c>
      <c r="E26" s="3">
        <v>3</v>
      </c>
      <c r="F26" s="17" t="s">
        <v>120</v>
      </c>
      <c r="G26" s="17" t="s">
        <v>121</v>
      </c>
      <c r="H26" s="16" t="s">
        <v>122</v>
      </c>
      <c r="I26" s="16"/>
      <c r="J26" s="16" t="s">
        <v>123</v>
      </c>
      <c r="K26" s="17" t="s">
        <v>124</v>
      </c>
      <c r="L26" s="18" t="str">
        <f t="shared" si="0"/>
        <v>julio.csilva@gruposaga.com.br;alex.minas@gruposaga.com.br;gerson.sjunior@gruposaga.com.br;;ana.psales@gruposaga.com.br;; joyce.pbarreto@gruposaga.com.br; tamy.asilva@gruposaga.com.br</v>
      </c>
    </row>
    <row r="27" spans="1:12">
      <c r="A27" s="6"/>
      <c r="B27" s="2">
        <v>7600990</v>
      </c>
      <c r="C27" t="s">
        <v>125</v>
      </c>
      <c r="D27" s="3">
        <v>1</v>
      </c>
      <c r="E27" s="3">
        <v>3</v>
      </c>
      <c r="F27" s="17" t="s">
        <v>120</v>
      </c>
      <c r="G27" s="17" t="s">
        <v>121</v>
      </c>
      <c r="H27" s="16" t="s">
        <v>126</v>
      </c>
      <c r="I27" s="16"/>
      <c r="J27" s="16" t="s">
        <v>123</v>
      </c>
      <c r="K27" s="17" t="s">
        <v>124</v>
      </c>
      <c r="L27" s="18" t="str">
        <f t="shared" si="0"/>
        <v>julio.csilva@gruposaga.com.br;alex.minas@gruposaga.com.br;hellen.spaz@gruposaga.com.br;;ana.psales@gruposaga.com.br;; joyce.pbarreto@gruposaga.com.br; tamy.asilva@gruposaga.com.br</v>
      </c>
    </row>
    <row r="28" spans="1:12">
      <c r="A28" s="6"/>
      <c r="B28" s="2">
        <v>7600991</v>
      </c>
      <c r="C28" t="s">
        <v>127</v>
      </c>
      <c r="D28" s="3">
        <v>1</v>
      </c>
      <c r="E28" s="3">
        <v>3</v>
      </c>
      <c r="F28" s="17" t="s">
        <v>128</v>
      </c>
      <c r="G28" s="17" t="s">
        <v>129</v>
      </c>
      <c r="H28" s="16" t="s">
        <v>130</v>
      </c>
      <c r="I28" s="16" t="s">
        <v>131</v>
      </c>
      <c r="J28" s="16" t="s">
        <v>132</v>
      </c>
      <c r="K28" s="16" t="s">
        <v>133</v>
      </c>
      <c r="L28" s="18" t="str">
        <f t="shared" si="0"/>
        <v>fernando.sales@grupoenzo.com.br; Paulo.mori@grupoenzo.com.br;kcf@grupoenzo.com.br;douglas.laranjeira@guaracampogrande.com.br;luis.nascimento@guaracampogrande.com.br;carolina.martins@guaracampogrande.com.br;morgana.costa@grupoenzo.com.br; ; alexandro.zuconelli@grupoenzo.com.br; gildo.amaral@grupoenzo.com.br</v>
      </c>
    </row>
    <row r="29" spans="1:12">
      <c r="A29" s="6"/>
      <c r="B29" s="2">
        <v>7601047</v>
      </c>
      <c r="C29" t="s">
        <v>134</v>
      </c>
      <c r="D29" s="3">
        <v>1</v>
      </c>
      <c r="E29" s="3">
        <v>3</v>
      </c>
      <c r="F29" s="17" t="s">
        <v>128</v>
      </c>
      <c r="G29" s="17" t="s">
        <v>129</v>
      </c>
      <c r="H29" s="16" t="s">
        <v>135</v>
      </c>
      <c r="I29" s="16" t="s">
        <v>136</v>
      </c>
      <c r="J29" s="16" t="s">
        <v>132</v>
      </c>
      <c r="K29" s="16" t="s">
        <v>133</v>
      </c>
      <c r="L29" s="18" t="str">
        <f t="shared" si="0"/>
        <v>fernando.sales@grupoenzo.com.br; Paulo.mori@grupoenzo.com.br;kcf@grupoenzo.com.br;marcelo.silva@guararenaultdourados.com.br;gilberto.melgarejo@guararenaultdourados.com.br;carolina.martins@guaracampogrande.com.br;morgana.costa@grupoenzo.com.br; ; alexandro.zuconelli@grupoenzo.com.br; gildo.amaral@grupoenzo.com.br</v>
      </c>
    </row>
    <row r="30" spans="1:12">
      <c r="A30" s="6"/>
      <c r="B30" s="2">
        <v>7601216</v>
      </c>
      <c r="C30" s="4" t="s">
        <v>137</v>
      </c>
      <c r="D30" s="3">
        <v>1</v>
      </c>
      <c r="E30" s="3">
        <v>4</v>
      </c>
      <c r="F30" s="17" t="s">
        <v>138</v>
      </c>
      <c r="G30" s="17"/>
      <c r="H30" s="16" t="s">
        <v>139</v>
      </c>
      <c r="I30" s="16" t="s">
        <v>140</v>
      </c>
      <c r="J30" s="16" t="s">
        <v>141</v>
      </c>
      <c r="K30" s="17" t="s">
        <v>140</v>
      </c>
      <c r="L30" s="18" t="str">
        <f t="shared" si="0"/>
        <v>adenilson@autoplusrenault.com.br ;;eglerayner.goncalves@autoplusrenault.com.br;ronaldo.felipe@autoplusrenault.com.br;qualidade@autoplusrenault.com.br;ronaldo.felipe@autoplusrenault.com.br</v>
      </c>
    </row>
    <row r="31" spans="1:12">
      <c r="A31" s="6"/>
      <c r="B31" s="2">
        <v>7601210</v>
      </c>
      <c r="C31" t="s">
        <v>142</v>
      </c>
      <c r="D31" s="3">
        <v>1</v>
      </c>
      <c r="E31" s="3">
        <v>4</v>
      </c>
      <c r="F31" s="17" t="s">
        <v>138</v>
      </c>
      <c r="G31" s="17"/>
      <c r="H31" s="16" t="s">
        <v>143</v>
      </c>
      <c r="I31" s="16" t="s">
        <v>144</v>
      </c>
      <c r="J31" s="16" t="s">
        <v>141</v>
      </c>
      <c r="K31" s="17" t="s">
        <v>140</v>
      </c>
      <c r="L31" s="18" t="str">
        <f t="shared" si="0"/>
        <v>adenilson@autoplusrenault.com.br ;;julio.oliveira@autoplusrenault.com.br;cotech4@autoplusrenault.com.br ;qualidade@autoplusrenault.com.br;ronaldo.felipe@autoplusrenault.com.br</v>
      </c>
    </row>
    <row r="32" spans="1:12">
      <c r="A32" s="6"/>
      <c r="B32" s="2">
        <v>7601224</v>
      </c>
      <c r="C32" t="s">
        <v>145</v>
      </c>
      <c r="D32" s="3">
        <v>1</v>
      </c>
      <c r="E32" s="3">
        <v>4</v>
      </c>
      <c r="F32" s="17" t="s">
        <v>138</v>
      </c>
      <c r="G32" s="17"/>
      <c r="H32" s="16" t="s">
        <v>146</v>
      </c>
      <c r="I32" s="16" t="s">
        <v>147</v>
      </c>
      <c r="J32" s="16" t="s">
        <v>141</v>
      </c>
      <c r="K32" s="17" t="s">
        <v>140</v>
      </c>
      <c r="L32" s="18" t="str">
        <f t="shared" si="0"/>
        <v>adenilson@autoplusrenault.com.br ;;ricardo.dalvo@autoplusrenault.com.br;marcos.griten@autoplusrenault.com.br ;qualidade@autoplusrenault.com.br;ronaldo.felipe@autoplusrenault.com.br</v>
      </c>
    </row>
    <row r="33" spans="1:12">
      <c r="A33" s="6"/>
      <c r="B33" s="2">
        <v>7600777</v>
      </c>
      <c r="C33" t="s">
        <v>148</v>
      </c>
      <c r="D33" s="3">
        <v>1</v>
      </c>
      <c r="E33" s="3">
        <v>4</v>
      </c>
      <c r="F33" s="17" t="s">
        <v>138</v>
      </c>
      <c r="G33" s="17"/>
      <c r="H33" s="16" t="s">
        <v>149</v>
      </c>
      <c r="I33" s="16" t="s">
        <v>150</v>
      </c>
      <c r="J33" s="16" t="s">
        <v>141</v>
      </c>
      <c r="K33" s="17" t="s">
        <v>140</v>
      </c>
      <c r="L33" s="18" t="str">
        <f t="shared" si="0"/>
        <v>adenilson@autoplusrenault.com.br ;;leandro.dias@autoplusrenault.com.br;rodrigo.herbst@autoplusrenault.com.br;qualidade@autoplusrenault.com.br;ronaldo.felipe@autoplusrenault.com.br</v>
      </c>
    </row>
    <row r="34" spans="1:12">
      <c r="A34" s="6"/>
      <c r="B34" s="2">
        <v>7600742</v>
      </c>
      <c r="C34" t="s">
        <v>151</v>
      </c>
      <c r="D34" s="3">
        <v>1</v>
      </c>
      <c r="E34" s="3">
        <v>4</v>
      </c>
      <c r="F34" s="17" t="s">
        <v>138</v>
      </c>
      <c r="G34" s="17"/>
      <c r="H34" s="16" t="s">
        <v>152</v>
      </c>
      <c r="I34" s="16" t="s">
        <v>153</v>
      </c>
      <c r="J34" s="16" t="s">
        <v>141</v>
      </c>
      <c r="K34" s="17" t="s">
        <v>140</v>
      </c>
      <c r="L34" s="18" t="str">
        <f t="shared" si="0"/>
        <v>adenilson@autoplusrenault.com.br ;;laudelino.junior@autoplusrenault.com.br;jessica.alves@autoplusrenault.com.br;qualidade@autoplusrenault.com.br;ronaldo.felipe@autoplusrenault.com.br</v>
      </c>
    </row>
    <row r="35" spans="1:12">
      <c r="A35" s="6"/>
      <c r="B35" s="22">
        <v>7600873</v>
      </c>
      <c r="C35" t="s">
        <v>154</v>
      </c>
      <c r="D35" s="3">
        <v>1</v>
      </c>
      <c r="E35" s="3">
        <v>4</v>
      </c>
      <c r="F35" s="17" t="s">
        <v>138</v>
      </c>
      <c r="G35" s="17"/>
      <c r="H35" s="16" t="s">
        <v>155</v>
      </c>
      <c r="I35" s="16" t="s">
        <v>156</v>
      </c>
      <c r="J35" s="16" t="s">
        <v>141</v>
      </c>
      <c r="K35" s="17" t="s">
        <v>140</v>
      </c>
      <c r="L35" s="18" t="str">
        <f t="shared" si="0"/>
        <v>adenilson@autoplusrenault.com.br ;;ricardo.p@autoplusrenault.com.br;thyago.santos@autoplusrenault.com.br;qualidade@autoplusrenault.com.br;ronaldo.felipe@autoplusrenault.com.br</v>
      </c>
    </row>
    <row r="36" spans="1:12">
      <c r="A36" s="6"/>
      <c r="B36" s="2">
        <v>7601213</v>
      </c>
      <c r="C36" t="s">
        <v>157</v>
      </c>
      <c r="D36" s="3">
        <v>1</v>
      </c>
      <c r="E36" s="3">
        <v>4</v>
      </c>
      <c r="F36" s="4" t="s">
        <v>158</v>
      </c>
      <c r="G36" s="17" t="s">
        <v>159</v>
      </c>
      <c r="H36" s="16" t="s">
        <v>160</v>
      </c>
      <c r="I36" t="s">
        <v>161</v>
      </c>
      <c r="J36" s="16"/>
      <c r="K36" s="17" t="s">
        <v>162</v>
      </c>
      <c r="L36" s="18" t="str">
        <f t="shared" si="0"/>
        <v>zibetti@demarcoveiculos.com.br;adriano@demarcoveiculos.com.br;rafael@demarcoveiculos.com.br;danth@demarcoveiculos.com.br; gerente.smo@demarcoveiculos.com.br;posvenda@demarcoveiculos.com.br; posvenda.blu@demarcoveiculos.com.br; posvendas.jba@demarcoveiculos.com.br;;cotech.smo@demarcoveiculos.com.br</v>
      </c>
    </row>
    <row r="37" spans="1:12">
      <c r="A37" s="6"/>
      <c r="B37" s="2">
        <v>7600746</v>
      </c>
      <c r="C37" t="s">
        <v>163</v>
      </c>
      <c r="D37" s="3">
        <v>1</v>
      </c>
      <c r="E37" s="3">
        <v>4</v>
      </c>
      <c r="F37" s="4" t="s">
        <v>164</v>
      </c>
      <c r="G37" s="17" t="s">
        <v>159</v>
      </c>
      <c r="H37" s="16" t="s">
        <v>165</v>
      </c>
      <c r="I37" s="16" t="s">
        <v>166</v>
      </c>
      <c r="J37" s="16"/>
      <c r="K37" s="17"/>
      <c r="L37" s="18" t="str">
        <f t="shared" si="0"/>
        <v>adriano@demarcoveiculos.com.br;rafael@demarcoveiculos.com.br;danth@demarcoveiculos.com.br; gerente.ccd@demarcoveiculos.com.br;posvenda@demarcoveiculos.com.br; posvendas.jba@demarcoveiculos.com.br;;</v>
      </c>
    </row>
    <row r="38" spans="1:12">
      <c r="A38" s="6"/>
      <c r="B38" s="2">
        <v>7600943</v>
      </c>
      <c r="C38" t="s">
        <v>167</v>
      </c>
      <c r="D38" s="3">
        <v>1</v>
      </c>
      <c r="E38" s="3">
        <v>4</v>
      </c>
      <c r="F38" s="19" t="s">
        <v>164</v>
      </c>
      <c r="G38" s="17" t="s">
        <v>159</v>
      </c>
      <c r="H38" s="16" t="s">
        <v>168</v>
      </c>
      <c r="I38" s="16" t="s">
        <v>166</v>
      </c>
      <c r="J38" s="16"/>
      <c r="K38" s="17" t="s">
        <v>169</v>
      </c>
      <c r="L38" s="18" t="str">
        <f t="shared" si="0"/>
        <v>adriano@demarcoveiculos.com.br;rafael@demarcoveiculos.com.br;danth@demarcoveiculos.com.br; gerente.cco@demarcoveiculos.com.br;posvenda@demarcoveiculos.com.br; posvendas.jba@demarcoveiculos.com.br;;cotech.cco@demarcoveiculos.com.br</v>
      </c>
    </row>
    <row r="39" spans="1:12">
      <c r="A39" s="6"/>
      <c r="B39" s="2">
        <v>7600633</v>
      </c>
      <c r="C39" s="4" t="s">
        <v>170</v>
      </c>
      <c r="D39" s="3">
        <v>1</v>
      </c>
      <c r="E39" s="3">
        <v>4</v>
      </c>
      <c r="F39" s="19" t="s">
        <v>164</v>
      </c>
      <c r="G39" s="17" t="s">
        <v>159</v>
      </c>
      <c r="H39" s="16" t="s">
        <v>171</v>
      </c>
      <c r="I39" s="16" t="s">
        <v>166</v>
      </c>
      <c r="J39" s="16"/>
      <c r="K39" s="17" t="s">
        <v>172</v>
      </c>
      <c r="L39" s="18" t="str">
        <f t="shared" si="0"/>
        <v>adriano@demarcoveiculos.com.br;rafael@demarcoveiculos.com.br;danth@demarcoveiculos.com.br; gerente.cda@demarcoveiculos.com.br;posvenda@demarcoveiculos.com.br; posvendas.jba@demarcoveiculos.com.br;;rafael_volpini8019@hotmail.com</v>
      </c>
    </row>
    <row r="40" spans="1:12">
      <c r="A40" s="6"/>
      <c r="B40" s="2">
        <v>7600167</v>
      </c>
      <c r="C40" t="s">
        <v>173</v>
      </c>
      <c r="D40" s="3">
        <v>1</v>
      </c>
      <c r="E40" s="3">
        <v>4</v>
      </c>
      <c r="F40" s="19" t="s">
        <v>164</v>
      </c>
      <c r="G40" s="17" t="s">
        <v>159</v>
      </c>
      <c r="H40" s="16" t="s">
        <v>174</v>
      </c>
      <c r="I40" s="16" t="s">
        <v>166</v>
      </c>
      <c r="J40" s="16"/>
      <c r="K40" s="17" t="s">
        <v>175</v>
      </c>
      <c r="L40" s="18" t="str">
        <f t="shared" si="0"/>
        <v>adriano@demarcoveiculos.com.br;rafael@demarcoveiculos.com.br;danth@demarcoveiculos.com.br; gerente.jba@demarcoveiculos.com.br;posvenda@demarcoveiculos.com.br; posvendas.jba@demarcoveiculos.com.br;;cotech.jba@demarcoveiculos.com.br</v>
      </c>
    </row>
    <row r="41" spans="1:12">
      <c r="A41" s="6"/>
      <c r="B41" s="2">
        <v>7600776</v>
      </c>
      <c r="C41" t="s">
        <v>176</v>
      </c>
      <c r="D41" s="3">
        <v>1</v>
      </c>
      <c r="E41" s="3">
        <v>4</v>
      </c>
      <c r="F41" s="19" t="s">
        <v>164</v>
      </c>
      <c r="G41" s="17" t="s">
        <v>159</v>
      </c>
      <c r="H41" s="16" t="s">
        <v>177</v>
      </c>
      <c r="I41" s="16" t="s">
        <v>166</v>
      </c>
      <c r="J41" s="16"/>
      <c r="K41" s="17" t="s">
        <v>169</v>
      </c>
      <c r="L41" s="18" t="str">
        <f t="shared" si="0"/>
        <v>adriano@demarcoveiculos.com.br;rafael@demarcoveiculos.com.br;danth@demarcoveiculos.com.br; gerente.ptu@demarcoveiculos.com.br;posvenda@demarcoveiculos.com.br; posvendas.jba@demarcoveiculos.com.br;;cotech.cco@demarcoveiculos.com.br</v>
      </c>
    </row>
    <row r="42" spans="1:12">
      <c r="A42" s="6"/>
      <c r="B42" s="2">
        <v>7601126</v>
      </c>
      <c r="C42" t="s">
        <v>178</v>
      </c>
      <c r="D42" s="3">
        <v>1</v>
      </c>
      <c r="E42" s="3">
        <v>4</v>
      </c>
      <c r="F42" s="17" t="s">
        <v>164</v>
      </c>
      <c r="G42" s="17" t="s">
        <v>159</v>
      </c>
      <c r="H42" s="16" t="s">
        <v>160</v>
      </c>
      <c r="I42" s="16" t="s">
        <v>166</v>
      </c>
      <c r="J42" s="16"/>
      <c r="K42" s="17" t="s">
        <v>162</v>
      </c>
      <c r="L42" s="18" t="str">
        <f t="shared" si="0"/>
        <v>adriano@demarcoveiculos.com.br;rafael@demarcoveiculos.com.br;danth@demarcoveiculos.com.br; gerente.smo@demarcoveiculos.com.br;posvenda@demarcoveiculos.com.br; posvendas.jba@demarcoveiculos.com.br;;cotech.smo@demarcoveiculos.com.br</v>
      </c>
    </row>
    <row r="43" spans="1:12">
      <c r="A43" s="6"/>
      <c r="B43" s="2">
        <v>7600641</v>
      </c>
      <c r="C43" t="s">
        <v>179</v>
      </c>
      <c r="D43" s="3">
        <v>1</v>
      </c>
      <c r="E43" s="3">
        <v>4</v>
      </c>
      <c r="F43" s="17" t="s">
        <v>164</v>
      </c>
      <c r="G43" s="17" t="s">
        <v>159</v>
      </c>
      <c r="H43" s="16" t="s">
        <v>180</v>
      </c>
      <c r="I43" s="16" t="s">
        <v>166</v>
      </c>
      <c r="J43" s="16"/>
      <c r="K43" s="17" t="s">
        <v>175</v>
      </c>
      <c r="L43" s="18" t="str">
        <f t="shared" si="0"/>
        <v>adriano@demarcoveiculos.com.br;rafael@demarcoveiculos.com.br;danth@demarcoveiculos.com.br; gerente.vda@demarcoveiculos.com.br;posvenda@demarcoveiculos.com.br; posvendas.jba@demarcoveiculos.com.br;;cotech.jba@demarcoveiculos.com.br</v>
      </c>
    </row>
    <row r="44" spans="1:12">
      <c r="A44" s="6"/>
      <c r="B44" s="2">
        <v>7600888</v>
      </c>
      <c r="C44" t="s">
        <v>181</v>
      </c>
      <c r="D44" s="3">
        <v>1</v>
      </c>
      <c r="E44" s="3">
        <v>4</v>
      </c>
      <c r="F44" s="17" t="s">
        <v>164</v>
      </c>
      <c r="G44" s="17" t="s">
        <v>159</v>
      </c>
      <c r="H44" s="16" t="s">
        <v>182</v>
      </c>
      <c r="I44" s="16" t="s">
        <v>166</v>
      </c>
      <c r="J44" s="16"/>
      <c r="K44" s="17" t="s">
        <v>169</v>
      </c>
      <c r="L44" s="18" t="str">
        <f t="shared" si="0"/>
        <v>adriano@demarcoveiculos.com.br;rafael@demarcoveiculos.com.br;danth@demarcoveiculos.com.br; gerente.xxe@demarcoveiculos.com.br;posvenda@demarcoveiculos.com.br; posvendas.jba@demarcoveiculos.com.br;;cotech.cco@demarcoveiculos.com.br</v>
      </c>
    </row>
    <row r="45" spans="1:12">
      <c r="A45" s="6"/>
      <c r="B45" s="2">
        <v>7600192</v>
      </c>
      <c r="C45" t="s">
        <v>183</v>
      </c>
      <c r="D45" s="3">
        <v>1</v>
      </c>
      <c r="E45" s="3">
        <v>5</v>
      </c>
      <c r="F45" s="16" t="s">
        <v>184</v>
      </c>
      <c r="G45" s="16" t="s">
        <v>185</v>
      </c>
      <c r="H45" s="16" t="s">
        <v>186</v>
      </c>
      <c r="I45" s="16" t="s">
        <v>187</v>
      </c>
      <c r="J45" s="16" t="s">
        <v>187</v>
      </c>
      <c r="K45" s="16" t="s">
        <v>188</v>
      </c>
      <c r="L45" s="18" t="str">
        <f t="shared" si="0"/>
        <v>vilson.caldas@drsul.com.br; giusepe.scapin@drsulveiculos.com.br;rafael.santarem@drsulveiculos.com.br;adriane.santarem@drsulveiculos.com.br;;pedrita.flores@drsul.com.br; vilson.caldas@drsul.com.br;jorge.castro@drsulveiculos.com.br;jorge.castro@drsulveiculos.com.br;ubirata.azevedo@drsul.com.br; matheus.ribeiro@drsul.com.br</v>
      </c>
    </row>
    <row r="46" spans="1:12">
      <c r="A46" s="6"/>
      <c r="B46" s="2">
        <v>7600692</v>
      </c>
      <c r="C46" t="s">
        <v>189</v>
      </c>
      <c r="D46" s="3">
        <v>1</v>
      </c>
      <c r="E46" s="3">
        <v>5</v>
      </c>
      <c r="F46" s="16" t="s">
        <v>184</v>
      </c>
      <c r="G46" s="16" t="s">
        <v>185</v>
      </c>
      <c r="H46" s="16" t="s">
        <v>190</v>
      </c>
      <c r="I46" s="16" t="s">
        <v>191</v>
      </c>
      <c r="J46" s="16" t="s">
        <v>187</v>
      </c>
      <c r="K46" s="16" t="s">
        <v>188</v>
      </c>
      <c r="L46" s="18" t="str">
        <f t="shared" si="0"/>
        <v>vilson.caldas@drsul.com.br; giusepe.scapin@drsulveiculos.com.br;rafael.santarem@drsulveiculos.com.br;adriane.santarem@drsulveiculos.com.br;;alexandre.oliveira@drsul.com.br; vilson.caldas@drsul.com.br;patricia.selister@drsul.com.br;jorge.castro@drsulveiculos.com.br;ubirata.azevedo@drsul.com.br; matheus.ribeiro@drsul.com.br</v>
      </c>
    </row>
    <row r="47" spans="1:12">
      <c r="A47" s="6"/>
      <c r="B47" s="2">
        <v>7600762</v>
      </c>
      <c r="C47" t="s">
        <v>192</v>
      </c>
      <c r="D47" s="3">
        <v>1</v>
      </c>
      <c r="E47" s="3">
        <v>5</v>
      </c>
      <c r="F47" s="16" t="s">
        <v>184</v>
      </c>
      <c r="G47" s="16" t="s">
        <v>185</v>
      </c>
      <c r="H47" s="16" t="s">
        <v>193</v>
      </c>
      <c r="I47" s="16" t="s">
        <v>194</v>
      </c>
      <c r="J47" s="16" t="s">
        <v>187</v>
      </c>
      <c r="K47" s="16" t="s">
        <v>188</v>
      </c>
      <c r="L47" s="18" t="str">
        <f t="shared" si="0"/>
        <v>vilson.caldas@drsul.com.br; giusepe.scapin@drsulveiculos.com.br;rafael.santarem@drsulveiculos.com.br;adriane.santarem@drsulveiculos.com.br;;marcilio.junior@drsul.com.br; vilson.caldas@drsul.com.br;mauricio.araujo@drsul.com.br;jorge.castro@drsulveiculos.com.br;ubirata.azevedo@drsul.com.br; matheus.ribeiro@drsul.com.br</v>
      </c>
    </row>
    <row r="48" spans="1:12">
      <c r="A48" s="6"/>
      <c r="B48" s="2">
        <v>7600109</v>
      </c>
      <c r="C48" t="s">
        <v>195</v>
      </c>
      <c r="D48" s="3">
        <v>1</v>
      </c>
      <c r="E48" s="3">
        <v>5</v>
      </c>
      <c r="F48" s="16" t="s">
        <v>184</v>
      </c>
      <c r="G48" s="16" t="s">
        <v>185</v>
      </c>
      <c r="H48" s="16" t="s">
        <v>196</v>
      </c>
      <c r="I48" s="16" t="s">
        <v>191</v>
      </c>
      <c r="J48" s="16" t="s">
        <v>187</v>
      </c>
      <c r="K48" s="16" t="s">
        <v>188</v>
      </c>
      <c r="L48" s="18" t="str">
        <f t="shared" si="0"/>
        <v>vilson.caldas@drsul.com.br; giusepe.scapin@drsulveiculos.com.br;rafael.santarem@drsulveiculos.com.br;adriane.santarem@drsulveiculos.com.br;;cristiane.costa@drsul.com.br; vilson.caldas@drsul.com.br;patricia.selister@drsul.com.br;jorge.castro@drsulveiculos.com.br;ubirata.azevedo@drsul.com.br; matheus.ribeiro@drsul.com.br</v>
      </c>
    </row>
    <row r="49" spans="1:12">
      <c r="A49" s="6"/>
      <c r="B49" s="2">
        <v>7601198</v>
      </c>
      <c r="C49" t="s">
        <v>197</v>
      </c>
      <c r="D49" s="3">
        <v>1</v>
      </c>
      <c r="E49" s="3">
        <v>5</v>
      </c>
      <c r="F49" s="16" t="s">
        <v>184</v>
      </c>
      <c r="G49" s="16" t="s">
        <v>185</v>
      </c>
      <c r="H49" s="16" t="s">
        <v>198</v>
      </c>
      <c r="I49" s="16" t="s">
        <v>199</v>
      </c>
      <c r="J49" s="16" t="s">
        <v>187</v>
      </c>
      <c r="K49" s="16" t="s">
        <v>188</v>
      </c>
      <c r="L49" s="18" t="str">
        <f t="shared" si="0"/>
        <v>vilson.caldas@drsul.com.br; giusepe.scapin@drsulveiculos.com.br;rafael.santarem@drsulveiculos.com.br;adriane.santarem@drsulveiculos.com.br;;rogerio.boeira@drsul.com.br; vilson.caldas@drsul.com.br;horacilino.viganigo@drsul.com.br; edmilson.pereira@drsul.com.br;jorge.castro@drsulveiculos.com.br;ubirata.azevedo@drsul.com.br; matheus.ribeiro@drsul.com.br</v>
      </c>
    </row>
    <row r="50" spans="1:12">
      <c r="A50" s="6"/>
      <c r="B50" s="2">
        <v>7600871</v>
      </c>
      <c r="C50" t="s">
        <v>200</v>
      </c>
      <c r="D50" s="3">
        <v>1</v>
      </c>
      <c r="E50" s="3">
        <v>5</v>
      </c>
      <c r="F50" s="16" t="s">
        <v>184</v>
      </c>
      <c r="G50" s="16" t="s">
        <v>185</v>
      </c>
      <c r="H50" s="16" t="s">
        <v>201</v>
      </c>
      <c r="I50" s="16" t="s">
        <v>202</v>
      </c>
      <c r="J50" s="16" t="s">
        <v>187</v>
      </c>
      <c r="K50" s="16" t="s">
        <v>188</v>
      </c>
      <c r="L50" s="18" t="str">
        <f t="shared" si="0"/>
        <v>vilson.caldas@drsul.com.br; giusepe.scapin@drsulveiculos.com.br;rafael.santarem@drsulveiculos.com.br;adriane.santarem@drsulveiculos.com.br;;lorisete.freitas@drsul.com.br; vilson.caldas@drsul.com.br;eber.vier@drsulveiculos.com.br;jorge.castro@drsulveiculos.com.br;ubirata.azevedo@drsul.com.br; matheus.ribeiro@drsul.com.br</v>
      </c>
    </row>
    <row r="51" spans="1:12">
      <c r="A51" s="6"/>
      <c r="B51" s="2">
        <v>7600963</v>
      </c>
      <c r="C51" t="s">
        <v>203</v>
      </c>
      <c r="D51" s="3">
        <v>1</v>
      </c>
      <c r="E51" s="3">
        <v>5</v>
      </c>
      <c r="F51" s="16" t="s">
        <v>184</v>
      </c>
      <c r="G51" s="16" t="s">
        <v>185</v>
      </c>
      <c r="H51" s="16" t="s">
        <v>193</v>
      </c>
      <c r="I51" s="16" t="s">
        <v>194</v>
      </c>
      <c r="J51" s="16" t="s">
        <v>187</v>
      </c>
      <c r="K51" s="16" t="s">
        <v>188</v>
      </c>
      <c r="L51" s="18" t="str">
        <f t="shared" si="0"/>
        <v>vilson.caldas@drsul.com.br; giusepe.scapin@drsulveiculos.com.br;rafael.santarem@drsulveiculos.com.br;adriane.santarem@drsulveiculos.com.br;;marcilio.junior@drsul.com.br; vilson.caldas@drsul.com.br;mauricio.araujo@drsul.com.br;jorge.castro@drsulveiculos.com.br;ubirata.azevedo@drsul.com.br; matheus.ribeiro@drsul.com.br</v>
      </c>
    </row>
    <row r="52" spans="1:12">
      <c r="A52" s="6"/>
      <c r="B52" s="2">
        <v>7600808</v>
      </c>
      <c r="C52" t="s">
        <v>204</v>
      </c>
      <c r="D52" s="3">
        <v>1</v>
      </c>
      <c r="E52" s="3">
        <v>5</v>
      </c>
      <c r="F52" s="16" t="s">
        <v>184</v>
      </c>
      <c r="G52" s="16" t="s">
        <v>185</v>
      </c>
      <c r="H52" s="16" t="s">
        <v>205</v>
      </c>
      <c r="I52" s="16" t="s">
        <v>202</v>
      </c>
      <c r="J52" s="16" t="s">
        <v>187</v>
      </c>
      <c r="K52" s="16" t="s">
        <v>188</v>
      </c>
      <c r="L52" s="18" t="str">
        <f t="shared" si="0"/>
        <v>vilson.caldas@drsul.com.br; giusepe.scapin@drsulveiculos.com.br;rafael.santarem@drsulveiculos.com.br;adriane.santarem@drsulveiculos.com.br;;rodrigo.muller@drsul.com.br; vilson.caldas@drsul.com.br;eber.vier@drsulveiculos.com.br;jorge.castro@drsulveiculos.com.br;ubirata.azevedo@drsul.com.br; matheus.ribeiro@drsul.com.br</v>
      </c>
    </row>
    <row r="53" spans="1:12">
      <c r="A53" s="6"/>
      <c r="B53" s="2">
        <v>7600788</v>
      </c>
      <c r="C53" t="s">
        <v>206</v>
      </c>
      <c r="D53" s="3">
        <v>1</v>
      </c>
      <c r="E53" s="3">
        <v>5</v>
      </c>
      <c r="F53" s="16" t="s">
        <v>184</v>
      </c>
      <c r="G53" s="16" t="s">
        <v>185</v>
      </c>
      <c r="H53" s="16" t="s">
        <v>207</v>
      </c>
      <c r="I53" s="16" t="s">
        <v>202</v>
      </c>
      <c r="J53" s="16" t="s">
        <v>187</v>
      </c>
      <c r="K53" s="16" t="s">
        <v>188</v>
      </c>
      <c r="L53" s="18" t="str">
        <f t="shared" si="0"/>
        <v>vilson.caldas@drsul.com.br; giusepe.scapin@drsulveiculos.com.br;rafael.santarem@drsulveiculos.com.br;adriane.santarem@drsulveiculos.com.br;;luiz.pinhatti@drsul.com.br; vilson.caldas@drsul.com.br;eber.vier@drsulveiculos.com.br;jorge.castro@drsulveiculos.com.br;ubirata.azevedo@drsul.com.br; matheus.ribeiro@drsul.com.br</v>
      </c>
    </row>
    <row r="54" spans="1:12">
      <c r="A54" s="6"/>
      <c r="B54" s="2">
        <v>7600993</v>
      </c>
      <c r="C54" t="s">
        <v>208</v>
      </c>
      <c r="D54" s="3">
        <v>1</v>
      </c>
      <c r="E54" s="3">
        <v>5</v>
      </c>
      <c r="F54" s="16" t="s">
        <v>209</v>
      </c>
      <c r="G54" s="16" t="s">
        <v>210</v>
      </c>
      <c r="H54" s="16" t="s">
        <v>211</v>
      </c>
      <c r="I54" s="16" t="s">
        <v>212</v>
      </c>
      <c r="J54" s="16" t="s">
        <v>213</v>
      </c>
      <c r="K54" s="16"/>
      <c r="L54" s="18" t="str">
        <f t="shared" si="0"/>
        <v>marcelo@nissulgala.com ; ernani@nissulgala.com;jose@nissulgala.com;vitor.cesar@nissulgala.com;priscila.vargas@nissulgala.com;adriana.cabreira@nissulgala.com;</v>
      </c>
    </row>
    <row r="55" spans="1:12">
      <c r="A55" s="6"/>
      <c r="B55" s="2">
        <v>7600983</v>
      </c>
      <c r="C55" t="s">
        <v>214</v>
      </c>
      <c r="D55" s="3">
        <v>1</v>
      </c>
      <c r="E55" s="3">
        <v>5</v>
      </c>
      <c r="F55" s="16" t="s">
        <v>209</v>
      </c>
      <c r="G55" s="16" t="s">
        <v>210</v>
      </c>
      <c r="H55" s="16" t="s">
        <v>215</v>
      </c>
      <c r="I55" s="16" t="s">
        <v>212</v>
      </c>
      <c r="J55" s="16" t="s">
        <v>213</v>
      </c>
      <c r="K55" s="16"/>
      <c r="L55" s="18" t="str">
        <f t="shared" si="0"/>
        <v>marcelo@nissulgala.com ; ernani@nissulgala.com;jose@nissulgala.com;estevao.crestani@nissulgala.com;priscila.vargas@nissulgala.com;adriana.cabreira@nissulgala.com;</v>
      </c>
    </row>
    <row r="56" spans="1:12">
      <c r="A56" s="6"/>
      <c r="B56" s="2">
        <v>7600816</v>
      </c>
      <c r="C56" t="s">
        <v>216</v>
      </c>
      <c r="D56" s="3">
        <v>1</v>
      </c>
      <c r="E56" s="3">
        <v>5</v>
      </c>
      <c r="F56" s="16" t="s">
        <v>209</v>
      </c>
      <c r="G56" s="16" t="s">
        <v>210</v>
      </c>
      <c r="H56" s="16" t="s">
        <v>217</v>
      </c>
      <c r="I56" s="16" t="s">
        <v>212</v>
      </c>
      <c r="J56" s="16" t="s">
        <v>213</v>
      </c>
      <c r="K56" s="16"/>
      <c r="L56" s="18" t="str">
        <f t="shared" si="0"/>
        <v>marcelo@nissulgala.com ; ernani@nissulgala.com;jose@nissulgala.com;joao.marcus@nissulgala.com;priscila.vargas@nissulgala.com;adriana.cabreira@nissulgala.com;</v>
      </c>
    </row>
    <row r="57" spans="1:12">
      <c r="A57" s="6"/>
      <c r="B57" s="2">
        <v>7600442</v>
      </c>
      <c r="C57" t="s">
        <v>218</v>
      </c>
      <c r="D57" s="3">
        <v>1</v>
      </c>
      <c r="E57" s="3">
        <v>5</v>
      </c>
      <c r="F57" s="16" t="s">
        <v>209</v>
      </c>
      <c r="G57" s="16" t="s">
        <v>210</v>
      </c>
      <c r="H57" s="16" t="s">
        <v>219</v>
      </c>
      <c r="I57" s="16" t="s">
        <v>220</v>
      </c>
      <c r="J57" s="16" t="s">
        <v>213</v>
      </c>
      <c r="K57" s="16"/>
      <c r="L57" s="18" t="str">
        <f t="shared" si="0"/>
        <v>marcelo@nissulgala.com ; ernani@nissulgala.com;jose@nissulgala.com;michael.silva@nissulgala.com;alberto.souza@nissulgala.com;adriana.cabreira@nissulgala.com;</v>
      </c>
    </row>
    <row r="58" spans="1:12">
      <c r="A58" s="6"/>
      <c r="B58" s="2">
        <v>7600601</v>
      </c>
      <c r="C58" t="s">
        <v>221</v>
      </c>
      <c r="D58" s="3">
        <v>1</v>
      </c>
      <c r="E58" s="3">
        <v>5</v>
      </c>
      <c r="F58" s="16" t="s">
        <v>209</v>
      </c>
      <c r="G58" s="16" t="s">
        <v>210</v>
      </c>
      <c r="H58" s="16" t="s">
        <v>222</v>
      </c>
      <c r="I58" s="16" t="s">
        <v>223</v>
      </c>
      <c r="J58" s="16" t="s">
        <v>213</v>
      </c>
      <c r="K58" s="16"/>
      <c r="L58" s="18" t="str">
        <f t="shared" si="0"/>
        <v>marcelo@nissulgala.com ; ernani@nissulgala.com;jose@nissulgala.com;leticia.carvalho@nissulgala.com;daniel.moura@nissulgala.com;adriana.cabreira@nissulgala.com;</v>
      </c>
    </row>
    <row r="59" spans="1:12">
      <c r="A59" s="6"/>
      <c r="B59" s="2">
        <v>7600154</v>
      </c>
      <c r="C59" t="s">
        <v>224</v>
      </c>
      <c r="D59" s="3">
        <v>1</v>
      </c>
      <c r="E59" s="3">
        <v>6</v>
      </c>
      <c r="F59" s="4" t="s">
        <v>225</v>
      </c>
      <c r="G59" s="4" t="s">
        <v>226</v>
      </c>
      <c r="H59" s="1" t="s">
        <v>227</v>
      </c>
      <c r="I59" s="16" t="s">
        <v>228</v>
      </c>
      <c r="J59" s="1" t="s">
        <v>229</v>
      </c>
      <c r="K59" s="17" t="s">
        <v>230</v>
      </c>
      <c r="L59" s="18" t="str">
        <f t="shared" si="0"/>
        <v>fabiano.ferrari@grupoiesa.com.br;ari.campanhol@grupoiesa.com.br; luis.dias@grupoiesa.com.br;thiago@grupoiesa.com.br;flavia.simphronio@grupoiesa.com.br;bethielle.molina@grupoiesa.com.br;cleusa.rosa@grupoiesa.com.br; brenda.taborda@grupoiesa.com.br;wilson.costa@grupoiesa.com.br</v>
      </c>
    </row>
    <row r="60" spans="1:12">
      <c r="A60" s="6"/>
      <c r="B60" s="2">
        <v>7600860</v>
      </c>
      <c r="C60" t="s">
        <v>231</v>
      </c>
      <c r="D60" s="3">
        <v>1</v>
      </c>
      <c r="E60" s="3">
        <v>6</v>
      </c>
      <c r="F60" s="4" t="s">
        <v>225</v>
      </c>
      <c r="G60" s="4" t="s">
        <v>226</v>
      </c>
      <c r="H60" s="1" t="s">
        <v>232</v>
      </c>
      <c r="I60" s="16" t="s">
        <v>233</v>
      </c>
      <c r="J60" s="1" t="s">
        <v>229</v>
      </c>
      <c r="K60" s="17" t="s">
        <v>234</v>
      </c>
      <c r="L60" s="18" t="str">
        <f t="shared" si="0"/>
        <v xml:space="preserve">fabiano.ferrari@grupoiesa.com.br;ari.campanhol@grupoiesa.com.br; luis.dias@grupoiesa.com.br;thiago@grupoiesa.com.br;peterson.souza@grupoiesa.com.br;robson.cardoso@grupoiesa.com.br;cleusa.rosa@grupoiesa.com.br; brenda.taborda@grupoiesa.com.br;carlos.tasso@grupoiesa.com.br; </v>
      </c>
    </row>
    <row r="61" spans="1:12">
      <c r="A61" s="6"/>
      <c r="B61" s="2">
        <v>7600887</v>
      </c>
      <c r="C61" t="s">
        <v>235</v>
      </c>
      <c r="D61" s="3">
        <v>1</v>
      </c>
      <c r="E61" s="3">
        <v>6</v>
      </c>
      <c r="F61" s="4" t="s">
        <v>225</v>
      </c>
      <c r="G61" s="4" t="s">
        <v>226</v>
      </c>
      <c r="H61" s="1" t="s">
        <v>230</v>
      </c>
      <c r="I61" s="16"/>
      <c r="J61" s="1" t="s">
        <v>229</v>
      </c>
      <c r="K61" s="17" t="s">
        <v>236</v>
      </c>
      <c r="L61" s="18" t="str">
        <f t="shared" si="0"/>
        <v xml:space="preserve">fabiano.ferrari@grupoiesa.com.br;ari.campanhol@grupoiesa.com.br; luis.dias@grupoiesa.com.br;thiago@grupoiesa.com.br;wilson.costa@grupoiesa.com.br;;cleusa.rosa@grupoiesa.com.br; brenda.taborda@grupoiesa.com.br;saymon.avila@grupoiesa.com.br; </v>
      </c>
    </row>
    <row r="62" spans="1:12">
      <c r="A62" s="6"/>
      <c r="B62" s="2">
        <v>7601199</v>
      </c>
      <c r="C62" t="s">
        <v>237</v>
      </c>
      <c r="D62" s="3">
        <v>1</v>
      </c>
      <c r="E62" s="3">
        <v>6</v>
      </c>
      <c r="F62" s="4" t="s">
        <v>225</v>
      </c>
      <c r="G62" s="4" t="s">
        <v>226</v>
      </c>
      <c r="H62" s="1" t="s">
        <v>238</v>
      </c>
      <c r="I62" s="16" t="s">
        <v>239</v>
      </c>
      <c r="J62" s="1" t="s">
        <v>229</v>
      </c>
      <c r="K62" s="17"/>
      <c r="L62" s="18" t="str">
        <f t="shared" si="0"/>
        <v>fabiano.ferrari@grupoiesa.com.br;ari.campanhol@grupoiesa.com.br; luis.dias@grupoiesa.com.br;thiago@grupoiesa.com.br;pedro.santos@grupoiesa.com.br;jonatas.santos@grupoiesa.com.br;cleusa.rosa@grupoiesa.com.br; brenda.taborda@grupoiesa.com.br;</v>
      </c>
    </row>
    <row r="63" spans="1:12">
      <c r="A63" s="6"/>
      <c r="B63" s="2">
        <v>7600602</v>
      </c>
      <c r="C63" t="s">
        <v>240</v>
      </c>
      <c r="D63" s="3">
        <v>1</v>
      </c>
      <c r="E63" s="3">
        <v>6</v>
      </c>
      <c r="F63" s="4" t="s">
        <v>225</v>
      </c>
      <c r="G63" s="4" t="s">
        <v>226</v>
      </c>
      <c r="H63" s="1" t="s">
        <v>241</v>
      </c>
      <c r="I63" s="16" t="s">
        <v>242</v>
      </c>
      <c r="J63" s="1" t="s">
        <v>229</v>
      </c>
      <c r="K63" s="17" t="s">
        <v>241</v>
      </c>
      <c r="L63" s="18" t="str">
        <f t="shared" si="0"/>
        <v>fabiano.ferrari@grupoiesa.com.br;ari.campanhol@grupoiesa.com.br; luis.dias@grupoiesa.com.br;thiago@grupoiesa.com.br;edson.junior@grupoiesa.com.br;ana.amaral@grupoiesa.com.br;cleusa.rosa@grupoiesa.com.br; brenda.taborda@grupoiesa.com.br;edson.junior@grupoiesa.com.br</v>
      </c>
    </row>
    <row r="64" spans="1:12">
      <c r="A64" s="6"/>
      <c r="B64" s="2">
        <v>7600854</v>
      </c>
      <c r="C64" t="s">
        <v>243</v>
      </c>
      <c r="D64" s="3">
        <v>1</v>
      </c>
      <c r="E64" s="3">
        <v>6</v>
      </c>
      <c r="F64" s="4" t="s">
        <v>225</v>
      </c>
      <c r="G64" s="4" t="s">
        <v>226</v>
      </c>
      <c r="H64" s="1" t="s">
        <v>244</v>
      </c>
      <c r="I64" s="16"/>
      <c r="J64" s="1" t="s">
        <v>229</v>
      </c>
      <c r="K64" s="17" t="s">
        <v>245</v>
      </c>
      <c r="L64" s="18" t="str">
        <f t="shared" si="0"/>
        <v>fabiano.ferrari@grupoiesa.com.br;ari.campanhol@grupoiesa.com.br; luis.dias@grupoiesa.com.br;thiago@grupoiesa.com.br;alex.martins@grupoiesa.com.br;;cleusa.rosa@grupoiesa.com.br; brenda.taborda@grupoiesa.com.br;carlos.tasso@grupoiesa.com.br; jonatas.santos@grupoiesa.com.br</v>
      </c>
    </row>
    <row r="65" spans="1:12">
      <c r="A65" s="6"/>
      <c r="B65" s="2">
        <v>7601197</v>
      </c>
      <c r="C65" t="s">
        <v>246</v>
      </c>
      <c r="D65" s="3">
        <v>1</v>
      </c>
      <c r="E65" s="3">
        <v>6</v>
      </c>
      <c r="F65" s="4" t="s">
        <v>225</v>
      </c>
      <c r="G65" s="4" t="s">
        <v>226</v>
      </c>
      <c r="H65" s="1" t="s">
        <v>247</v>
      </c>
      <c r="I65" s="16" t="s">
        <v>248</v>
      </c>
      <c r="J65" s="1" t="s">
        <v>229</v>
      </c>
      <c r="K65" s="17"/>
      <c r="L65" s="18" t="str">
        <f t="shared" si="0"/>
        <v>fabiano.ferrari@grupoiesa.com.br;ari.campanhol@grupoiesa.com.br; luis.dias@grupoiesa.com.br;thiago@grupoiesa.com.br;ethiene.melo@grupoiesa.com.br;jonatas.santos@grupoiesa.com.br; bethielle.molina@grupoiesa.com.br;cleusa.rosa@grupoiesa.com.br; brenda.taborda@grupoiesa.com.br;</v>
      </c>
    </row>
    <row r="66" spans="1:12">
      <c r="A66" s="6"/>
      <c r="B66" s="2">
        <v>7600012</v>
      </c>
      <c r="C66" t="s">
        <v>249</v>
      </c>
      <c r="D66" s="3">
        <v>1</v>
      </c>
      <c r="E66" s="3">
        <v>6</v>
      </c>
      <c r="F66" s="4" t="s">
        <v>225</v>
      </c>
      <c r="G66" s="4" t="s">
        <v>226</v>
      </c>
      <c r="H66" s="1" t="s">
        <v>250</v>
      </c>
      <c r="I66" s="16" t="s">
        <v>251</v>
      </c>
      <c r="J66" s="1" t="s">
        <v>229</v>
      </c>
      <c r="K66" s="17" t="s">
        <v>239</v>
      </c>
      <c r="L66" s="18" t="str">
        <f t="shared" si="0"/>
        <v>fabiano.ferrari@grupoiesa.com.br;ari.campanhol@grupoiesa.com.br; luis.dias@grupoiesa.com.br;thiago@grupoiesa.com.br;saymon.avila@grupoiesa.com.br;thiago.coutinho@grupoiesa.com.br;cleusa.rosa@grupoiesa.com.br; brenda.taborda@grupoiesa.com.br;jonatas.santos@grupoiesa.com.br</v>
      </c>
    </row>
    <row r="67" spans="1:12">
      <c r="A67" s="6"/>
      <c r="B67" s="2">
        <v>7600373</v>
      </c>
      <c r="C67" t="s">
        <v>252</v>
      </c>
      <c r="D67" s="3">
        <v>1</v>
      </c>
      <c r="E67" s="3">
        <v>6</v>
      </c>
      <c r="F67" s="19" t="s">
        <v>253</v>
      </c>
      <c r="G67" s="17" t="s">
        <v>254</v>
      </c>
      <c r="H67" s="16"/>
      <c r="I67" s="16"/>
      <c r="J67" s="16" t="s">
        <v>255</v>
      </c>
      <c r="K67" s="16" t="s">
        <v>256</v>
      </c>
      <c r="L67" s="18" t="str">
        <f t="shared" si="0"/>
        <v>felipe@itaimbe.com.br; patricgarcia@itaimbe.com.br; lucasdambros@itaimbe.com.br;;daniel@itaimbe.com.br;;;;diegomoura@itaimbe.com.br;rodrigodarosa@itaimbe.com.br;janderli.bock@itaimbe.com.br;  juarez.silva@itaimbe.com.br;gustavooliveira@itaimbe.com.br;;marciosilva@itaimbe.com.br;andregrapiglia@itaimbe.com.br;gustavooliveira@itaimbe.com.br;;</v>
      </c>
    </row>
    <row r="68" spans="1:12">
      <c r="A68" s="6"/>
      <c r="B68" s="2">
        <v>7600701</v>
      </c>
      <c r="C68" t="s">
        <v>257</v>
      </c>
      <c r="D68" s="3">
        <v>1</v>
      </c>
      <c r="E68" s="3">
        <v>6</v>
      </c>
      <c r="F68" s="19" t="s">
        <v>253</v>
      </c>
      <c r="G68" s="17" t="s">
        <v>254</v>
      </c>
      <c r="H68" s="16"/>
      <c r="I68" s="16" t="s">
        <v>258</v>
      </c>
      <c r="J68" s="16" t="s">
        <v>255</v>
      </c>
      <c r="K68" s="16" t="s">
        <v>259</v>
      </c>
      <c r="L68" s="18" t="str">
        <f t="shared" si="0"/>
        <v>felipe@itaimbe.com.br; patricgarcia@itaimbe.com.br; lucasdambros@itaimbe.com.br;;daniel@itaimbe.com.br;;;marciosilva@itaimbe.com.br;diegomoura@itaimbe.com.br;rodrigodarosa@itaimbe.com.br;janderli.bock@itaimbe.com.br;  juarez.silva@itaimbe.com.br;gustavooliveira@itaimbe.com.br;;marciosilva@itaimbe.com.br;andregrapiglia@itaimbe.com.br;gustavooliveira@itaimbe.com.br;;;</v>
      </c>
    </row>
    <row r="69" spans="1:12">
      <c r="A69" s="6"/>
      <c r="B69" s="2">
        <v>7600756</v>
      </c>
      <c r="C69" t="s">
        <v>260</v>
      </c>
      <c r="D69" s="3">
        <v>1</v>
      </c>
      <c r="E69" s="3">
        <v>6</v>
      </c>
      <c r="F69" s="19" t="s">
        <v>253</v>
      </c>
      <c r="G69" s="17" t="s">
        <v>254</v>
      </c>
      <c r="H69" s="16" t="s">
        <v>261</v>
      </c>
      <c r="I69" s="16" t="s">
        <v>262</v>
      </c>
      <c r="J69" s="16" t="s">
        <v>255</v>
      </c>
      <c r="K69" s="16" t="s">
        <v>263</v>
      </c>
      <c r="L69" s="18" t="str">
        <f t="shared" ref="L69:L132" si="1">F69&amp;";"&amp;G69&amp;";"&amp;H69&amp;";"&amp;I69&amp;";"&amp;J69&amp;";"&amp;K69</f>
        <v>felipe@itaimbe.com.br; patricgarcia@itaimbe.com.br; lucasdambros@itaimbe.com.br;;daniel@itaimbe.com.br;;; ramseslemos@itaimbe.com.br;;andregrapiglia@itaimbe.com.br;diegomoura@itaimbe.com.br;rodrigodarosa@itaimbe.com.br;janderli.bock@itaimbe.com.br;  juarez.silva@itaimbe.com.br;gustavooliveira@itaimbe.com.br;;marciosilva@itaimbe.com.br;andregrapiglia@itaimbe.com.br;gustavooliveira@itaimbe.com.br;;;ramseslemos@itaimbe.com.br</v>
      </c>
    </row>
    <row r="70" spans="1:12">
      <c r="A70" s="6"/>
      <c r="B70" s="2">
        <v>7600023</v>
      </c>
      <c r="C70" t="s">
        <v>264</v>
      </c>
      <c r="D70" s="3">
        <v>1</v>
      </c>
      <c r="E70" s="3">
        <v>6</v>
      </c>
      <c r="F70" s="19" t="s">
        <v>253</v>
      </c>
      <c r="G70" s="17" t="s">
        <v>254</v>
      </c>
      <c r="H70" s="16"/>
      <c r="I70" s="16" t="s">
        <v>265</v>
      </c>
      <c r="J70" s="16" t="s">
        <v>255</v>
      </c>
      <c r="K70" s="16" t="s">
        <v>256</v>
      </c>
      <c r="L70" s="18" t="str">
        <f t="shared" si="1"/>
        <v>felipe@itaimbe.com.br; patricgarcia@itaimbe.com.br; lucasdambros@itaimbe.com.br;;daniel@itaimbe.com.br;;;lucasdambros@itaimbe.com.br;diegomoura@itaimbe.com.br;rodrigodarosa@itaimbe.com.br;janderli.bock@itaimbe.com.br;  juarez.silva@itaimbe.com.br;gustavooliveira@itaimbe.com.br;;marciosilva@itaimbe.com.br;andregrapiglia@itaimbe.com.br;gustavooliveira@itaimbe.com.br;;</v>
      </c>
    </row>
    <row r="71" spans="1:12">
      <c r="A71" s="6"/>
      <c r="B71" s="2">
        <v>7600271</v>
      </c>
      <c r="C71" t="s">
        <v>266</v>
      </c>
      <c r="D71" s="3">
        <v>1</v>
      </c>
      <c r="E71" s="3">
        <v>6</v>
      </c>
      <c r="F71" s="19" t="s">
        <v>253</v>
      </c>
      <c r="G71" s="17" t="s">
        <v>254</v>
      </c>
      <c r="H71" s="16"/>
      <c r="I71" s="16" t="s">
        <v>267</v>
      </c>
      <c r="J71" s="16" t="s">
        <v>255</v>
      </c>
      <c r="K71" s="16" t="s">
        <v>256</v>
      </c>
      <c r="L71" s="18" t="str">
        <f t="shared" si="1"/>
        <v>felipe@itaimbe.com.br; patricgarcia@itaimbe.com.br; lucasdambros@itaimbe.com.br;;daniel@itaimbe.com.br;;;gustavooliveira@itaimbe.com.br;diegomoura@itaimbe.com.br;rodrigodarosa@itaimbe.com.br;janderli.bock@itaimbe.com.br;  juarez.silva@itaimbe.com.br;gustavooliveira@itaimbe.com.br;;marciosilva@itaimbe.com.br;andregrapiglia@itaimbe.com.br;gustavooliveira@itaimbe.com.br;;</v>
      </c>
    </row>
    <row r="72" spans="1:12">
      <c r="A72" s="6"/>
      <c r="B72" s="2">
        <v>7600515</v>
      </c>
      <c r="C72" t="s">
        <v>268</v>
      </c>
      <c r="D72" s="3">
        <v>1</v>
      </c>
      <c r="E72" s="3">
        <v>6</v>
      </c>
      <c r="F72" s="4" t="s">
        <v>269</v>
      </c>
      <c r="G72" s="4" t="s">
        <v>270</v>
      </c>
      <c r="H72" s="16" t="s">
        <v>271</v>
      </c>
      <c r="I72" s="16" t="s">
        <v>272</v>
      </c>
      <c r="J72" s="16" t="s">
        <v>273</v>
      </c>
      <c r="K72" s="17" t="s">
        <v>274</v>
      </c>
      <c r="L72" s="18" t="str">
        <f t="shared" si="1"/>
        <v>alessander@vipcarcri.com.br;;didi@vipcarcri.com.br;pereira@vipcarcri.com.br;;zenolla@vipcarcri.com.br;juvenil@vipcarlg.com.br; gerentepv.renault@vipcarar.com.br; mateus@vipcarar.com.br;danusa.qualidade@vipcartb.com.br; qualidade@vipcartb.com.br; qualidade@vipcartb.com.br;; sergio@vipcartb.com.br; jesse@vipcarcri.com.br</v>
      </c>
    </row>
    <row r="73" spans="1:12">
      <c r="A73" s="6"/>
      <c r="B73" s="2">
        <v>7600403</v>
      </c>
      <c r="C73" t="s">
        <v>275</v>
      </c>
      <c r="D73" s="3">
        <v>1</v>
      </c>
      <c r="E73" s="3">
        <v>6</v>
      </c>
      <c r="F73" s="4" t="s">
        <v>269</v>
      </c>
      <c r="G73" s="4" t="s">
        <v>270</v>
      </c>
      <c r="H73" s="16" t="s">
        <v>276</v>
      </c>
      <c r="I73" s="16" t="s">
        <v>277</v>
      </c>
      <c r="J73" s="16" t="s">
        <v>273</v>
      </c>
      <c r="K73" s="17" t="s">
        <v>278</v>
      </c>
      <c r="L73" s="18" t="str">
        <f t="shared" si="1"/>
        <v>alessander@vipcarcri.com.br;;didi@vipcarcri.com.br;pereira@vipcarcri.com.br;;jesse@vipcarcri.com.br; gerentepv.renault@vipcarcri.com.br; ;juvenil@vipcarlg.com.br; gerentepv.renault@vipcarcri.com.br;danusa.qualidade@vipcartb.com.br; qualidade@vipcartb.com.br; qualidade@vipcartb.com.br;DENIS@VIPCARCRI.COM.BR; sergio@vipcartb.com.br; jesse@vipcarcri.com.br</v>
      </c>
    </row>
    <row r="74" spans="1:12">
      <c r="A74" s="6"/>
      <c r="B74" s="2">
        <v>7600470</v>
      </c>
      <c r="C74" t="s">
        <v>279</v>
      </c>
      <c r="D74" s="3">
        <v>1</v>
      </c>
      <c r="E74" s="3">
        <v>6</v>
      </c>
      <c r="F74" s="4" t="s">
        <v>269</v>
      </c>
      <c r="G74" s="4" t="s">
        <v>270</v>
      </c>
      <c r="H74" s="16" t="s">
        <v>280</v>
      </c>
      <c r="I74" s="16" t="s">
        <v>281</v>
      </c>
      <c r="J74" s="16" t="s">
        <v>273</v>
      </c>
      <c r="K74" s="17" t="s">
        <v>282</v>
      </c>
      <c r="L74" s="18" t="str">
        <f t="shared" si="1"/>
        <v>alessander@vipcarcri.com.br;;didi@vipcarcri.com.br;pereira@vipcarcri.com.br;;gerentepv.renault@vipcarlg.com.br;filipe@vipcarlg.com.br;juvenil@vipcarlg.com.br;danusa.qualidade@vipcartb.com.br; qualidade@vipcartb.com.br; qualidade@vipcartb.com.br;oficinapv.renault@vipcarlg.com.br; sergio@vipcartb.com.br; jesse@vipcarcri.com.br</v>
      </c>
    </row>
    <row r="75" spans="1:12">
      <c r="A75" s="6"/>
      <c r="B75" s="2">
        <v>7600405</v>
      </c>
      <c r="C75" t="s">
        <v>283</v>
      </c>
      <c r="D75" s="3">
        <v>1</v>
      </c>
      <c r="E75" s="3">
        <v>6</v>
      </c>
      <c r="F75" s="4" t="s">
        <v>269</v>
      </c>
      <c r="G75" s="4" t="s">
        <v>270</v>
      </c>
      <c r="H75" s="16" t="s">
        <v>284</v>
      </c>
      <c r="I75" s="16" t="s">
        <v>285</v>
      </c>
      <c r="J75" s="16" t="s">
        <v>273</v>
      </c>
      <c r="K75" s="17" t="s">
        <v>286</v>
      </c>
      <c r="L75" s="18" t="str">
        <f t="shared" si="1"/>
        <v>alessander@vipcarcri.com.br;;didi@vipcarcri.com.br;pereira@vipcarcri.com.br;;; fernanda@vipcartb.com.br; gerente.renault@vipcartb.com.br;juvenil@vipcarlg.com.br; ;danusa.qualidade@vipcartb.com.br; qualidade@vipcartb.com.br; qualidade@vipcartb.com.br;OFICINA@VIPCARTB.COM.BR; sergio@vipcartb.com.br; jesse@vipcarcri.com.br</v>
      </c>
    </row>
    <row r="76" spans="1:12">
      <c r="A76" s="6"/>
      <c r="B76" s="2">
        <v>7601234</v>
      </c>
      <c r="C76" s="4" t="s">
        <v>287</v>
      </c>
      <c r="D76" s="3">
        <v>1</v>
      </c>
      <c r="E76" s="3">
        <v>7</v>
      </c>
      <c r="F76" s="17" t="s">
        <v>288</v>
      </c>
      <c r="G76" s="4" t="s">
        <v>289</v>
      </c>
      <c r="H76" s="16" t="s">
        <v>290</v>
      </c>
      <c r="I76" s="16" t="s">
        <v>291</v>
      </c>
      <c r="J76" s="16" t="s">
        <v>292</v>
      </c>
      <c r="K76" s="17" t="s">
        <v>293</v>
      </c>
      <c r="L76" s="18" t="str">
        <f t="shared" si="1"/>
        <v>dago@fancar.com.br;;fabio@grupofancar.com.br; angelica@grupofancar.com.br; nelvio@grupofancar.com.br;;willian@fancar.com.br;kelly.s@fancar.com.br; anderson.bernardo@fancar.com.br; bruno.ror@fancar.com.br;qualidade1@grupofancar.com.br;cotech.ror@fancar.com.br; antonio.toczek@fancar.com.br</v>
      </c>
    </row>
    <row r="77" spans="1:12">
      <c r="A77" s="6"/>
      <c r="B77" s="2">
        <v>7601105</v>
      </c>
      <c r="C77" s="4" t="s">
        <v>294</v>
      </c>
      <c r="D77" s="3">
        <v>1</v>
      </c>
      <c r="E77" s="3">
        <v>7</v>
      </c>
      <c r="F77" s="17" t="s">
        <v>288</v>
      </c>
      <c r="G77" s="4" t="s">
        <v>289</v>
      </c>
      <c r="H77" s="16" t="s">
        <v>290</v>
      </c>
      <c r="I77" s="16" t="s">
        <v>295</v>
      </c>
      <c r="J77" s="16" t="s">
        <v>292</v>
      </c>
      <c r="K77" s="17" t="s">
        <v>296</v>
      </c>
      <c r="L77" s="18" t="str">
        <f t="shared" si="1"/>
        <v>dago@fancar.com.br;;fabio@grupofancar.com.br; angelica@grupofancar.com.br; nelvio@grupofancar.com.br;;willian@fancar.com.br;bruno.ror@fancar.com.br; thiago.marques@fancar.com.br;qualidade1@grupofancar.com.br;cotech.ror@fancar.com.br</v>
      </c>
    </row>
    <row r="78" spans="1:12">
      <c r="A78" s="6"/>
      <c r="B78" s="2">
        <v>7600671</v>
      </c>
      <c r="C78" t="s">
        <v>297</v>
      </c>
      <c r="D78" s="3">
        <v>1</v>
      </c>
      <c r="E78" s="3">
        <v>7</v>
      </c>
      <c r="F78" s="17" t="s">
        <v>298</v>
      </c>
      <c r="H78" s="16" t="s">
        <v>299</v>
      </c>
      <c r="I78" s="16" t="s">
        <v>300</v>
      </c>
      <c r="J78" s="16" t="s">
        <v>301</v>
      </c>
      <c r="K78" s="17" t="s">
        <v>302</v>
      </c>
      <c r="L78" s="18" t="str">
        <f t="shared" si="1"/>
        <v>priscilla@renaultmorel.com.br; claudio@renaultmorel.com.br;;vendas@renaultmorel.com.br;posvendas@renaultmorel.com.br; posvendas@grupovianorte.com.br;qualidade@renaultmorel.com.br;garantia@renaultmorel.com.br; pecas@renaultmorel.com.br; cotech@renaultmorel.com.br</v>
      </c>
    </row>
    <row r="79" spans="1:12">
      <c r="A79" s="6"/>
      <c r="B79" s="2">
        <v>7600258</v>
      </c>
      <c r="C79" t="s">
        <v>303</v>
      </c>
      <c r="D79" s="3">
        <v>1</v>
      </c>
      <c r="E79" s="3">
        <v>7</v>
      </c>
      <c r="F79" s="17" t="s">
        <v>304</v>
      </c>
      <c r="G79" s="4" t="s">
        <v>305</v>
      </c>
      <c r="H79" s="16" t="s">
        <v>306</v>
      </c>
      <c r="I79" s="16" t="s">
        <v>307</v>
      </c>
      <c r="J79" s="16" t="s">
        <v>308</v>
      </c>
      <c r="K79" s="17" t="s">
        <v>309</v>
      </c>
      <c r="L79" s="18" t="str">
        <f t="shared" si="1"/>
        <v>diretoria@openveiculos.com.br;marcos@openveiculos.com.br;gerenciacvel@openveiculos.com.br;posvendas@openveiculos.com.br;qualidade@openveiculos.com.br;gerentegeral@openveiculos.com.br;treinamento@openveiculos.com,br;cotech1@openveiculos.net.br</v>
      </c>
    </row>
    <row r="80" spans="1:12">
      <c r="A80" s="6"/>
      <c r="B80" s="2">
        <v>7600277</v>
      </c>
      <c r="C80" t="s">
        <v>310</v>
      </c>
      <c r="D80" s="3">
        <v>1</v>
      </c>
      <c r="E80" s="3">
        <v>7</v>
      </c>
      <c r="F80" s="19" t="s">
        <v>304</v>
      </c>
      <c r="G80" s="4" t="s">
        <v>305</v>
      </c>
      <c r="H80" s="16" t="s">
        <v>311</v>
      </c>
      <c r="I80" s="16" t="s">
        <v>307</v>
      </c>
      <c r="J80" s="16" t="s">
        <v>308</v>
      </c>
      <c r="K80" s="17" t="s">
        <v>312</v>
      </c>
      <c r="L80" s="18" t="str">
        <f t="shared" si="1"/>
        <v>diretoria@openveiculos.com.br;marcos@openveiculos.com.br;gerentefoz@openveiculos.net.br;posvendas@openveiculos.com.br;qualidade@openveiculos.com.br;gerentegeral@openveiculos.com.br;treinamento@openveiculos.com.br;cotech-foz@openveiculos.net.br</v>
      </c>
    </row>
    <row r="81" spans="1:12">
      <c r="A81" s="6"/>
      <c r="B81" s="2">
        <v>7600263</v>
      </c>
      <c r="C81" t="s">
        <v>313</v>
      </c>
      <c r="D81" s="3">
        <v>1</v>
      </c>
      <c r="E81" s="3">
        <v>7</v>
      </c>
      <c r="F81" s="19" t="s">
        <v>304</v>
      </c>
      <c r="G81" s="4" t="s">
        <v>305</v>
      </c>
      <c r="H81" s="16" t="s">
        <v>314</v>
      </c>
      <c r="I81" s="16" t="s">
        <v>307</v>
      </c>
      <c r="J81" s="16" t="s">
        <v>308</v>
      </c>
      <c r="K81" s="17" t="s">
        <v>315</v>
      </c>
      <c r="L81" s="18" t="str">
        <f t="shared" si="1"/>
        <v>diretoria@openveiculos.com.br;marcos@openveiculos.com.br;gerenciatoledo@openveiculos.com.br;posvendas@openveiculos.com.br;qualidade@openveiculos.com.br;gerentegeral@openveiculos.com.br;treinamento@openveiculos.com,br;cotech-too@openveiculos.net.br</v>
      </c>
    </row>
    <row r="82" spans="1:12">
      <c r="A82" s="6"/>
      <c r="B82" s="2">
        <v>7601165</v>
      </c>
      <c r="C82" t="s">
        <v>316</v>
      </c>
      <c r="D82" s="3">
        <v>2</v>
      </c>
      <c r="E82" s="3">
        <v>1</v>
      </c>
      <c r="F82" s="4" t="s">
        <v>317</v>
      </c>
      <c r="G82" s="17" t="s">
        <v>318</v>
      </c>
      <c r="H82" s="1" t="s">
        <v>319</v>
      </c>
      <c r="I82" s="16" t="s">
        <v>320</v>
      </c>
      <c r="J82" s="16" t="s">
        <v>321</v>
      </c>
      <c r="K82" s="17"/>
      <c r="L82" s="18" t="str">
        <f t="shared" si="1"/>
        <v>cristiane.curci@grupoamazonas.com.br; luis.lima@grupoamazonas.com.br;victor@grupoamazonas.com.br; wladimir@grupoamazonas.com.br ;suellen.vieira@amazonasfrance.com.br ;carlos.silvano@amazonasfrance.com.br ;marcela.rodrigues@grupoamazonas.com.br; felipe.paladini@amazonasfrance.com.br ;</v>
      </c>
    </row>
    <row r="83" spans="1:12">
      <c r="A83" s="6"/>
      <c r="B83" s="2">
        <v>7601062</v>
      </c>
      <c r="C83" t="s">
        <v>322</v>
      </c>
      <c r="D83" s="3">
        <v>2</v>
      </c>
      <c r="E83" s="3">
        <v>1</v>
      </c>
      <c r="F83" s="4" t="s">
        <v>317</v>
      </c>
      <c r="G83" s="17" t="s">
        <v>318</v>
      </c>
      <c r="H83" s="16" t="s">
        <v>323</v>
      </c>
      <c r="I83" s="16" t="s">
        <v>324</v>
      </c>
      <c r="J83" s="16" t="s">
        <v>321</v>
      </c>
      <c r="K83" s="17"/>
      <c r="L83" s="18" t="str">
        <f t="shared" si="1"/>
        <v>cristiane.curci@grupoamazonas.com.br; luis.lima@grupoamazonas.com.br;victor@grupoamazonas.com.br; wladimir@grupoamazonas.com.br ;mara.goncalves@amazonasfrance.com.br  ;rene.silva@amazonasfrance.com.br ;marcela.rodrigues@grupoamazonas.com.br; felipe.paladini@amazonasfrance.com.br ;</v>
      </c>
    </row>
    <row r="84" spans="1:12">
      <c r="A84" s="6"/>
      <c r="B84" s="2">
        <v>7600449</v>
      </c>
      <c r="C84" t="s">
        <v>325</v>
      </c>
      <c r="D84" s="3">
        <v>2</v>
      </c>
      <c r="E84" s="3">
        <v>1</v>
      </c>
      <c r="F84" s="17" t="s">
        <v>326</v>
      </c>
      <c r="G84" s="4" t="s">
        <v>327</v>
      </c>
      <c r="H84" s="16" t="s">
        <v>328</v>
      </c>
      <c r="I84" s="16" t="s">
        <v>328</v>
      </c>
      <c r="J84" s="1" t="s">
        <v>329</v>
      </c>
      <c r="K84" s="17" t="s">
        <v>330</v>
      </c>
      <c r="L84" s="18" t="str">
        <f t="shared" si="1"/>
        <v>diretoria.admfinanceiro@grupoandreta.com.br;;jr@grupoandreta.com.br;;geroficina.andretaamericana@grupoandreta.com.br;geroficina.andretaamericana@grupoandreta.com.br;liderkaizen.mercantilandreta@grupoandreta.com.br;cotech.andretaamericana@grupoandreta.com.br; sac@grupoandreta.com.br</v>
      </c>
    </row>
    <row r="85" spans="1:12">
      <c r="A85" s="6"/>
      <c r="B85" s="2">
        <v>7601236</v>
      </c>
      <c r="C85" s="4" t="s">
        <v>331</v>
      </c>
      <c r="D85" s="3">
        <v>2</v>
      </c>
      <c r="E85" s="3">
        <v>1</v>
      </c>
      <c r="F85" s="17" t="s">
        <v>326</v>
      </c>
      <c r="G85" s="4" t="s">
        <v>327</v>
      </c>
      <c r="H85" s="16" t="s">
        <v>332</v>
      </c>
      <c r="I85" t="s">
        <v>333</v>
      </c>
      <c r="J85" s="1" t="s">
        <v>329</v>
      </c>
      <c r="K85" s="17" t="s">
        <v>334</v>
      </c>
      <c r="L85" s="18" t="str">
        <f t="shared" si="1"/>
        <v>diretoria.admfinanceiro@grupoandreta.com.br;;jr@grupoandreta.com.br;;gergeral.mercantilatibaia@grupoandreta.com.br;geroficina.mercantilatibaia@grupoandreta.com.br;liderkaizen.mercantilandreta@grupoandreta.com.br;sac@grupoandreta.com.br</v>
      </c>
    </row>
    <row r="86" spans="1:12">
      <c r="A86" s="6"/>
      <c r="B86" s="2">
        <v>7601235</v>
      </c>
      <c r="C86" s="4" t="s">
        <v>335</v>
      </c>
      <c r="D86" s="3">
        <v>2</v>
      </c>
      <c r="E86" s="3">
        <v>1</v>
      </c>
      <c r="F86" s="17" t="s">
        <v>326</v>
      </c>
      <c r="G86" s="4" t="s">
        <v>327</v>
      </c>
      <c r="H86" s="16" t="s">
        <v>336</v>
      </c>
      <c r="I86" t="s">
        <v>337</v>
      </c>
      <c r="J86" s="1" t="s">
        <v>329</v>
      </c>
      <c r="K86" s="17" t="s">
        <v>338</v>
      </c>
      <c r="L86" s="18" t="str">
        <f t="shared" si="1"/>
        <v>diretoria.admfinanceiro@grupoandreta.com.br;;jr@grupoandreta.com.br;;gergeral.mercantilbraganca@grupoandreta.com.br;geroficina.mercantilbraganca@grupoandreta.com.br;liderkaizen.mercantilandreta@grupoandreta.com.br;sac@grupoandreta.com.br; geroficina.mercantilbraganca@grupoandreta.com.br</v>
      </c>
    </row>
    <row r="87" spans="1:12">
      <c r="A87" s="6"/>
      <c r="B87" s="2">
        <v>7601112</v>
      </c>
      <c r="C87" t="s">
        <v>339</v>
      </c>
      <c r="D87" s="3">
        <v>2</v>
      </c>
      <c r="E87" s="3">
        <v>1</v>
      </c>
      <c r="F87" s="17" t="s">
        <v>326</v>
      </c>
      <c r="G87" s="4" t="s">
        <v>327</v>
      </c>
      <c r="H87" s="16" t="s">
        <v>340</v>
      </c>
      <c r="I87" s="16" t="s">
        <v>340</v>
      </c>
      <c r="J87" s="1" t="s">
        <v>329</v>
      </c>
      <c r="K87" s="17" t="s">
        <v>341</v>
      </c>
      <c r="L87" s="18" t="str">
        <f t="shared" si="1"/>
        <v>diretoria.admfinanceiro@grupoandreta.com.br;;jr@grupoandreta.com.br;;geroficina.mercantilcampinas@grupoandreta.com.br;geroficina.mercantilcampinas@grupoandreta.com.br;liderkaizen.mercantilandreta@grupoandreta.com.br;geroficina.mercantilcampinas@grupoandreta.com.br; sac@grupoandreta.com.br</v>
      </c>
    </row>
    <row r="88" spans="1:12">
      <c r="A88" s="6"/>
      <c r="B88" s="2">
        <v>7600550</v>
      </c>
      <c r="C88" t="s">
        <v>342</v>
      </c>
      <c r="D88" s="3">
        <v>2</v>
      </c>
      <c r="E88" s="3">
        <v>1</v>
      </c>
      <c r="F88" s="17" t="s">
        <v>326</v>
      </c>
      <c r="G88" s="4" t="s">
        <v>327</v>
      </c>
      <c r="H88" s="16" t="s">
        <v>343</v>
      </c>
      <c r="I88" s="16" t="s">
        <v>343</v>
      </c>
      <c r="J88" s="1" t="s">
        <v>329</v>
      </c>
      <c r="K88" s="17" t="s">
        <v>344</v>
      </c>
      <c r="L88" s="18" t="str">
        <f t="shared" si="1"/>
        <v>diretoria.admfinanceiro@grupoandreta.com.br;;jr@grupoandreta.com.br;;geroficina.andretalimeira@grupoandreta.com.br;geroficina.andretalimeira@grupoandreta.com.br;liderkaizen.mercantilandreta@grupoandreta.com.br;eletromecanico.andretalimeira@grupoandreta.com.br; sac@grupoandreta.com.br</v>
      </c>
    </row>
    <row r="89" spans="1:12">
      <c r="A89" s="6"/>
      <c r="B89" s="2">
        <v>7600610</v>
      </c>
      <c r="C89" t="s">
        <v>345</v>
      </c>
      <c r="D89" s="3">
        <v>2</v>
      </c>
      <c r="E89" s="3">
        <v>1</v>
      </c>
      <c r="F89" s="17" t="s">
        <v>326</v>
      </c>
      <c r="G89" s="4" t="s">
        <v>327</v>
      </c>
      <c r="H89" s="16" t="s">
        <v>346</v>
      </c>
      <c r="I89" s="16" t="s">
        <v>346</v>
      </c>
      <c r="J89" s="1" t="s">
        <v>329</v>
      </c>
      <c r="K89" s="17" t="s">
        <v>347</v>
      </c>
      <c r="L89" s="18" t="str">
        <f t="shared" si="1"/>
        <v>diretoria.admfinanceiro@grupoandreta.com.br;;jr@grupoandreta.com.br;;geroficina.andretamogi@grupoandreta.com.br;geroficina.andretamogi@grupoandreta.com.br;liderkaizen.mercantilandreta@grupoandreta.com.br;cotech.andretamogi@grupoandreta.com.br; sac@grupoandreta.com.br</v>
      </c>
    </row>
    <row r="90" spans="1:12">
      <c r="A90" s="6"/>
      <c r="B90" s="2">
        <v>7600382</v>
      </c>
      <c r="C90" t="s">
        <v>348</v>
      </c>
      <c r="D90" s="3">
        <v>2</v>
      </c>
      <c r="E90" s="3">
        <v>1</v>
      </c>
      <c r="F90" s="17" t="s">
        <v>326</v>
      </c>
      <c r="G90" s="4" t="s">
        <v>327</v>
      </c>
      <c r="H90" s="16" t="s">
        <v>349</v>
      </c>
      <c r="I90" s="16" t="s">
        <v>350</v>
      </c>
      <c r="J90" s="1" t="s">
        <v>329</v>
      </c>
      <c r="K90" s="17" t="s">
        <v>351</v>
      </c>
      <c r="L90" s="18" t="str">
        <f t="shared" si="1"/>
        <v>diretoria.admfinanceiro@grupoandreta.com.br;;jr@grupoandreta.com.br;;gergeral.mercantilandreta@grupoandreta.com.br;geroficina.mercantilandreta@grupoandreta.com.br;liderkaizen.mercantilandreta@grupoandreta.com.br;cotech.mercantilandreta@grupoandreta.com.br; sac@grupoandreta.com.br</v>
      </c>
    </row>
    <row r="91" spans="1:12">
      <c r="A91" s="6"/>
      <c r="B91" s="2">
        <v>7600446</v>
      </c>
      <c r="C91" t="s">
        <v>352</v>
      </c>
      <c r="D91" s="3">
        <v>2</v>
      </c>
      <c r="E91" s="3">
        <v>2</v>
      </c>
      <c r="F91" s="19" t="s">
        <v>353</v>
      </c>
      <c r="G91" s="4" t="s">
        <v>354</v>
      </c>
      <c r="H91" s="16" t="s">
        <v>355</v>
      </c>
      <c r="I91" s="16" t="s">
        <v>356</v>
      </c>
      <c r="J91" s="16" t="s">
        <v>357</v>
      </c>
      <c r="K91" s="17" t="s">
        <v>358</v>
      </c>
      <c r="L91" s="18" t="str">
        <f t="shared" si="1"/>
        <v>moacir.bartolomei@grupoville.com.br; andersonpazzini@grupoville.com.br;;luciano.olivi@grupoville.com.br; alexandre.bozola@grupoville.com.br; ; ;comercial.renault@grupoville.com.br; rafael.rodrigues@grupoville.com.br; ;ari.junior@grupoville.com.br;; andre.paiola@grupoville.com.br;cotech.ata@grupoville.com.br; ; Leonardo.harte@grupoville.com.br;</v>
      </c>
    </row>
    <row r="92" spans="1:12">
      <c r="A92" s="6"/>
      <c r="B92" s="2">
        <v>7600691</v>
      </c>
      <c r="C92" t="s">
        <v>359</v>
      </c>
      <c r="D92" s="3">
        <v>2</v>
      </c>
      <c r="E92" s="3">
        <v>2</v>
      </c>
      <c r="F92" s="19" t="s">
        <v>353</v>
      </c>
      <c r="G92" s="4" t="s">
        <v>354</v>
      </c>
      <c r="H92" s="16" t="s">
        <v>360</v>
      </c>
      <c r="I92" s="16" t="s">
        <v>361</v>
      </c>
      <c r="J92" s="16" t="s">
        <v>357</v>
      </c>
      <c r="K92" s="17" t="s">
        <v>362</v>
      </c>
      <c r="L92" s="18" t="str">
        <f t="shared" si="1"/>
        <v>moacir.bartolomei@grupoville.com.br; andersonpazzini@grupoville.com.br;;luciano.olivi@grupoville.com.br; alexandre.bozola@grupoville.com.br; ; ;joao.ossana@grupoville.com.br; comercial.renault@grupoville.com.br; ; ;ronieri.azevedo@grupoville.com.br;; andre.paiola@grupoville.com.br;ronieri.azevedo@grupoville.com.br; ; Leonardo.harte@grupoville.com.br;</v>
      </c>
    </row>
    <row r="93" spans="1:12">
      <c r="A93" s="6"/>
      <c r="B93" s="2">
        <v>7600440</v>
      </c>
      <c r="C93" t="s">
        <v>363</v>
      </c>
      <c r="D93" s="3">
        <v>2</v>
      </c>
      <c r="E93" s="3">
        <v>2</v>
      </c>
      <c r="F93" s="19" t="s">
        <v>353</v>
      </c>
      <c r="G93" s="4" t="s">
        <v>354</v>
      </c>
      <c r="H93" s="16" t="s">
        <v>364</v>
      </c>
      <c r="I93" s="16" t="s">
        <v>365</v>
      </c>
      <c r="J93" s="16" t="s">
        <v>357</v>
      </c>
      <c r="K93" s="17" t="s">
        <v>366</v>
      </c>
      <c r="L93" s="18" t="str">
        <f t="shared" si="1"/>
        <v>moacir.bartolomei@grupoville.com.br; andersonpazzini@grupoville.com.br;;luciano.olivi@grupoville.com.br; alexandre.bozola@grupoville.com.br; ; ;comercial.renault@grupoville.com.br; marcos.faveri@grupoville.com.br;gabriel.poltroniere@grupoville.com.br;; andre.paiola@grupoville.com.br;jose.henrique@grupoville.com.br; ; Leonardo.harte@grupoville.com.br;</v>
      </c>
    </row>
    <row r="94" spans="1:12">
      <c r="A94" s="6"/>
      <c r="B94" s="2">
        <v>7600598</v>
      </c>
      <c r="C94" t="s">
        <v>367</v>
      </c>
      <c r="D94" s="3">
        <v>2</v>
      </c>
      <c r="E94" s="3">
        <v>2</v>
      </c>
      <c r="F94" s="19" t="s">
        <v>353</v>
      </c>
      <c r="G94" s="4" t="s">
        <v>354</v>
      </c>
      <c r="H94" s="16" t="s">
        <v>368</v>
      </c>
      <c r="I94" s="16" t="s">
        <v>369</v>
      </c>
      <c r="J94" s="16" t="s">
        <v>357</v>
      </c>
      <c r="K94" s="17" t="s">
        <v>370</v>
      </c>
      <c r="L94" s="18" t="str">
        <f t="shared" si="1"/>
        <v>moacir.bartolomei@grupoville.com.br; andersonpazzini@grupoville.com.br;;luciano.olivi@grupoville.com.br; alexandre.bozola@grupoville.com.br; ; ;comercial.renault@grupoville.com.br; jefferson.silva@grupoville.com.br; ;jefferson.silva@grupoville.com.br;; andre.paiola@grupoville.com.br;leonaldo.zanelatto@grupoville.com.br; ; Leonardo.harte@grupoville.com.br;</v>
      </c>
    </row>
    <row r="95" spans="1:12">
      <c r="A95" s="6"/>
      <c r="B95" s="2">
        <v>7601125</v>
      </c>
      <c r="C95" t="s">
        <v>371</v>
      </c>
      <c r="D95" s="3">
        <v>2</v>
      </c>
      <c r="E95" s="3">
        <v>2</v>
      </c>
      <c r="G95" s="4" t="s">
        <v>372</v>
      </c>
      <c r="H95" s="16" t="s">
        <v>373</v>
      </c>
      <c r="I95" s="16" t="s">
        <v>373</v>
      </c>
      <c r="J95" s="16" t="s">
        <v>374</v>
      </c>
      <c r="K95" s="17" t="s">
        <v>375</v>
      </c>
      <c r="L95" s="18" t="str">
        <f t="shared" si="1"/>
        <v>;nabi@planaholding.com.br;marcos.pimenta@simconcessionarias.com.br;marcos.pimenta@simconcessionarias.com.br;jeiza.fernandes@simconcessionarias.com.br;cotech@renaultsim.com.br</v>
      </c>
    </row>
    <row r="96" spans="1:12">
      <c r="A96" s="6"/>
      <c r="B96" s="2">
        <v>7601110</v>
      </c>
      <c r="C96" t="s">
        <v>376</v>
      </c>
      <c r="D96" s="3">
        <v>2</v>
      </c>
      <c r="E96" s="3">
        <v>2</v>
      </c>
      <c r="F96" s="4" t="s">
        <v>377</v>
      </c>
      <c r="G96" s="4" t="s">
        <v>378</v>
      </c>
      <c r="H96" s="1" t="s">
        <v>379</v>
      </c>
      <c r="I96" s="16" t="s">
        <v>380</v>
      </c>
      <c r="J96" s="16" t="s">
        <v>381</v>
      </c>
      <c r="K96" s="17" t="s">
        <v>382</v>
      </c>
      <c r="L96" s="18" t="str">
        <f t="shared" si="1"/>
        <v>andremassola@proeste.com.br;;pardal@proeste.com.br;;denis.matos@proeste.com.br;;nelinho@proeste.com.br;;afonso.simoes@proeste.com.br; thiagomassola@proeste.com.br;;cotech.renaultava@proeste.com.br; oficina.renaultava@proeste.com.br;</v>
      </c>
    </row>
    <row r="97" spans="1:12">
      <c r="A97" s="6"/>
      <c r="B97" s="2">
        <v>7600895</v>
      </c>
      <c r="C97" t="s">
        <v>383</v>
      </c>
      <c r="D97" s="3">
        <v>2</v>
      </c>
      <c r="E97" s="3">
        <v>2</v>
      </c>
      <c r="F97" s="4" t="s">
        <v>377</v>
      </c>
      <c r="G97" s="4" t="s">
        <v>378</v>
      </c>
      <c r="H97" s="16" t="s">
        <v>384</v>
      </c>
      <c r="I97" s="16" t="s">
        <v>380</v>
      </c>
      <c r="J97" s="16" t="s">
        <v>385</v>
      </c>
      <c r="K97" s="17" t="s">
        <v>386</v>
      </c>
      <c r="L97" s="18" t="str">
        <f t="shared" si="1"/>
        <v>andremassola@proeste.com.br;;pardal@proeste.com.br;;flavia.peliciotti@proeste.com.br;;nelinho@proeste.com.br;;afonso.simoes@proeste.com.br; thiagomassola@proeste.com.br; ;cotech.renaultbu@proeste.com.br; ludimila.zuccari@proeste.com.br</v>
      </c>
    </row>
    <row r="98" spans="1:12">
      <c r="A98" s="6"/>
      <c r="B98" s="2">
        <v>7600920</v>
      </c>
      <c r="C98" t="s">
        <v>387</v>
      </c>
      <c r="D98" s="3">
        <v>2</v>
      </c>
      <c r="E98" s="3">
        <v>2</v>
      </c>
      <c r="F98" s="4" t="s">
        <v>377</v>
      </c>
      <c r="G98" s="4" t="s">
        <v>378</v>
      </c>
      <c r="H98" s="16"/>
      <c r="I98" s="16" t="s">
        <v>380</v>
      </c>
      <c r="J98" s="16" t="s">
        <v>388</v>
      </c>
      <c r="K98" s="17"/>
      <c r="L98" s="18" t="str">
        <f t="shared" si="1"/>
        <v>andremassola@proeste.com.br;;pardal@proeste.com.br;;;nelinho@proeste.com.br;;afonso.simoes@proeste.com.br; thiagomassola@proeste.com.br; junior.renaultbtu@proeste.com.br;;</v>
      </c>
    </row>
    <row r="99" spans="1:12">
      <c r="A99" s="6"/>
      <c r="B99" s="2">
        <v>7600918</v>
      </c>
      <c r="C99" t="s">
        <v>389</v>
      </c>
      <c r="D99" s="3">
        <v>2</v>
      </c>
      <c r="E99" s="3">
        <v>2</v>
      </c>
      <c r="F99" s="4" t="s">
        <v>377</v>
      </c>
      <c r="G99" s="4" t="s">
        <v>378</v>
      </c>
      <c r="H99" s="1" t="s">
        <v>390</v>
      </c>
      <c r="I99" s="16" t="s">
        <v>380</v>
      </c>
      <c r="J99" s="16" t="s">
        <v>385</v>
      </c>
      <c r="K99" s="17" t="s">
        <v>391</v>
      </c>
      <c r="L99" s="18" t="str">
        <f t="shared" si="1"/>
        <v>andremassola@proeste.com.br;;pardal@proeste.com.br;;marcelo.vancin@proeste.com.br;;nelinho@proeste.com.br;;afonso.simoes@proeste.com.br; thiagomassola@proeste.com.br; ;cotech.renaultju@proeste.com.br</v>
      </c>
    </row>
    <row r="100" spans="1:12">
      <c r="A100" s="6"/>
      <c r="B100" s="2">
        <v>7600921</v>
      </c>
      <c r="C100" t="s">
        <v>392</v>
      </c>
      <c r="D100" s="3">
        <v>2</v>
      </c>
      <c r="E100" s="3">
        <v>2</v>
      </c>
      <c r="F100" s="4" t="s">
        <v>377</v>
      </c>
      <c r="G100" s="4" t="s">
        <v>378</v>
      </c>
      <c r="H100" s="16"/>
      <c r="I100" s="16" t="s">
        <v>380</v>
      </c>
      <c r="J100" s="16" t="s">
        <v>385</v>
      </c>
      <c r="K100" s="17" t="s">
        <v>393</v>
      </c>
      <c r="L100" s="18" t="str">
        <f t="shared" si="1"/>
        <v>andremassola@proeste.com.br;;pardal@proeste.com.br;;;nelinho@proeste.com.br;;afonso.simoes@proeste.com.br; thiagomassola@proeste.com.br; ;cotech.renaultmr@proeste.com.br</v>
      </c>
    </row>
    <row r="101" spans="1:12">
      <c r="A101" s="6"/>
      <c r="B101" s="2">
        <v>7601123</v>
      </c>
      <c r="C101" t="s">
        <v>394</v>
      </c>
      <c r="D101" s="3">
        <v>2</v>
      </c>
      <c r="E101" s="3">
        <v>2</v>
      </c>
      <c r="F101" s="23" t="s">
        <v>395</v>
      </c>
      <c r="G101" s="23" t="s">
        <v>396</v>
      </c>
      <c r="H101" s="17" t="s">
        <v>397</v>
      </c>
      <c r="I101" s="16" t="s">
        <v>398</v>
      </c>
      <c r="J101" s="16" t="s">
        <v>399</v>
      </c>
      <c r="K101" s="17" t="s">
        <v>400</v>
      </c>
      <c r="L101" s="18" t="str">
        <f t="shared" si="1"/>
        <v>edemar.nunes@grupofaberge.com.br; denis@grupofaberge.com.br;roberto.faberge@grupofaberge.com.br;gustavo.visentin@renaultnobre.com.br;andre.collier@renaultfaberge.com.br;lais.murray@grupofaberge.com.br; beatriz.silva@grupofaberge.com.br;posvendas.penha@renaultnobre.com.br; qualidade5@grupofaberge.com.br</v>
      </c>
    </row>
    <row r="102" spans="1:12">
      <c r="A102" s="6"/>
      <c r="B102" s="2">
        <v>7600954</v>
      </c>
      <c r="C102" t="s">
        <v>401</v>
      </c>
      <c r="D102" s="3">
        <v>2</v>
      </c>
      <c r="E102" s="3">
        <v>2</v>
      </c>
      <c r="F102" t="s">
        <v>402</v>
      </c>
      <c r="G102" s="4" t="s">
        <v>403</v>
      </c>
      <c r="H102" s="16" t="s">
        <v>402</v>
      </c>
      <c r="I102" s="16" t="s">
        <v>404</v>
      </c>
      <c r="J102" s="16" t="s">
        <v>405</v>
      </c>
      <c r="K102" s="17" t="s">
        <v>406</v>
      </c>
      <c r="L102" s="18" t="str">
        <f t="shared" si="1"/>
        <v>leticia.ribeiro@grupotoriba.com.br;rodrigo.faria@grupotoriba.com.br;leticia.ribeiro@grupotoriba.com.br;marcio.santos@grupotoriba.com.br; reginaldo.lima@grupotoriba.com.br;vanessa.silva@grupotoriba.com.br; kalliny.silva@grupotoriba.com.br; vanessa.barbosa@grupotoriba.com.br; aline.santana@grupotoriba.com.br;wellington.nascimento@grupotoriba.com.br; nei.martins@grupotoriba.com.br; fabiana.moreira@grupotoriba.com.br; Vanessa.novais@grupotoriba.com.br</v>
      </c>
    </row>
    <row r="103" spans="1:12">
      <c r="A103" s="6"/>
      <c r="B103" s="2">
        <v>7600953</v>
      </c>
      <c r="C103" t="s">
        <v>407</v>
      </c>
      <c r="D103" s="3">
        <v>2</v>
      </c>
      <c r="E103" s="3">
        <v>2</v>
      </c>
      <c r="F103" t="s">
        <v>402</v>
      </c>
      <c r="G103" s="17" t="s">
        <v>403</v>
      </c>
      <c r="H103" t="s">
        <v>408</v>
      </c>
      <c r="I103" s="16" t="s">
        <v>404</v>
      </c>
      <c r="J103" s="16" t="s">
        <v>405</v>
      </c>
      <c r="K103" s="17" t="s">
        <v>409</v>
      </c>
      <c r="L103" s="18" t="str">
        <f t="shared" si="1"/>
        <v>leticia.ribeiro@grupotoriba.com.br;rodrigo.faria@grupotoriba.com.br;douglas.vieira@grupotoriba.com.br;marcio.santos@grupotoriba.com.br; reginaldo.lima@grupotoriba.com.br;vanessa.silva@grupotoriba.com.br; kalliny.silva@grupotoriba.com.br; vanessa.barbosa@grupotoriba.com.br; aline.santana@grupotoriba.com.br;douglas.santana@grupotoriba.com.br;nei.martins@grupotoriba.com.br;  fabiana.moreira@grupotoriba.com.br; Vanessa.novais@grupotoriba.com.br</v>
      </c>
    </row>
    <row r="104" spans="1:12">
      <c r="A104" s="6"/>
      <c r="B104" s="2">
        <v>7600549</v>
      </c>
      <c r="C104" t="s">
        <v>410</v>
      </c>
      <c r="D104" s="3">
        <v>2</v>
      </c>
      <c r="E104" s="3">
        <v>3</v>
      </c>
      <c r="F104" s="17" t="s">
        <v>411</v>
      </c>
      <c r="G104" s="17" t="s">
        <v>412</v>
      </c>
      <c r="H104" s="16" t="s">
        <v>413</v>
      </c>
      <c r="I104" s="16" t="s">
        <v>414</v>
      </c>
      <c r="J104" s="16" t="s">
        <v>415</v>
      </c>
      <c r="K104" s="17"/>
      <c r="L104" s="18" t="str">
        <f t="shared" si="1"/>
        <v>penna@gruposinal.com; robson.vieira@gruposinal.com; alexandre.tarin@gruposinal.com; marcello.bruno@gruposinal.com;wb@gruposinal.com; graziella@gruposinal.com;sergio.pomelli@gruposinal.com;adriano.moura@gruposinal.com;daniele.lopes@gruposinal.com; karina.silva@gruposinal.com; pedro.ferreira@gruposinal.com;</v>
      </c>
    </row>
    <row r="105" spans="1:12">
      <c r="A105" s="6"/>
      <c r="B105" s="2">
        <v>7600819</v>
      </c>
      <c r="C105" t="s">
        <v>416</v>
      </c>
      <c r="D105" s="3">
        <v>2</v>
      </c>
      <c r="E105" s="3">
        <v>3</v>
      </c>
      <c r="F105" s="17" t="s">
        <v>411</v>
      </c>
      <c r="G105" s="17" t="s">
        <v>412</v>
      </c>
      <c r="H105" s="16" t="s">
        <v>417</v>
      </c>
      <c r="I105" s="21" t="s">
        <v>418</v>
      </c>
      <c r="J105" s="16" t="s">
        <v>415</v>
      </c>
      <c r="K105" s="17"/>
      <c r="L105" s="18" t="str">
        <f t="shared" si="1"/>
        <v>penna@gruposinal.com; robson.vieira@gruposinal.com; alexandre.tarin@gruposinal.com; marcello.bruno@gruposinal.com;wb@gruposinal.com; graziella@gruposinal.com;bruno.souza@gruposinal.com;filipe.carvalho@gruposinal.com;daniele.lopes@gruposinal.com; karina.silva@gruposinal.com; pedro.ferreira@gruposinal.com;</v>
      </c>
    </row>
    <row r="106" spans="1:12">
      <c r="A106" s="6"/>
      <c r="B106" s="2">
        <v>7600817</v>
      </c>
      <c r="C106" t="s">
        <v>419</v>
      </c>
      <c r="D106" s="3">
        <v>2</v>
      </c>
      <c r="E106" s="3">
        <v>3</v>
      </c>
      <c r="F106" s="17" t="s">
        <v>411</v>
      </c>
      <c r="G106" s="17" t="s">
        <v>412</v>
      </c>
      <c r="H106" s="16" t="s">
        <v>420</v>
      </c>
      <c r="I106" s="1" t="s">
        <v>421</v>
      </c>
      <c r="J106" s="16" t="s">
        <v>415</v>
      </c>
      <c r="K106" s="17"/>
      <c r="L106" s="18" t="str">
        <f t="shared" si="1"/>
        <v>penna@gruposinal.com; robson.vieira@gruposinal.com; alexandre.tarin@gruposinal.com; marcello.bruno@gruposinal.com;wb@gruposinal.com; graziella@gruposinal.com;rodrigo.braz@gruposinal.com;alexandre.nigmann@gruposinal.com;daniele.lopes@gruposinal.com; karina.silva@gruposinal.com; pedro.ferreira@gruposinal.com;</v>
      </c>
    </row>
    <row r="107" spans="1:12">
      <c r="A107" s="6"/>
      <c r="B107" s="2">
        <v>7600618</v>
      </c>
      <c r="C107" t="s">
        <v>422</v>
      </c>
      <c r="D107" s="3">
        <v>2</v>
      </c>
      <c r="E107" s="3">
        <v>3</v>
      </c>
      <c r="F107" s="17" t="s">
        <v>411</v>
      </c>
      <c r="G107" s="17" t="s">
        <v>412</v>
      </c>
      <c r="H107" s="17" t="s">
        <v>423</v>
      </c>
      <c r="I107" s="1" t="s">
        <v>424</v>
      </c>
      <c r="J107" s="16" t="s">
        <v>415</v>
      </c>
      <c r="K107" s="17"/>
      <c r="L107" s="18" t="str">
        <f t="shared" si="1"/>
        <v>penna@gruposinal.com; robson.vieira@gruposinal.com; alexandre.tarin@gruposinal.com; marcello.bruno@gruposinal.com;wb@gruposinal.com; graziella@gruposinal.com;alvaro.alves@gruposinal.com;Eduardo.kawamura@gruposinal.com;daniele.lopes@gruposinal.com; karina.silva@gruposinal.com; pedro.ferreira@gruposinal.com;</v>
      </c>
    </row>
    <row r="108" spans="1:12">
      <c r="A108" s="6"/>
      <c r="B108" s="2">
        <v>7600519</v>
      </c>
      <c r="C108" t="s">
        <v>425</v>
      </c>
      <c r="D108" s="3">
        <v>2</v>
      </c>
      <c r="E108" s="3">
        <v>4</v>
      </c>
      <c r="F108" s="17" t="s">
        <v>426</v>
      </c>
      <c r="G108" s="4" t="s">
        <v>427</v>
      </c>
      <c r="H108" s="16" t="s">
        <v>84</v>
      </c>
      <c r="I108" s="16"/>
      <c r="J108" s="16" t="s">
        <v>428</v>
      </c>
      <c r="K108" s="17" t="s">
        <v>429</v>
      </c>
      <c r="L108" s="18" t="str">
        <f t="shared" si="1"/>
        <v xml:space="preserve">rodrigo@santaemilia.com.br;marcelomagrin@santaemilia.com.br;rodrigo@santaemilia.com.br;ruiflavio@santaemilia.com.br;vinho@santaemilia.com.br;dado@santaemilia.com.br;;; ;;nelson.hiroshi@santaemilia.com.br;cotechsc@santaemilia.com.br; michele.christofoletti@santaemilia.com.br; ; </v>
      </c>
    </row>
    <row r="109" spans="1:12" ht="14.85" customHeight="1">
      <c r="A109" s="6"/>
      <c r="B109" s="2">
        <v>7600922</v>
      </c>
      <c r="C109" t="s">
        <v>430</v>
      </c>
      <c r="D109" s="3">
        <v>2</v>
      </c>
      <c r="E109" s="3">
        <v>3</v>
      </c>
      <c r="F109" s="17" t="s">
        <v>411</v>
      </c>
      <c r="G109" s="17" t="s">
        <v>412</v>
      </c>
      <c r="H109" s="16" t="s">
        <v>431</v>
      </c>
      <c r="I109" s="1" t="s">
        <v>432</v>
      </c>
      <c r="J109" s="16" t="s">
        <v>415</v>
      </c>
      <c r="K109" s="17"/>
      <c r="L109" s="18" t="str">
        <f t="shared" si="1"/>
        <v>penna@gruposinal.com; robson.vieira@gruposinal.com; alexandre.tarin@gruposinal.com; marcello.bruno@gruposinal.com;wb@gruposinal.com; graziella@gruposinal.com;wilson.nakasima@gruposinal.com;edson.rodrigues@gruposinal.com;daniele.lopes@gruposinal.com; karina.silva@gruposinal.com; pedro.ferreira@gruposinal.com;</v>
      </c>
    </row>
    <row r="110" spans="1:12">
      <c r="A110" s="6"/>
      <c r="B110" s="2">
        <v>7600929</v>
      </c>
      <c r="C110" s="6" t="s">
        <v>433</v>
      </c>
      <c r="D110" s="3">
        <v>2</v>
      </c>
      <c r="E110" s="3">
        <v>4</v>
      </c>
      <c r="F110" s="17" t="s">
        <v>411</v>
      </c>
      <c r="G110" s="17" t="s">
        <v>412</v>
      </c>
      <c r="H110" s="16" t="s">
        <v>434</v>
      </c>
      <c r="I110" s="16"/>
      <c r="J110" s="16" t="s">
        <v>415</v>
      </c>
      <c r="K110" s="21"/>
      <c r="L110" s="18" t="str">
        <f t="shared" si="1"/>
        <v>penna@gruposinal.com; robson.vieira@gruposinal.com; alexandre.tarin@gruposinal.com; marcello.bruno@gruposinal.com;wb@gruposinal.com; graziella@gruposinal.com;cristhian.santos@gruposinal.com;;daniele.lopes@gruposinal.com; karina.silva@gruposinal.com; pedro.ferreira@gruposinal.com;</v>
      </c>
    </row>
    <row r="111" spans="1:12">
      <c r="A111" s="6"/>
      <c r="B111" s="2">
        <v>7600939</v>
      </c>
      <c r="C111" t="s">
        <v>435</v>
      </c>
      <c r="D111" s="3">
        <v>2</v>
      </c>
      <c r="E111" s="3">
        <v>4</v>
      </c>
      <c r="F111" s="17" t="s">
        <v>411</v>
      </c>
      <c r="G111" s="17" t="s">
        <v>412</v>
      </c>
      <c r="H111" s="16" t="s">
        <v>436</v>
      </c>
      <c r="I111" s="1" t="s">
        <v>437</v>
      </c>
      <c r="J111" s="16" t="s">
        <v>415</v>
      </c>
      <c r="K111" s="17"/>
      <c r="L111" s="18" t="str">
        <f t="shared" si="1"/>
        <v>penna@gruposinal.com; robson.vieira@gruposinal.com; alexandre.tarin@gruposinal.com; marcello.bruno@gruposinal.com;wb@gruposinal.com; graziella@gruposinal.com;tiago.pereira@gruposinal.com;thiago.cardoso@gruposinal.com;daniele.lopes@gruposinal.com; karina.silva@gruposinal.com; pedro.ferreira@gruposinal.com;</v>
      </c>
    </row>
    <row r="112" spans="1:12">
      <c r="A112" s="6"/>
      <c r="B112" s="2">
        <v>7600931</v>
      </c>
      <c r="C112" s="6" t="s">
        <v>438</v>
      </c>
      <c r="D112" s="3">
        <v>2</v>
      </c>
      <c r="E112" s="3">
        <v>4</v>
      </c>
      <c r="F112" s="17" t="s">
        <v>411</v>
      </c>
      <c r="G112" s="17" t="s">
        <v>412</v>
      </c>
      <c r="H112" s="16"/>
      <c r="I112" s="1" t="s">
        <v>439</v>
      </c>
      <c r="J112" s="16" t="s">
        <v>415</v>
      </c>
      <c r="K112" s="17"/>
      <c r="L112" s="18" t="str">
        <f t="shared" si="1"/>
        <v>penna@gruposinal.com; robson.vieira@gruposinal.com; alexandre.tarin@gruposinal.com; marcello.bruno@gruposinal.com;wb@gruposinal.com; graziella@gruposinal.com;;mailson.oliveira@gruposinal.com;daniele.lopes@gruposinal.com; karina.silva@gruposinal.com; pedro.ferreira@gruposinal.com;</v>
      </c>
    </row>
    <row r="113" spans="1:12">
      <c r="A113" s="6"/>
      <c r="B113" s="2">
        <v>7600332</v>
      </c>
      <c r="C113" t="s">
        <v>440</v>
      </c>
      <c r="D113" s="3">
        <v>2</v>
      </c>
      <c r="E113" s="3">
        <v>4</v>
      </c>
      <c r="F113" s="4" t="s">
        <v>441</v>
      </c>
      <c r="G113" s="4" t="s">
        <v>441</v>
      </c>
      <c r="H113" s="16" t="s">
        <v>442</v>
      </c>
      <c r="I113" s="16" t="s">
        <v>443</v>
      </c>
      <c r="J113" s="16" t="s">
        <v>444</v>
      </c>
      <c r="K113" s="17"/>
      <c r="L113" s="18" t="str">
        <f t="shared" si="1"/>
        <v>fabio.oliveira@grupodestaque.com.br, fabricio@grupodestaque.com.br;fabio.oliveira@grupodestaque.com.br, fabricio@grupodestaque.com.br;francemogi@grupodestaque.com.br;posvendas.renault@grupodestaque.com.br;qualidade.renault@grupodestaque.com.br;</v>
      </c>
    </row>
    <row r="114" spans="1:12">
      <c r="A114" s="6"/>
      <c r="B114" s="2">
        <v>7600845</v>
      </c>
      <c r="C114" t="s">
        <v>445</v>
      </c>
      <c r="D114" s="3">
        <v>2</v>
      </c>
      <c r="E114" s="3">
        <v>4</v>
      </c>
      <c r="F114" s="4" t="s">
        <v>441</v>
      </c>
      <c r="G114" s="4" t="s">
        <v>441</v>
      </c>
      <c r="H114" s="16" t="s">
        <v>446</v>
      </c>
      <c r="I114" s="16" t="s">
        <v>447</v>
      </c>
      <c r="J114" s="16" t="s">
        <v>444</v>
      </c>
      <c r="K114" s="17"/>
      <c r="L114" s="18" t="str">
        <f t="shared" si="1"/>
        <v>fabio.oliveira@grupodestaque.com.br, fabricio@grupodestaque.com.br;fabio.oliveira@grupodestaque.com.br, fabricio@grupodestaque.com.br;vendas.francepoa@grupodestaque.com.br;posvendas.francepoa@grupodestaque.com.br;qualidade.renault@grupodestaque.com.br;</v>
      </c>
    </row>
    <row r="115" spans="1:12" ht="13.35" customHeight="1">
      <c r="A115" s="6"/>
      <c r="B115" s="2">
        <v>7600233</v>
      </c>
      <c r="C115" t="s">
        <v>448</v>
      </c>
      <c r="D115" s="3">
        <v>2</v>
      </c>
      <c r="E115" s="3">
        <v>5</v>
      </c>
      <c r="F115" s="19"/>
      <c r="G115" s="4" t="s">
        <v>449</v>
      </c>
      <c r="H115" s="17" t="s">
        <v>450</v>
      </c>
      <c r="I115" s="16" t="s">
        <v>451</v>
      </c>
      <c r="J115" s="16" t="s">
        <v>452</v>
      </c>
      <c r="K115" s="17" t="s">
        <v>453</v>
      </c>
      <c r="L115" s="18" t="str">
        <f t="shared" si="1"/>
        <v>;rodrigo@armandoveiculos.com.br; fernando@armandoveiculos.com.br;;priscilaalves@armandoveiculos.com.br;Ismael@armandoveiculos.com.br;qualidade@armandoveiculos.com.br;monicabelice@armandoveiculos.com.br; cotech_diadema@armandoveiculos.com.br; consultor_diadema@armandoveiculos.com.br</v>
      </c>
    </row>
    <row r="116" spans="1:12">
      <c r="A116" s="6"/>
      <c r="B116" s="2">
        <v>7600093</v>
      </c>
      <c r="C116" t="s">
        <v>454</v>
      </c>
      <c r="D116" s="3">
        <v>2</v>
      </c>
      <c r="E116" s="3">
        <v>5</v>
      </c>
      <c r="F116" s="19"/>
      <c r="G116" s="4" t="s">
        <v>449</v>
      </c>
      <c r="I116" s="16" t="s">
        <v>451</v>
      </c>
      <c r="J116" s="16" t="s">
        <v>452</v>
      </c>
      <c r="K116" s="17" t="s">
        <v>455</v>
      </c>
      <c r="L116" s="18" t="str">
        <f t="shared" si="1"/>
        <v>;rodrigo@armandoveiculos.com.br; fernando@armandoveiculos.com.br;;;Ismael@armandoveiculos.com.br;qualidade@armandoveiculos.com.br;monicabelice@armandoveiculos.com.br;; cotech_dpedro@armandoveiculos.com.br; ; consultor_dpedro1@armandoveiculos.com.br; consultor_dpedro2@armandoveiculos.com.br</v>
      </c>
    </row>
    <row r="117" spans="1:12">
      <c r="A117" s="6"/>
      <c r="B117" s="2">
        <v>7600713</v>
      </c>
      <c r="C117" t="s">
        <v>456</v>
      </c>
      <c r="D117" s="3">
        <v>2</v>
      </c>
      <c r="E117" s="3">
        <v>5</v>
      </c>
      <c r="F117" s="4" t="s">
        <v>457</v>
      </c>
      <c r="G117" s="17" t="s">
        <v>458</v>
      </c>
      <c r="H117" s="4" t="s">
        <v>459</v>
      </c>
      <c r="I117" s="16" t="s">
        <v>451</v>
      </c>
      <c r="J117" s="16" t="s">
        <v>452</v>
      </c>
      <c r="K117" s="17" t="s">
        <v>460</v>
      </c>
      <c r="L117" s="18" t="str">
        <f t="shared" si="1"/>
        <v xml:space="preserve">monicabelice@armandoveiculos.com.br;rodrigo@armandoveiculos.com.br; fernando@armandoveiculos.com.br; lucianocarvalho@armandoveiculos.com.br;elainecarvalho@armandoveiculos.com.br;Ismael@armandoveiculos.com.br;qualidade@armandoveiculos.com.br;fernando@armandoveiculos.com.br;rodrigo@armandoveiculos.com.br; ; </v>
      </c>
    </row>
    <row r="118" spans="1:12" ht="16.5" customHeight="1">
      <c r="A118" s="6"/>
      <c r="B118" s="2">
        <v>7600033</v>
      </c>
      <c r="C118" t="s">
        <v>461</v>
      </c>
      <c r="D118" s="3">
        <v>2</v>
      </c>
      <c r="E118" s="3">
        <v>5</v>
      </c>
      <c r="F118" s="4" t="s">
        <v>457</v>
      </c>
      <c r="G118" s="17" t="s">
        <v>458</v>
      </c>
      <c r="H118" s="4" t="s">
        <v>462</v>
      </c>
      <c r="I118" s="16" t="s">
        <v>451</v>
      </c>
      <c r="J118" s="16" t="s">
        <v>452</v>
      </c>
      <c r="K118" s="17" t="s">
        <v>463</v>
      </c>
      <c r="L118" s="18" t="str">
        <f t="shared" si="1"/>
        <v>monicabelice@armandoveiculos.com.br;rodrigo@armandoveiculos.com.br; fernando@armandoveiculos.com.br; lucianocarvalho@armandoveiculos.com.br;monicamg1@armandoveiculos.com.br;Ismael@armandoveiculos.com.br;qualidade@armandoveiculos.com.br;fernando@armandoveiculos.com.br;rodrigo@armandoveiculos.com.br; consultor_ap1@armandoveiculos.com.br; recepcaopv_ap@armandoveiculos.com.br</v>
      </c>
    </row>
    <row r="119" spans="1:12">
      <c r="A119" s="6"/>
      <c r="B119" s="2">
        <v>7600951</v>
      </c>
      <c r="C119" t="s">
        <v>464</v>
      </c>
      <c r="D119" s="3">
        <v>2</v>
      </c>
      <c r="E119" s="3">
        <v>5</v>
      </c>
      <c r="G119" s="4" t="s">
        <v>449</v>
      </c>
      <c r="I119" s="16" t="s">
        <v>451</v>
      </c>
      <c r="J119" s="16" t="s">
        <v>452</v>
      </c>
      <c r="K119" s="17" t="s">
        <v>465</v>
      </c>
      <c r="L119" s="18" t="str">
        <f t="shared" si="1"/>
        <v>;rodrigo@armandoveiculos.com.br; fernando@armandoveiculos.com.br;;;Ismael@armandoveiculos.com.br;qualidade@armandoveiculos.com.br;monicabelice@armandoveiculos.com.br;</v>
      </c>
    </row>
    <row r="120" spans="1:12">
      <c r="A120" s="6"/>
      <c r="B120" s="2">
        <v>7600567</v>
      </c>
      <c r="C120" t="s">
        <v>466</v>
      </c>
      <c r="D120" s="3">
        <v>2</v>
      </c>
      <c r="E120" s="3">
        <v>5</v>
      </c>
      <c r="F120" s="4" t="s">
        <v>467</v>
      </c>
      <c r="G120" s="4" t="s">
        <v>468</v>
      </c>
      <c r="H120" s="16" t="s">
        <v>469</v>
      </c>
      <c r="I120" s="16"/>
      <c r="J120" s="16" t="s">
        <v>428</v>
      </c>
      <c r="K120" s="17" t="s">
        <v>470</v>
      </c>
      <c r="L120" s="18" t="str">
        <f t="shared" si="1"/>
        <v xml:space="preserve">rodrigo@santaemilia.com.br;egno@santaemilia.com.br; marcelomagrin@santaemilia.com.br;;rodrigo@santaemilia.com.br;ruiflavio@santaemilia.com.br;vinho@santaemilia.com.br;danieldomingos@santaemilia.com.br;;nelson.hiroshi@santaemilia.com.br;cotecharq@santaemilia.com.br; michele.christofoletti@santaemilia.com.br; </v>
      </c>
    </row>
    <row r="121" spans="1:12">
      <c r="A121" s="6"/>
      <c r="B121" s="2">
        <v>7600614</v>
      </c>
      <c r="C121" t="s">
        <v>471</v>
      </c>
      <c r="D121" s="3">
        <v>2</v>
      </c>
      <c r="E121" s="3">
        <v>5</v>
      </c>
      <c r="F121" s="4" t="s">
        <v>467</v>
      </c>
      <c r="G121" s="4" t="s">
        <v>468</v>
      </c>
      <c r="H121" s="16" t="s">
        <v>472</v>
      </c>
      <c r="I121" s="16" t="s">
        <v>473</v>
      </c>
      <c r="J121" s="16" t="s">
        <v>428</v>
      </c>
      <c r="K121" s="17" t="s">
        <v>474</v>
      </c>
      <c r="L121" s="18" t="str">
        <f t="shared" si="1"/>
        <v xml:space="preserve">rodrigo@santaemilia.com.br;egno@santaemilia.com.br; marcelomagrin@santaemilia.com.br;;rodrigo@santaemilia.com.br;ruiflavio@santaemilia.com.br;vinho@santaemilia.com.br;thais.guerra@santaemilia.com.br; ;thais.guerra@santaemilia.com.br;nelson.hiroshi@santaemilia.com.br;cotechrc@santaemilia.com.br; michele.christofoletti@santaemilia.com.br; </v>
      </c>
    </row>
    <row r="122" spans="1:12">
      <c r="A122" s="6"/>
      <c r="B122" s="2">
        <v>7600824</v>
      </c>
      <c r="C122" t="s">
        <v>475</v>
      </c>
      <c r="D122" s="3">
        <v>2</v>
      </c>
      <c r="E122" s="3">
        <v>5</v>
      </c>
      <c r="F122" s="17" t="s">
        <v>476</v>
      </c>
      <c r="G122" s="19" t="s">
        <v>477</v>
      </c>
      <c r="H122" s="16" t="s">
        <v>478</v>
      </c>
      <c r="I122" s="16" t="s">
        <v>478</v>
      </c>
      <c r="J122" s="16" t="s">
        <v>479</v>
      </c>
      <c r="K122" s="17" t="s">
        <v>480</v>
      </c>
      <c r="L122" s="18" t="str">
        <f t="shared" si="1"/>
        <v>felipe@balilla.com.br;toninho@balilla.com.br;luiscarlos@balilla.com.br;waine@balilla.com.br;zito@balilla.com.br;;nahor@balilla.com.br;nahor@balilla.com.br;gabrielle.freitas@balilla.com.br; atendimento@balilla.com.br;marcelo.rltind@balilla.com.br; felipe@balilla.com.br; sonia@balilla.com.br;luana.santana@balilla.com.br;qualidade@balilla.com.br</v>
      </c>
    </row>
    <row r="123" spans="1:12">
      <c r="A123" s="6"/>
      <c r="B123" s="2">
        <v>7601152</v>
      </c>
      <c r="C123" t="s">
        <v>481</v>
      </c>
      <c r="D123" s="3">
        <v>2</v>
      </c>
      <c r="E123" s="3">
        <v>5</v>
      </c>
      <c r="G123" s="4" t="s">
        <v>482</v>
      </c>
      <c r="H123" t="s">
        <v>483</v>
      </c>
      <c r="I123" s="16" t="s">
        <v>484</v>
      </c>
      <c r="J123" s="16" t="s">
        <v>485</v>
      </c>
      <c r="K123" s="17" t="s">
        <v>486</v>
      </c>
      <c r="L123" s="18" t="str">
        <f t="shared" si="1"/>
        <v>;diretoria@abraoreze.com.br;diretoria@abraoreze.com.br;;matheus.salata@abraoreze.com.br;rafael@abraoreze.com.br;giovana.nascimento@abraoreze.com.br; jessica.brasil@abraoreze.com.br;plinio.santana@abraoreze.com.br</v>
      </c>
    </row>
    <row r="124" spans="1:12">
      <c r="A124" s="6"/>
      <c r="B124" s="2">
        <v>7601151</v>
      </c>
      <c r="C124" t="s">
        <v>487</v>
      </c>
      <c r="D124" s="3">
        <v>2</v>
      </c>
      <c r="E124" s="3">
        <v>6</v>
      </c>
      <c r="F124" s="4" t="s">
        <v>488</v>
      </c>
      <c r="G124" s="4" t="s">
        <v>489</v>
      </c>
      <c r="H124" s="16" t="s">
        <v>490</v>
      </c>
      <c r="I124" s="16" t="s">
        <v>491</v>
      </c>
      <c r="J124" s="16" t="s">
        <v>492</v>
      </c>
      <c r="K124" s="17" t="s">
        <v>493</v>
      </c>
      <c r="L124" s="18" t="str">
        <f t="shared" si="1"/>
        <v>adrianocubas@somaautomoveis.com.br; rossi@somaautomoveis.com.br;paulo@fiatsoma.com.br;gerencia.itapeva@somafrance.com.br;gedson.santos@somaautomoveis.com.br;ana.telles@somaautomoveis.com.br;liderkaizen@somafrance.com.br</v>
      </c>
    </row>
    <row r="125" spans="1:12">
      <c r="A125" s="6"/>
      <c r="B125" s="2">
        <v>7600932</v>
      </c>
      <c r="C125" t="s">
        <v>494</v>
      </c>
      <c r="D125" s="3">
        <v>2</v>
      </c>
      <c r="E125" s="3">
        <v>6</v>
      </c>
      <c r="F125" s="4" t="s">
        <v>488</v>
      </c>
      <c r="G125" s="4" t="s">
        <v>489</v>
      </c>
      <c r="H125" s="16" t="s">
        <v>495</v>
      </c>
      <c r="I125" s="16" t="s">
        <v>496</v>
      </c>
      <c r="J125" s="16" t="s">
        <v>492</v>
      </c>
      <c r="K125" s="17" t="s">
        <v>493</v>
      </c>
      <c r="L125" s="18" t="str">
        <f t="shared" si="1"/>
        <v>adrianocubas@somaautomoveis.com.br; rossi@somaautomoveis.com.br;paulo@fiatsoma.com.br;gerencia@somafrance.com.br;gabriel.bueno@somaautomoveis.com.br;ana.telles@somaautomoveis.com.br;liderkaizen@somafrance.com.br</v>
      </c>
    </row>
    <row r="126" spans="1:12">
      <c r="A126" s="6"/>
      <c r="B126" s="2">
        <v>7601219</v>
      </c>
      <c r="C126" t="s">
        <v>497</v>
      </c>
      <c r="D126" s="3">
        <v>2</v>
      </c>
      <c r="E126" s="3">
        <v>6</v>
      </c>
      <c r="F126" s="4" t="s">
        <v>488</v>
      </c>
      <c r="G126" s="4" t="s">
        <v>489</v>
      </c>
      <c r="H126" s="16" t="s">
        <v>495</v>
      </c>
      <c r="I126" s="16" t="s">
        <v>496</v>
      </c>
      <c r="J126" s="16" t="s">
        <v>492</v>
      </c>
      <c r="K126" s="17" t="s">
        <v>493</v>
      </c>
      <c r="L126" s="18" t="str">
        <f t="shared" si="1"/>
        <v>adrianocubas@somaautomoveis.com.br; rossi@somaautomoveis.com.br;paulo@fiatsoma.com.br;gerencia@somafrance.com.br;gabriel.bueno@somaautomoveis.com.br;ana.telles@somaautomoveis.com.br;liderkaizen@somafrance.com.br</v>
      </c>
    </row>
    <row r="127" spans="1:12">
      <c r="A127" s="6"/>
      <c r="B127" s="2">
        <v>7600528</v>
      </c>
      <c r="C127" t="s">
        <v>498</v>
      </c>
      <c r="D127" s="3">
        <v>2</v>
      </c>
      <c r="E127" s="3">
        <v>6</v>
      </c>
      <c r="F127" s="1" t="s">
        <v>499</v>
      </c>
      <c r="G127" s="1"/>
      <c r="H127" s="16" t="s">
        <v>500</v>
      </c>
      <c r="I127" s="16" t="s">
        <v>501</v>
      </c>
      <c r="J127" s="16" t="s">
        <v>502</v>
      </c>
      <c r="K127" s="17" t="s">
        <v>503</v>
      </c>
      <c r="L127" s="18" t="str">
        <f t="shared" si="1"/>
        <v>devincer.miguel@rpoint.com.br;;fabio.varella@rpoint.com.br; andressa.froes@rpoint.com.br; willian.damacena@rpoint.com.br;suellen.tavares@rpoint.com.br; helio.soares@sonnervig.com.br;miguel.silva@rpoint.com.br;ronaldo.diniz@rpoint.com.br; emily.jullie@rpoint.com.br; marcos.aurelio@rpoint.com.br; diogo.aparecido@rpoint.com.br; evandro.rsantos@rpoint.com.br;  fabio.varella@rpoint.com.br; eduardo.uchiyama@rpoint.com.br; helio.soares@sonnervig.com.br; miguel.silva@rpoint.com.br; miguel.silva@rpoint.com.br; thamiris.gari@sonnervig.com.br</v>
      </c>
    </row>
    <row r="128" spans="1:12">
      <c r="A128" s="6"/>
      <c r="B128" s="2">
        <v>7600584</v>
      </c>
      <c r="C128" t="s">
        <v>504</v>
      </c>
      <c r="D128" s="3">
        <v>2</v>
      </c>
      <c r="E128" s="3">
        <v>6</v>
      </c>
      <c r="F128" s="1" t="s">
        <v>499</v>
      </c>
      <c r="G128" s="1"/>
      <c r="H128" s="16" t="s">
        <v>505</v>
      </c>
      <c r="I128" s="16" t="s">
        <v>501</v>
      </c>
      <c r="J128" s="16" t="s">
        <v>502</v>
      </c>
      <c r="K128" s="17" t="s">
        <v>506</v>
      </c>
      <c r="L128" s="18" t="str">
        <f t="shared" si="1"/>
        <v>devincer.miguel@rpoint.com.br;;alessandro.batista@rpoint.com.br; fabio.varella@rpoint.com.br; andressa.froes@rpoint.com.br; willian.damacena@rpoint.com.br;suellen.tavares@rpoint.com.br; helio.soares@sonnervig.com.br;miguel.silva@rpoint.com.br;viviane.previatello@rpoint.com.br; emily.jullie@rpoint.com.br; thiago.scardoso@rpoint.com.br; jefferson.cicero@rpoint.com.br; fabio.varella@rpoint.com.br;  eduardo.uchiyama@rpoint.com.br; helio.soares@sonnervig.com.br; miguel.silva@rpoint.com.br; thamiris.gari@sonnervig.com.br</v>
      </c>
    </row>
    <row r="129" spans="1:12">
      <c r="A129" s="6"/>
      <c r="B129" s="2">
        <v>7600187</v>
      </c>
      <c r="C129" t="s">
        <v>507</v>
      </c>
      <c r="D129" s="3">
        <v>2</v>
      </c>
      <c r="E129" s="3">
        <v>7</v>
      </c>
      <c r="F129" s="4" t="s">
        <v>508</v>
      </c>
      <c r="G129" s="4" t="s">
        <v>509</v>
      </c>
      <c r="H129" s="16" t="s">
        <v>510</v>
      </c>
      <c r="I129" s="16" t="s">
        <v>511</v>
      </c>
      <c r="J129" s="16" t="s">
        <v>512</v>
      </c>
      <c r="K129" s="17" t="s">
        <v>513</v>
      </c>
      <c r="L129" s="18" t="str">
        <f t="shared" si="1"/>
        <v>lcferraz@itavema.com.br; jonas.andrade@itavemafrance.com.br;;mario.diretoria@itavema.com.br;joaopaulo@itavema.com.br;cesarfranco@itavema.com.br;felipefranco@itavema.com.br;mbetuker@itavema.com.br; sergio.msalves@itavemafrance.com.br;mbetuker@itavema.com.br; jczanetti@itavema.com.br;viviane.amoreau@itavemafrance.com.br; lucas.fvasconcelos@itavemafrance.com.br; gabriela.gsilva@itavemafrance.com.br; andrea.monteiro@itavemafrance.com.br;cotech187@itavemafrance.com.br; lcferraz@itavema.com.br;  felipefranco@itavema.com.br; ; jczanetti@itavema.com.br;  ;luciana.ccredigolo@itavemafrance.com.br; mbetuker@itavema.com.br; ; ; gabriela.gsilva@itavema.com.br</v>
      </c>
    </row>
    <row r="130" spans="1:12">
      <c r="A130" s="6"/>
      <c r="B130" s="2">
        <v>7600152</v>
      </c>
      <c r="C130" t="s">
        <v>514</v>
      </c>
      <c r="D130" s="3">
        <v>2</v>
      </c>
      <c r="E130" s="3">
        <v>7</v>
      </c>
      <c r="F130" s="19" t="s">
        <v>515</v>
      </c>
      <c r="G130" s="4" t="s">
        <v>516</v>
      </c>
      <c r="H130" s="16" t="s">
        <v>517</v>
      </c>
      <c r="I130" s="16" t="s">
        <v>518</v>
      </c>
      <c r="J130" s="16" t="s">
        <v>519</v>
      </c>
      <c r="K130" s="17" t="s">
        <v>520</v>
      </c>
      <c r="L130" s="18" t="str">
        <f t="shared" si="1"/>
        <v>lcferraz@itavema.com.br;jonas.andrade@itavemafrance.com.br;mario.diretoria@itavema.com.br;joaopaulo@itavema.com.br;fabio.grupo@itavema.com.br;felipefranco@itavema.com.br;;jczanetti@itavema.com.br; ;;jczanetti@itavema.com.br;viviane.amoreau@itavemafrance.com.br; lucas.fvasconcelos@itavemafrance.com.br; gabriela.gsilva@itavemafrance.com.br; andrea.monteiro@itavemafrance.com.br; marco.lsalinas@itavemafrance.com.br;roberto.sakami@itavemafrance.com.br; lcferraz@itavema.com.br;  felipefranco@itavema.com.br; ; jczanetti@itavema.com.br; ; luciana.ccredigolo@itavemafrance.com.br; mbetuker@itavema.com.br; ; ; gabriela.gsilva@itavema.com.br</v>
      </c>
    </row>
    <row r="131" spans="1:12">
      <c r="A131" s="6"/>
      <c r="B131" s="2">
        <v>7600566</v>
      </c>
      <c r="C131" t="s">
        <v>521</v>
      </c>
      <c r="D131" s="3">
        <v>2</v>
      </c>
      <c r="E131" s="3">
        <v>7</v>
      </c>
      <c r="F131" s="17" t="s">
        <v>508</v>
      </c>
      <c r="G131" s="4" t="s">
        <v>522</v>
      </c>
      <c r="H131" s="16" t="s">
        <v>523</v>
      </c>
      <c r="I131" s="16" t="s">
        <v>524</v>
      </c>
      <c r="J131" s="16" t="s">
        <v>512</v>
      </c>
      <c r="K131" s="17" t="s">
        <v>525</v>
      </c>
      <c r="L131" s="18" t="str">
        <f t="shared" si="1"/>
        <v xml:space="preserve">lcferraz@itavema.com.br; jonas.andrade@itavemafrance.com.br;;mario.diretoria@itavema.com.br;joaopaulo@itavema.com.br;felipefranco@itavema.com.br;luciana.cruz@itavemafrance.com.br; melissa.renno@itavemafrance.com.br;;luciana.cruz@itavemafrance.com.br;viviane.amoreau@itavemafrance.com.br; lucas.fvasconcelos@itavemafrance.com.br; gabriela.gsilva@itavemafrance.com.br; andrea.monteiro@itavemafrance.com.br;cotech.sjc@itavemafrance.com.br; lcferraz@itavema.com.br; ; felipefranco@itavema.com.br; gabriela.gsilva@itavema.com.br; ;  jczanetti@itavema.com.br; luciana.ccredigolo@itavemafrance.com.br; mbetuker@itavema.com.br; ; ; </v>
      </c>
    </row>
    <row r="132" spans="1:12">
      <c r="A132" s="6"/>
      <c r="B132" s="2">
        <v>7600353</v>
      </c>
      <c r="C132" t="s">
        <v>526</v>
      </c>
      <c r="D132" s="3">
        <v>2</v>
      </c>
      <c r="E132" s="3">
        <v>7</v>
      </c>
      <c r="F132" s="4" t="s">
        <v>527</v>
      </c>
      <c r="G132" s="4" t="s">
        <v>522</v>
      </c>
      <c r="H132" s="16" t="s">
        <v>528</v>
      </c>
      <c r="I132" s="16" t="s">
        <v>524</v>
      </c>
      <c r="J132" s="16" t="s">
        <v>512</v>
      </c>
      <c r="K132" s="17" t="s">
        <v>529</v>
      </c>
      <c r="L132" s="18" t="str">
        <f t="shared" si="1"/>
        <v>lcferraz@itavema.com.br;;mario.diretoria@itavema.com.br;joaopaulo@itavema.com.br;felipefranco@itavema.com.br;luciana.cruz@itavemafrance.com.br; anderson.tau@itavemafrance.com.br;;luciana.cruz@itavemafrance.com.br;viviane.amoreau@itavemafrance.com.br; lucas.fvasconcelos@itavemafrance.com.br; gabriela.gsilva@itavemafrance.com.br; andrea.monteiro@itavemafrance.com.br;cesar.borges@itavema.com.br; lcferraz@itavema.com.br;  felipefranco@itavema.com.br; ;  jczanetti@itavema.com.br; ; luciana.ccredigolo@itavemafrance.com.br; mbetuker@itavema.com.br; ; ; gabriela.gsilva@itavema.com.br</v>
      </c>
    </row>
    <row r="133" spans="1:12">
      <c r="A133" s="6"/>
      <c r="B133" s="2">
        <v>7600604</v>
      </c>
      <c r="C133" t="s">
        <v>530</v>
      </c>
      <c r="D133" s="3">
        <v>2</v>
      </c>
      <c r="E133" s="3">
        <v>7</v>
      </c>
      <c r="F133" s="17" t="s">
        <v>531</v>
      </c>
      <c r="G133" s="4" t="s">
        <v>532</v>
      </c>
      <c r="H133" s="16" t="s">
        <v>533</v>
      </c>
      <c r="I133" s="16" t="s">
        <v>533</v>
      </c>
      <c r="J133" s="16"/>
      <c r="K133" s="17" t="s">
        <v>534</v>
      </c>
      <c r="L133" s="18" t="str">
        <f t="shared" ref="L133:L195" si="2">F133&amp;";"&amp;G133&amp;";"&amp;H133&amp;";"&amp;I133&amp;";"&amp;J133&amp;";"&amp;K133</f>
        <v>osmar.peixoto@estorilrenault.com.br;;fernando.peralta@grupoperalta.com.br;acp@peraltaatacadista.com.br;basilio.peralta@grupoperalta.com.br;;rafael.silva@estorilrenault.com.br;rafael.silva@estorilrenault.com.br;;rogerio.oliveira@estorilrenault.com.br; paola.silva@estorilrenault.com.br; ; debora.oliveira@estorilrenault.com.br;</v>
      </c>
    </row>
    <row r="134" spans="1:12">
      <c r="A134" s="6"/>
      <c r="B134" s="2">
        <v>7600108</v>
      </c>
      <c r="C134" t="s">
        <v>535</v>
      </c>
      <c r="D134" s="3">
        <v>2</v>
      </c>
      <c r="E134" s="3">
        <v>7</v>
      </c>
      <c r="F134" s="17" t="s">
        <v>531</v>
      </c>
      <c r="G134" s="4" t="s">
        <v>532</v>
      </c>
      <c r="H134" s="16" t="s">
        <v>536</v>
      </c>
      <c r="I134" s="16" t="s">
        <v>536</v>
      </c>
      <c r="J134" s="16"/>
      <c r="K134" s="17" t="s">
        <v>537</v>
      </c>
      <c r="L134" s="18" t="str">
        <f t="shared" si="2"/>
        <v xml:space="preserve">osmar.peixoto@estorilrenault.com.br;;fernando.peralta@grupoperalta.com.br;acp@peraltaatacadista.com.br;basilio.peralta@grupoperalta.com.br;;leonardo.ranha@estorilrenault.com.br;leonardo.ranha@estorilrenault.com.br;;; paola.silva@estorilrenault.com.br; </v>
      </c>
    </row>
    <row r="135" spans="1:12">
      <c r="A135" s="6"/>
      <c r="B135" s="2">
        <v>7601087</v>
      </c>
      <c r="C135" t="s">
        <v>538</v>
      </c>
      <c r="D135" s="3">
        <v>2</v>
      </c>
      <c r="E135" s="3">
        <v>7</v>
      </c>
      <c r="G135" s="17" t="s">
        <v>539</v>
      </c>
      <c r="H135" s="16" t="s">
        <v>540</v>
      </c>
      <c r="I135" s="16"/>
      <c r="J135" s="16"/>
      <c r="K135" s="1" t="s">
        <v>541</v>
      </c>
      <c r="L135" s="18" t="str">
        <f t="shared" si="2"/>
        <v>;jaime@velmax.com.br;;gerente.novos@maxveltatui.com.br;;;adm.tatui@velmax.com.br</v>
      </c>
    </row>
    <row r="136" spans="1:12">
      <c r="A136" s="6"/>
      <c r="B136" s="2">
        <v>7600917</v>
      </c>
      <c r="C136" t="s">
        <v>542</v>
      </c>
      <c r="D136" s="3">
        <v>2</v>
      </c>
      <c r="E136" s="3">
        <v>7</v>
      </c>
      <c r="F136" s="1" t="s">
        <v>499</v>
      </c>
      <c r="G136" s="1"/>
      <c r="H136" s="16" t="s">
        <v>543</v>
      </c>
      <c r="I136" s="16" t="s">
        <v>544</v>
      </c>
      <c r="J136" s="16" t="s">
        <v>502</v>
      </c>
      <c r="K136" s="17" t="s">
        <v>545</v>
      </c>
      <c r="L136" s="18" t="str">
        <f t="shared" si="2"/>
        <v>devincer.miguel@rpoint.com.br;;airton.borges@rpoint.com.br; fabio.varella@rpoint.com.br; andressa.froes@rpoint.com.br; willian.damacena@rpoint.com.br;marcos.aurelio@rpoint.com.br; helio.soares@sonnervig.com.br;miguel.silva@rpoint.com.br;airton.borges@rpoint.com.br; emily.jullie@rpoint.com.br; marcos.aurelio@rpoint.com.br; felipe.nsoares@rpoint.com.br; fabio.varella@rpoint.com.br;  eduardo.uchiyama@rpoint.com.br; miguel.silva@rpoint.com.br; thamiris.gari@sonnervig.com.br</v>
      </c>
    </row>
    <row r="137" spans="1:12">
      <c r="A137" s="6"/>
      <c r="B137" s="2">
        <v>7600916</v>
      </c>
      <c r="C137" t="s">
        <v>546</v>
      </c>
      <c r="D137" s="3">
        <v>2</v>
      </c>
      <c r="E137" s="3">
        <v>7</v>
      </c>
      <c r="F137" s="1" t="s">
        <v>499</v>
      </c>
      <c r="G137" s="1"/>
      <c r="H137" s="16" t="s">
        <v>547</v>
      </c>
      <c r="I137" s="16" t="s">
        <v>544</v>
      </c>
      <c r="J137" s="16" t="s">
        <v>502</v>
      </c>
      <c r="K137" s="17" t="s">
        <v>548</v>
      </c>
      <c r="L137" s="18" t="str">
        <f t="shared" si="2"/>
        <v>devincer.miguel@rpoint.com.br;;ronaldo.diniz@rpoint.com.br; fabio.varella@rpoint.com.br; andressa.froes@rpoint.com.br; willian.damacena@rpoint.com.br;marcos.aurelio@rpoint.com.br; helio.soares@sonnervig.com.br;miguel.silva@rpoint.com.br;alessandro.batista@rpoint.com.br; emily.jullie@rpoint.com.br; felipe.nsoares@rpoint.com.br; fabio.varella@rpoint.com.br;  eduardo.uchiyama@rpoint.com.br; helio.soares@sonnervig.com.br; miguel.silva@rpoint.com.br; thamiris.gari@sonnervig.com.br</v>
      </c>
    </row>
    <row r="138" spans="1:12">
      <c r="A138" s="6"/>
      <c r="B138" s="2">
        <v>7601141</v>
      </c>
      <c r="C138" t="s">
        <v>549</v>
      </c>
      <c r="D138" s="3">
        <v>2</v>
      </c>
      <c r="E138" s="3">
        <v>7</v>
      </c>
      <c r="F138" s="17" t="s">
        <v>550</v>
      </c>
      <c r="G138" s="17" t="s">
        <v>551</v>
      </c>
      <c r="H138" s="16" t="s">
        <v>552</v>
      </c>
      <c r="I138" s="16" t="s">
        <v>553</v>
      </c>
      <c r="J138" s="16" t="s">
        <v>554</v>
      </c>
      <c r="K138" s="17" t="s">
        <v>555</v>
      </c>
      <c r="L138" s="18" t="str">
        <f t="shared" si="2"/>
        <v>vando@valecrenault.com.br;luciano@luchini.com.br;-;priscila.mitre@valecrenault.com.br;andressa.pussa@valecrenault.com.br;magno@valecrenault.com.br</v>
      </c>
    </row>
    <row r="139" spans="1:12">
      <c r="A139" s="6"/>
      <c r="B139" s="2">
        <v>7600075</v>
      </c>
      <c r="C139" t="s">
        <v>556</v>
      </c>
      <c r="D139" s="3">
        <v>2</v>
      </c>
      <c r="E139" s="3">
        <v>7</v>
      </c>
      <c r="F139" s="4" t="s">
        <v>550</v>
      </c>
      <c r="G139" s="17" t="s">
        <v>551</v>
      </c>
      <c r="H139" s="16" t="s">
        <v>557</v>
      </c>
      <c r="I139" s="16" t="s">
        <v>558</v>
      </c>
      <c r="J139" s="16" t="s">
        <v>554</v>
      </c>
      <c r="K139" s="17" t="s">
        <v>555</v>
      </c>
      <c r="L139" s="18" t="str">
        <f t="shared" si="2"/>
        <v>vando@valecrenault.com.br;luciano@luchini.com.br;elmer@valecrenault.com.br;helton.jacinto@valecrenault.com.br;andressa.pussa@valecrenault.com.br;magno@valecrenault.com.br</v>
      </c>
    </row>
    <row r="140" spans="1:12">
      <c r="A140" s="6"/>
      <c r="B140" s="2">
        <v>7600383</v>
      </c>
      <c r="C140" t="s">
        <v>559</v>
      </c>
      <c r="D140" s="3">
        <v>2</v>
      </c>
      <c r="E140" s="3">
        <v>7</v>
      </c>
      <c r="F140" s="4" t="s">
        <v>550</v>
      </c>
      <c r="G140" s="17" t="s">
        <v>551</v>
      </c>
      <c r="H140" s="16" t="s">
        <v>560</v>
      </c>
      <c r="I140" s="16" t="s">
        <v>561</v>
      </c>
      <c r="J140" s="16" t="s">
        <v>554</v>
      </c>
      <c r="K140" s="17" t="s">
        <v>555</v>
      </c>
      <c r="L140" s="18" t="str">
        <f t="shared" si="2"/>
        <v>vando@valecrenault.com.br;luciano@luchini.com.br;debora.monzani@valecrenault.com.br;luis.olavo@valecrenault.com.br;andressa.pussa@valecrenault.com.br;magno@valecrenault.com.br</v>
      </c>
    </row>
    <row r="141" spans="1:12">
      <c r="A141" s="6"/>
      <c r="B141" s="2">
        <v>7600156</v>
      </c>
      <c r="C141" t="s">
        <v>562</v>
      </c>
      <c r="D141" s="3">
        <v>2</v>
      </c>
      <c r="E141" s="3">
        <v>7</v>
      </c>
      <c r="F141" s="4" t="s">
        <v>550</v>
      </c>
      <c r="G141" s="17" t="s">
        <v>551</v>
      </c>
      <c r="H141" s="16" t="s">
        <v>563</v>
      </c>
      <c r="I141" s="16" t="s">
        <v>564</v>
      </c>
      <c r="J141" s="16" t="s">
        <v>554</v>
      </c>
      <c r="K141" s="17" t="s">
        <v>555</v>
      </c>
      <c r="L141" s="18" t="str">
        <f t="shared" si="2"/>
        <v>vando@valecrenault.com.br;luciano@luchini.com.br;flavio.riceto@valecrenault.com.br;guilherme.madella@valecrenault.com.br;andressa.pussa@valecrenault.com.br;magno@valecrenault.com.br</v>
      </c>
    </row>
    <row r="142" spans="1:12">
      <c r="A142" s="6"/>
      <c r="B142" s="2">
        <v>7600608</v>
      </c>
      <c r="C142" t="s">
        <v>565</v>
      </c>
      <c r="D142" s="3">
        <v>2</v>
      </c>
      <c r="E142" s="3">
        <v>7</v>
      </c>
      <c r="F142" s="19" t="s">
        <v>550</v>
      </c>
      <c r="G142" s="17" t="s">
        <v>551</v>
      </c>
      <c r="H142" s="16" t="s">
        <v>566</v>
      </c>
      <c r="I142" s="16" t="s">
        <v>567</v>
      </c>
      <c r="J142" s="16" t="s">
        <v>554</v>
      </c>
      <c r="K142" s="17" t="s">
        <v>555</v>
      </c>
      <c r="L142" s="18" t="str">
        <f t="shared" si="2"/>
        <v>vando@valecrenault.com.br;luciano@luchini.com.br;alexandre.santos@valecrenault.com.br;juarez.junior@valecrenault.com.br;andressa.pussa@valecrenault.com.br;magno@valecrenault.com.br</v>
      </c>
    </row>
    <row r="143" spans="1:12">
      <c r="A143" s="6"/>
      <c r="B143" s="2">
        <v>7600992</v>
      </c>
      <c r="C143" t="s">
        <v>568</v>
      </c>
      <c r="D143" s="3">
        <v>2</v>
      </c>
      <c r="E143" s="3">
        <v>7</v>
      </c>
      <c r="F143" s="4" t="s">
        <v>569</v>
      </c>
      <c r="G143" s="17" t="s">
        <v>570</v>
      </c>
      <c r="H143" s="16" t="s">
        <v>571</v>
      </c>
      <c r="I143" s="16" t="s">
        <v>571</v>
      </c>
      <c r="J143" s="1" t="s">
        <v>572</v>
      </c>
      <c r="K143" s="17" t="s">
        <v>573</v>
      </c>
      <c r="L143" s="18" t="str">
        <f t="shared" si="2"/>
        <v>renatosaraiva@eurorenault.com.br; ; bressan@atri.com.br;tiago@atri.com.br;mazer@atri.com.br;;supervisor.eurofr@eurorenault.com.br;supervisor.eurofr@eurorenault.com.br;amanda.evangelista@eurorenault.com.br;cotech.eurofrc@eurorenault.com.br; bruna.miranda@eurorenault.com.br; brenda.lanca@eurorenault.com.br; assistente.vendasdiretas@eurorenault.com.br; amanda.souza@eurorenault.com.br; hugo.leonardo@eurorenault.com.br</v>
      </c>
    </row>
    <row r="144" spans="1:12">
      <c r="A144" s="6"/>
      <c r="B144" s="2">
        <v>7600973</v>
      </c>
      <c r="C144" t="s">
        <v>574</v>
      </c>
      <c r="D144" s="3">
        <v>2</v>
      </c>
      <c r="E144" s="3">
        <v>7</v>
      </c>
      <c r="F144" s="4" t="s">
        <v>575</v>
      </c>
      <c r="G144" s="4" t="s">
        <v>576</v>
      </c>
      <c r="H144" s="16" t="s">
        <v>577</v>
      </c>
      <c r="I144" s="16"/>
      <c r="J144" s="1" t="s">
        <v>572</v>
      </c>
      <c r="K144" s="17" t="s">
        <v>578</v>
      </c>
      <c r="L144" s="18" t="str">
        <f t="shared" si="2"/>
        <v>;renatosaraiva@eurorenault.com.br;;tiago@atri.com.br; mazer@atri.com.br; bressan@atri.com.br;;assistente.vendasdiretas@eurorenault.com.br ;;amanda.evangelista@eurorenault.com.br;ANDRE.LIMA@EURORENAULT.COM.BR; bruna.miranda@eurorenault.com.br; brenda.lanca@eurorenault.com.br; assistente.vendasdiretas@eurorenault.com.br; marina.maschio@eurorenault.com.br; hugo.leonardo@eurorenault.com.br</v>
      </c>
    </row>
    <row r="145" spans="1:12">
      <c r="A145" s="6"/>
      <c r="B145" s="2">
        <v>7601097</v>
      </c>
      <c r="C145" t="s">
        <v>579</v>
      </c>
      <c r="D145" s="3">
        <v>2</v>
      </c>
      <c r="E145" s="3">
        <v>7</v>
      </c>
      <c r="F145" s="4" t="s">
        <v>580</v>
      </c>
      <c r="G145" s="4" t="s">
        <v>581</v>
      </c>
      <c r="H145" s="16" t="s">
        <v>582</v>
      </c>
      <c r="I145" s="16" t="s">
        <v>583</v>
      </c>
      <c r="J145" s="16" t="s">
        <v>583</v>
      </c>
      <c r="K145" s="17" t="s">
        <v>584</v>
      </c>
      <c r="L145" s="18" t="str">
        <f t="shared" si="2"/>
        <v>servicos@muchiutt.com.br;luciano@muchiutt.com.br;;valter@muchiutt.com.br;luciano@muchiutt.com.br;;vendas01prudente@muchiutt.com.br;;oficina01prudente@muchiutt.com.br;oficina01prudente@muchiutt.com.br;pecas01prudente@muchiutt.com.br</v>
      </c>
    </row>
    <row r="146" spans="1:12">
      <c r="A146" s="6"/>
      <c r="B146" s="2">
        <v>7600839</v>
      </c>
      <c r="C146" t="s">
        <v>585</v>
      </c>
      <c r="D146" s="3">
        <v>3</v>
      </c>
      <c r="E146" s="3">
        <v>1</v>
      </c>
      <c r="F146" s="4" t="s">
        <v>586</v>
      </c>
      <c r="G146" s="4" t="s">
        <v>587</v>
      </c>
      <c r="H146" s="1" t="s">
        <v>588</v>
      </c>
      <c r="I146" s="1" t="s">
        <v>589</v>
      </c>
      <c r="J146" s="1" t="s">
        <v>590</v>
      </c>
      <c r="K146" s="17" t="s">
        <v>591</v>
      </c>
      <c r="L146" s="18" t="str">
        <f t="shared" si="2"/>
        <v xml:space="preserve">jtjunior@navesa.com.br; ;; jtjunior@navesa.com.br; ; ;leo.soyer@navesa.com.br;carlos.alberto@navesa.com.br;keilaaugusta@navesa.com.br;THAMER.MUNIZ@NAVESA.COM.BR; </v>
      </c>
    </row>
    <row r="147" spans="1:12">
      <c r="A147" s="6"/>
      <c r="B147" s="2">
        <v>7600811</v>
      </c>
      <c r="C147" t="s">
        <v>592</v>
      </c>
      <c r="D147" s="3">
        <v>3</v>
      </c>
      <c r="E147" s="3">
        <v>1</v>
      </c>
      <c r="F147" s="1" t="s">
        <v>593</v>
      </c>
      <c r="G147" s="1" t="s">
        <v>594</v>
      </c>
      <c r="H147" s="1"/>
      <c r="I147" s="1" t="s">
        <v>595</v>
      </c>
      <c r="J147" s="1"/>
      <c r="K147" s="17"/>
      <c r="L147" s="18" t="str">
        <f t="shared" si="2"/>
        <v>romildo@pinauto.com.br;edmoneto@pinauto.com.br; brenopinheiro@pinauto.com.br;;marcos.delgado@pinauto.com.br; vilmar.silva@pinauto.com.br;;</v>
      </c>
    </row>
    <row r="148" spans="1:12">
      <c r="A148" s="6"/>
      <c r="B148" s="2">
        <v>7600832</v>
      </c>
      <c r="C148" t="s">
        <v>596</v>
      </c>
      <c r="D148" s="3">
        <v>3</v>
      </c>
      <c r="E148" s="3">
        <v>1</v>
      </c>
      <c r="F148" s="1" t="s">
        <v>597</v>
      </c>
      <c r="G148" s="1" t="s">
        <v>597</v>
      </c>
      <c r="H148" s="1" t="s">
        <v>598</v>
      </c>
      <c r="I148" s="1" t="s">
        <v>599</v>
      </c>
      <c r="J148" s="1" t="s">
        <v>600</v>
      </c>
      <c r="K148" s="17"/>
      <c r="L148" s="18" t="str">
        <f t="shared" si="2"/>
        <v>flavio@ravelrenault.com.br;flavio@ravelrenault.com.br;rodrigo@ravelrenault.com.br;ismael@ravelrenault.com.br;crm@ravelrenault.com.br;</v>
      </c>
    </row>
    <row r="149" spans="1:12">
      <c r="A149" s="6"/>
      <c r="B149" s="2">
        <v>7600520</v>
      </c>
      <c r="C149" t="s">
        <v>601</v>
      </c>
      <c r="D149" s="3">
        <v>3</v>
      </c>
      <c r="E149" s="3">
        <v>1</v>
      </c>
      <c r="F149" s="17" t="s">
        <v>602</v>
      </c>
      <c r="G149" s="1" t="s">
        <v>603</v>
      </c>
      <c r="H149" s="1" t="s">
        <v>604</v>
      </c>
      <c r="I149" s="1" t="s">
        <v>605</v>
      </c>
      <c r="J149" s="1" t="s">
        <v>606</v>
      </c>
      <c r="K149" s="17"/>
      <c r="L149" s="18" t="str">
        <f t="shared" si="2"/>
        <v>marcio.macedo@tecar.com.br;JHN@TECAR.COM.BR;elquiany.silva@tecar.com.br;romildo.freitas@tecar.com.br;luma.campos@tecar.com.br;</v>
      </c>
    </row>
    <row r="150" spans="1:12">
      <c r="A150" s="6"/>
      <c r="B150" s="2">
        <v>7600312</v>
      </c>
      <c r="C150" t="s">
        <v>607</v>
      </c>
      <c r="D150" s="3">
        <v>3</v>
      </c>
      <c r="E150" s="3">
        <v>2</v>
      </c>
      <c r="F150" s="17" t="s">
        <v>608</v>
      </c>
      <c r="G150" s="17" t="s">
        <v>609</v>
      </c>
      <c r="H150" s="16" t="s">
        <v>610</v>
      </c>
      <c r="I150" s="16" t="s">
        <v>611</v>
      </c>
      <c r="J150" s="16" t="s">
        <v>612</v>
      </c>
      <c r="K150" s="17" t="s">
        <v>613</v>
      </c>
      <c r="L150" s="18" t="str">
        <f t="shared" si="2"/>
        <v>vitorleta@grupoleauto.com.br;rodrigoleta@grupoleauto.com.br;gabrielleta@grupoleauto.com.br;rafaelleta@grupoleauto.com.br;alfredoleta@grupoleauto.com.br;marcoleta@grupoleauto.com.br;francescoleta@grupoleauto.com.br;;gervnrab@grupoleauto.com.br;supofrab@grupoleauto.com.br;Qualidade@grupoleauto.com.br;gergeralpv@grupoleauto.com.br;gergeralpc@grupoleauto.com.br</v>
      </c>
    </row>
    <row r="151" spans="1:12">
      <c r="A151" s="6"/>
      <c r="B151" s="2">
        <v>7600013</v>
      </c>
      <c r="C151" t="s">
        <v>614</v>
      </c>
      <c r="D151" s="3">
        <v>3</v>
      </c>
      <c r="E151" s="3">
        <v>2</v>
      </c>
      <c r="F151" s="17" t="s">
        <v>608</v>
      </c>
      <c r="G151" s="17" t="s">
        <v>615</v>
      </c>
      <c r="H151" s="16" t="s">
        <v>616</v>
      </c>
      <c r="I151" s="16" t="s">
        <v>617</v>
      </c>
      <c r="J151" s="16" t="s">
        <v>612</v>
      </c>
      <c r="K151" s="17" t="s">
        <v>613</v>
      </c>
      <c r="L151" s="18" t="str">
        <f t="shared" si="2"/>
        <v>vitorleta@grupoleauto.com.br;rodrigoleta@grupoleauto.com.br;gabrielleta@grupoleauto.com.br;rafaelleta@grupoleauto.com.br;alfredoleta@grupoleauto.com.br;marcoleta@grupoleauto.com.br;francescoleta@grupoleauto.com.br;gervnrbf@grupoleauto.com.br;gerofbf@grupoleauto.com.br;Qualidade@grupoleauto.com.br;gergeralpv@grupoleauto.com.br;gergeralpc@grupoleauto.com.br</v>
      </c>
    </row>
    <row r="152" spans="1:12">
      <c r="A152" s="6"/>
      <c r="B152" s="2">
        <v>7600526</v>
      </c>
      <c r="C152" t="s">
        <v>618</v>
      </c>
      <c r="D152" s="3">
        <v>3</v>
      </c>
      <c r="E152" s="3">
        <v>2</v>
      </c>
      <c r="F152" s="17" t="s">
        <v>608</v>
      </c>
      <c r="G152" s="17" t="s">
        <v>609</v>
      </c>
      <c r="H152" s="16" t="s">
        <v>619</v>
      </c>
      <c r="I152" s="16" t="s">
        <v>620</v>
      </c>
      <c r="J152" s="16" t="s">
        <v>612</v>
      </c>
      <c r="K152" s="17" t="s">
        <v>613</v>
      </c>
      <c r="L152" s="18" t="str">
        <f t="shared" si="2"/>
        <v>vitorleta@grupoleauto.com.br;rodrigoleta@grupoleauto.com.br;gabrielleta@grupoleauto.com.br;rafaelleta@grupoleauto.com.br;alfredoleta@grupoleauto.com.br;marcoleta@grupoleauto.com.br;francescoleta@grupoleauto.com.br;;supvnrpe@grupoleauto.com.br;gerofrpe@grupoleauto.com.br;Qualidade@grupoleauto.com.br;gergeralpv@grupoleauto.com.br;gergeralpc@grupoleauto.com.br</v>
      </c>
    </row>
    <row r="153" spans="1:12">
      <c r="A153" s="6"/>
      <c r="B153" s="2">
        <v>7600213</v>
      </c>
      <c r="C153" t="s">
        <v>621</v>
      </c>
      <c r="D153" s="3">
        <v>3</v>
      </c>
      <c r="E153" s="3">
        <v>2</v>
      </c>
      <c r="F153" s="17" t="s">
        <v>608</v>
      </c>
      <c r="G153" s="17" t="s">
        <v>615</v>
      </c>
      <c r="H153" s="16" t="s">
        <v>622</v>
      </c>
      <c r="I153" s="16" t="s">
        <v>623</v>
      </c>
      <c r="J153" s="16" t="s">
        <v>612</v>
      </c>
      <c r="K153" s="17" t="s">
        <v>613</v>
      </c>
      <c r="L153" s="18" t="str">
        <f t="shared" si="2"/>
        <v>vitorleta@grupoleauto.com.br;rodrigoleta@grupoleauto.com.br;gabrielleta@grupoleauto.com.br;rafaelleta@grupoleauto.com.br;alfredoleta@grupoleauto.com.br;marcoleta@grupoleauto.com.br;francescoleta@grupoleauto.com.br;supvnrtj@grupoleauto.com.br;geroftj@grupoleauto.com.br;Qualidade@grupoleauto.com.br;gergeralpv@grupoleauto.com.br;gergeralpc@grupoleauto.com.br</v>
      </c>
    </row>
    <row r="154" spans="1:12">
      <c r="A154" s="6"/>
      <c r="B154" s="2">
        <v>7600592</v>
      </c>
      <c r="C154" t="s">
        <v>624</v>
      </c>
      <c r="D154" s="3">
        <v>3</v>
      </c>
      <c r="E154" s="3">
        <v>2</v>
      </c>
      <c r="F154" s="4" t="s">
        <v>625</v>
      </c>
      <c r="G154" s="19" t="s">
        <v>626</v>
      </c>
      <c r="H154" s="16" t="s">
        <v>627</v>
      </c>
      <c r="I154" s="16" t="s">
        <v>628</v>
      </c>
      <c r="J154" s="16"/>
      <c r="K154" s="17" t="s">
        <v>629</v>
      </c>
      <c r="L154" s="18" t="str">
        <f t="shared" si="2"/>
        <v>guilherme@levarenault.com.br;carolina@levarenault.com.br;joao@levarenault.com.br;diretoria@levarenault.com.br;gvn@levarenault.com.br;rpv@levarenault.com.br;;oficina@levarenault.com.br; controller@levarenault.com.br</v>
      </c>
    </row>
    <row r="155" spans="1:12">
      <c r="A155" s="6"/>
      <c r="B155" s="2">
        <v>7601201</v>
      </c>
      <c r="C155" t="s">
        <v>630</v>
      </c>
      <c r="D155" s="3">
        <v>3</v>
      </c>
      <c r="E155" s="3">
        <v>2</v>
      </c>
      <c r="F155" s="4" t="s">
        <v>631</v>
      </c>
      <c r="G155" s="4" t="s">
        <v>632</v>
      </c>
      <c r="H155" s="16" t="s">
        <v>633</v>
      </c>
      <c r="I155" s="16" t="s">
        <v>628</v>
      </c>
      <c r="J155" s="16"/>
      <c r="K155" s="17" t="s">
        <v>634</v>
      </c>
      <c r="L155" s="18" t="str">
        <f t="shared" si="2"/>
        <v>guilherme@levarenault.com.br; rpv@levarenault.com.br;carolina@levarenault.com.br;ti2@levarenault.com.br; rpv@levarenault.com.br;rpv@levarenault.com.br;;controller@levarenault.com.br</v>
      </c>
    </row>
    <row r="156" spans="1:12">
      <c r="A156" s="6"/>
      <c r="B156" s="2">
        <v>7601104</v>
      </c>
      <c r="C156" t="s">
        <v>635</v>
      </c>
      <c r="D156" s="3">
        <v>3</v>
      </c>
      <c r="E156" s="3">
        <v>2</v>
      </c>
      <c r="G156" s="4" t="s">
        <v>636</v>
      </c>
      <c r="H156" s="16" t="s">
        <v>637</v>
      </c>
      <c r="I156" s="16" t="s">
        <v>637</v>
      </c>
      <c r="J156" s="16" t="s">
        <v>638</v>
      </c>
      <c r="K156" s="17" t="s">
        <v>639</v>
      </c>
      <c r="L156" s="18" t="str">
        <f t="shared" si="2"/>
        <v>;maxwelllage@grupomulticar.com.br;;gerentepvgv.re@grupomulticar.com.br;gerentepvgv.re@grupomulticar.com.br;qualidade.gv@kobeveiculos.com.br; comercial.re@grupomulticar.com.br; gerentepvgv.re@grupomulticar.com.br; wagner.g@kobeveiculos.com.br; qualidade.gv@kobeveiculos.com.br;cotechgv.re@grupomulticar.com.br; qualidade.gv@kobeveiculos.com.br;</v>
      </c>
    </row>
    <row r="157" spans="1:12">
      <c r="A157" s="6"/>
      <c r="B157" s="2">
        <v>7600249</v>
      </c>
      <c r="C157" t="s">
        <v>640</v>
      </c>
      <c r="D157" s="3">
        <v>3</v>
      </c>
      <c r="E157" s="3">
        <v>2</v>
      </c>
      <c r="F157" s="17" t="s">
        <v>602</v>
      </c>
      <c r="G157" s="19" t="s">
        <v>641</v>
      </c>
      <c r="H157" s="16" t="s">
        <v>642</v>
      </c>
      <c r="I157" s="16" t="s">
        <v>643</v>
      </c>
      <c r="J157" s="17" t="s">
        <v>644</v>
      </c>
      <c r="K157" s="17" t="s">
        <v>645</v>
      </c>
      <c r="L157" s="18" t="str">
        <f t="shared" si="2"/>
        <v>marcio.macedo@tecar.com.br;jhn@tecar.com.br; jmn@tecar.com.br;;piter.rodrigues@tecar.com.br; jackeline.silva@tecar.com.br; elis.reis@tecar.com.br; eudes.silva@tecar.com.br;piter.rodrigues@tecar.com.br;jackeline.silva@tecar.com.br;osmano.alves@tecar.com.br; maria.nazare@tecar.com.br</v>
      </c>
    </row>
    <row r="158" spans="1:12">
      <c r="A158" s="6"/>
      <c r="B158" s="2">
        <v>7600770</v>
      </c>
      <c r="C158" t="s">
        <v>646</v>
      </c>
      <c r="D158" s="3">
        <v>3</v>
      </c>
      <c r="E158" s="3">
        <v>3</v>
      </c>
      <c r="F158" s="19"/>
      <c r="G158" s="19" t="s">
        <v>647</v>
      </c>
      <c r="H158" s="16" t="s">
        <v>648</v>
      </c>
      <c r="I158" s="16" t="s">
        <v>649</v>
      </c>
      <c r="J158" s="16" t="s">
        <v>650</v>
      </c>
      <c r="K158" s="17" t="s">
        <v>651</v>
      </c>
      <c r="L158" s="18" t="str">
        <f t="shared" si="2"/>
        <v xml:space="preserve">;geraldo.oggioni@grupoautomotive.com.br;joao@grupoautomotive.com.br;rita.oggioni@grupoautomotive.com.br;;g2.pv@renaultautofrance.com.br;g2.pv@renaultautofrance.com.br; pv1@grupoautomotive.com.br;; qualidade@grupoautomotive.com.br; fabio@grupoautomotive.com.br; aux.qualidade2@grupoautomotive.com.br; aux.qualidade@grupoautomotive.com.br;g2.cotech@renaultautofrance.com.br; pv1@grupoautomotive.com.br; g1.pv@renaultautofrance.com.br; g2.pv@renaultautofrance.com.br; g7.pv@renaultautofrance.com.br;  g10.pv@renaultautofrance.com.br; g1.vn@renaultautofrance.com.br; g2.vn@renaultautofrance.com.br;  g7.vn@renaultautofrance.com.br; g10.vn@renaultautofrance.com.br; qualidade@grupoautomotive.com.br; ;  </v>
      </c>
    </row>
    <row r="159" spans="1:12">
      <c r="A159" s="6"/>
      <c r="B159" s="2">
        <v>7600690</v>
      </c>
      <c r="C159" t="s">
        <v>652</v>
      </c>
      <c r="D159" s="3">
        <v>3</v>
      </c>
      <c r="E159" s="3">
        <v>3</v>
      </c>
      <c r="G159" s="4" t="s">
        <v>653</v>
      </c>
      <c r="H159" s="16" t="s">
        <v>654</v>
      </c>
      <c r="I159" s="16" t="s">
        <v>655</v>
      </c>
      <c r="J159" s="16" t="s">
        <v>650</v>
      </c>
      <c r="K159" s="17" t="s">
        <v>656</v>
      </c>
      <c r="L159" s="18" t="str">
        <f t="shared" si="2"/>
        <v xml:space="preserve">;geraldo.oggioni@grupoautomotive.com.br;bharbara@grupoautomotive.com.br;rita.oggioni@grupoautomotive.com.br;joao@grupoautomotive.com.br;;g1.pv@renaultautofrance.com.br;g1.pv@renaultautofrance.com.br; pv1@grupoautomotive.com.br;; qualidade@grupoautomotive.com.br; fabio@grupoautomotive.com.br; aux.qualidade2@grupoautomotive.com.br; aux.qualidade@grupoautomotive.com.br;g1.cotech@renaultautofrance.com.br; pv1@grupoautomotive.com.br; g1.pv@renaultautofrance.com.br; g2.pv@renaultautofrance.com.br; g7.pv@renaultautofrance.com.br;  g10.pv@renaultautofrance.com.br; g1.vn@renaultautofrance.com.br; g2.vn@renaultautofrance.com.br;  g7.vn@renaultautofrance.com.br; g10.vn@renaultautofrance.com.br; qualidade@grupoautomotive.com.br; ;  </v>
      </c>
    </row>
    <row r="160" spans="1:12">
      <c r="A160" s="6"/>
      <c r="B160" s="2">
        <v>7600820</v>
      </c>
      <c r="C160" t="s">
        <v>657</v>
      </c>
      <c r="D160" s="3">
        <v>3</v>
      </c>
      <c r="E160" s="3">
        <v>3</v>
      </c>
      <c r="G160" s="4" t="s">
        <v>658</v>
      </c>
      <c r="H160" s="16" t="s">
        <v>659</v>
      </c>
      <c r="I160" s="16" t="s">
        <v>660</v>
      </c>
      <c r="J160" s="16" t="s">
        <v>650</v>
      </c>
      <c r="K160" s="17" t="s">
        <v>661</v>
      </c>
      <c r="L160" s="18" t="str">
        <f t="shared" si="2"/>
        <v xml:space="preserve">;geraldo.oggioni@grupoautomotive.com.br;rita.oggioni@grupoautomotive.com.br;joao@grupoautomotive.com.br;;g10.pv@renaultautofrance.com.br;g10.pv@renaultautofrance.com.br; pv1@grupoautomotive.com.br;; qualidade@grupoautomotive.com.br; fabio@grupoautomotive.com.br; aux.qualidade2@grupoautomotive.com.br; aux.qualidade@grupoautomotive.com.br;pv1@grupoautomotive.com.br; g1.pv@renaultautofrance.com.br; g2.pv@renaultautofrance.com.br; g7.pv@renaultautofrance.com.br;  g10.pv@renaultautofrance.com.br; g1.vn@renaultautofrance.com.br; g2.vn@renaultautofrance.com.br;  g7.vn@renaultautofrance.com.br; g10.vn@renaultautofrance.com.br; qualidade@grupoautomotive.com.br; ;  </v>
      </c>
    </row>
    <row r="161" spans="1:12">
      <c r="A161" s="6"/>
      <c r="B161" s="2">
        <v>7600813</v>
      </c>
      <c r="C161" t="s">
        <v>662</v>
      </c>
      <c r="D161" s="3">
        <v>3</v>
      </c>
      <c r="E161" s="3">
        <v>3</v>
      </c>
      <c r="G161" s="4" t="s">
        <v>658</v>
      </c>
      <c r="H161" s="16" t="s">
        <v>663</v>
      </c>
      <c r="I161" s="16" t="s">
        <v>664</v>
      </c>
      <c r="J161" s="16" t="s">
        <v>650</v>
      </c>
      <c r="K161" s="17" t="s">
        <v>665</v>
      </c>
      <c r="L161" s="18" t="str">
        <f t="shared" si="2"/>
        <v xml:space="preserve">;geraldo.oggioni@grupoautomotive.com.br;rita.oggioni@grupoautomotive.com.br;joao@grupoautomotive.com.br;;g7.pv@renaultautofrance.com.br&gt;;g7.pv@renaultautofrance.com.br; pv1@grupoautomotive.com.br;; qualidade@grupoautomotive.com.br; fabio@grupoautomotive.com.br; aux.qualidade2@grupoautomotive.com.br; aux.qualidade@grupoautomotive.com.br;; pv1@grupoautomotive.com.br; g1.pv@renaultautofrance.com.br; g2.pv@renaultautofrance.com.br; g7.pv@renaultautofrance.com.br;  g10.pv@renaultautofrance.com.br; g1.vn@renaultautofrance.com.br; g2.vn@renaultautofrance.com.br;  g7.vn@renaultautofrance.com.br; g10.vn@renaultautofrance.com.br; qualidade@grupoautomotive.com.br; ;  </v>
      </c>
    </row>
    <row r="162" spans="1:12">
      <c r="A162" s="6"/>
      <c r="B162" s="2">
        <v>7601134</v>
      </c>
      <c r="C162" t="s">
        <v>666</v>
      </c>
      <c r="D162" s="3">
        <v>3</v>
      </c>
      <c r="E162" s="3">
        <v>3</v>
      </c>
      <c r="F162" s="4" t="s">
        <v>667</v>
      </c>
      <c r="G162" t="s">
        <v>668</v>
      </c>
      <c r="H162" s="1" t="s">
        <v>669</v>
      </c>
      <c r="I162" s="1" t="s">
        <v>670</v>
      </c>
      <c r="J162" s="1" t="s">
        <v>671</v>
      </c>
      <c r="K162" s="17" t="s">
        <v>672</v>
      </c>
      <c r="L162" s="18" t="str">
        <f t="shared" si="2"/>
        <v>sandro.of@azzurranet.com.br;
bruno.vn@azzurranet.com.br;
leandro.pc@azzurranet.com.br;lellopepe@azzurranet.com.br; 
pasquale@azzurranet.com.br;
hugo@azzurranet.com.br;
stefano@azzurranet.com.br;rafael.vn@azzurranet.com.br;julio.of@azzurranet.com.br;aline.cqa@azzurranet.com.br;
sabrina.cqa@azzurranet.com.br;
vitoria.cqa@azzurranet.com.br;
jessica.cqa@azzurranet.com.br;juliana.rh@azzurranet.com.br;
ana.sac@azzurranet.com.br;
eliene.crm@azzurranet.com.br</v>
      </c>
    </row>
    <row r="163" spans="1:12">
      <c r="A163" s="6"/>
      <c r="B163" s="2">
        <v>7600968</v>
      </c>
      <c r="C163" t="s">
        <v>673</v>
      </c>
      <c r="D163" s="3">
        <v>3</v>
      </c>
      <c r="E163" s="3">
        <v>3</v>
      </c>
      <c r="F163" s="4" t="s">
        <v>667</v>
      </c>
      <c r="G163" t="s">
        <v>668</v>
      </c>
      <c r="H163" s="1" t="s">
        <v>674</v>
      </c>
      <c r="I163" s="1" t="s">
        <v>675</v>
      </c>
      <c r="J163" s="1" t="s">
        <v>671</v>
      </c>
      <c r="K163" s="17" t="s">
        <v>672</v>
      </c>
      <c r="L163" s="18" t="str">
        <f t="shared" si="2"/>
        <v>sandro.of@azzurranet.com.br;
bruno.vn@azzurranet.com.br;
leandro.pc@azzurranet.com.br;lellopepe@azzurranet.com.br; 
pasquale@azzurranet.com.br;
hugo@azzurranet.com.br;
stefano@azzurranet.com.br;viniciusrcg@azzurranet.com.br;eduardo.of@azzurranet.com.br;aline.cqa@azzurranet.com.br;
sabrina.cqa@azzurranet.com.br;
vitoria.cqa@azzurranet.com.br;
jessica.cqa@azzurranet.com.br;juliana.rh@azzurranet.com.br;
ana.sac@azzurranet.com.br;
eliene.crm@azzurranet.com.br</v>
      </c>
    </row>
    <row r="164" spans="1:12">
      <c r="A164" s="6"/>
      <c r="B164" s="2">
        <v>7600969</v>
      </c>
      <c r="C164" t="s">
        <v>676</v>
      </c>
      <c r="D164" s="3">
        <v>3</v>
      </c>
      <c r="E164" s="3">
        <v>3</v>
      </c>
      <c r="F164" s="4" t="s">
        <v>667</v>
      </c>
      <c r="G164" t="s">
        <v>668</v>
      </c>
      <c r="H164" s="1" t="s">
        <v>677</v>
      </c>
      <c r="I164" s="1" t="s">
        <v>678</v>
      </c>
      <c r="J164" s="1" t="s">
        <v>671</v>
      </c>
      <c r="K164" s="17" t="s">
        <v>672</v>
      </c>
      <c r="L164" s="18" t="str">
        <f t="shared" si="2"/>
        <v>sandro.of@azzurranet.com.br;
bruno.vn@azzurranet.com.br;
leandro.pc@azzurranet.com.br;lellopepe@azzurranet.com.br; 
pasquale@azzurranet.com.br;
hugo@azzurranet.com.br;
stefano@azzurranet.com.br;murilo.vn@azzurranet.com.br;supervisao.garantia@azzurranet.com.br;aline.cqa@azzurranet.com.br;
sabrina.cqa@azzurranet.com.br;
vitoria.cqa@azzurranet.com.br;
jessica.cqa@azzurranet.com.br;juliana.rh@azzurranet.com.br;
ana.sac@azzurranet.com.br;
eliene.crm@azzurranet.com.br</v>
      </c>
    </row>
    <row r="165" spans="1:12">
      <c r="A165" s="6"/>
      <c r="B165" s="2">
        <v>7600878</v>
      </c>
      <c r="C165" t="s">
        <v>679</v>
      </c>
      <c r="D165" s="3">
        <v>3</v>
      </c>
      <c r="E165" s="3">
        <v>3</v>
      </c>
      <c r="F165" s="4" t="s">
        <v>667</v>
      </c>
      <c r="G165" t="s">
        <v>668</v>
      </c>
      <c r="H165" s="1" t="s">
        <v>680</v>
      </c>
      <c r="I165" s="1" t="s">
        <v>681</v>
      </c>
      <c r="J165" s="1" t="s">
        <v>671</v>
      </c>
      <c r="K165" s="17" t="s">
        <v>672</v>
      </c>
      <c r="L165" s="18" t="str">
        <f t="shared" si="2"/>
        <v>sandro.of@azzurranet.com.br;
bruno.vn@azzurranet.com.br;
leandro.pc@azzurranet.com.br;lellopepe@azzurranet.com.br; 
pasquale@azzurranet.com.br;
hugo@azzurranet.com.br;
stefano@azzurranet.com.br;rafaelmoreno.vn@azzurranet.com.br;jardel.of@azzurranet.com.br;aline.cqa@azzurranet.com.br;
sabrina.cqa@azzurranet.com.br;
vitoria.cqa@azzurranet.com.br;
jessica.cqa@azzurranet.com.br;juliana.rh@azzurranet.com.br;
ana.sac@azzurranet.com.br;
eliene.crm@azzurranet.com.br</v>
      </c>
    </row>
    <row r="166" spans="1:12">
      <c r="A166" s="6"/>
      <c r="B166" s="2">
        <v>7601188</v>
      </c>
      <c r="C166" t="s">
        <v>682</v>
      </c>
      <c r="D166" s="3">
        <v>3</v>
      </c>
      <c r="E166" s="3">
        <v>3</v>
      </c>
      <c r="F166" s="4" t="s">
        <v>683</v>
      </c>
      <c r="G166" s="4" t="s">
        <v>683</v>
      </c>
      <c r="H166" s="16" t="s">
        <v>684</v>
      </c>
      <c r="I166" s="16" t="s">
        <v>685</v>
      </c>
      <c r="J166" s="16" t="s">
        <v>686</v>
      </c>
      <c r="K166" s="17"/>
      <c r="L166" s="18" t="str">
        <f t="shared" si="2"/>
        <v>felippe.mota@renaultdijon.com.br; aloisio@renaultdijon.com.br;felippe.mota@renaultdijon.com.br; aloisio@renaultdijon.com.br;gvendas@renaultdijon.com.br; gvendasdiv@renaultdijon.com.br;aloisio@renaultdijon.com.br; gpvdiv@renaultdijon.com.br;jacqueline.nunes@nissannagai.com.br; admindijondiv@renaultdijon.com.br;</v>
      </c>
    </row>
    <row r="167" spans="1:12">
      <c r="A167" s="6"/>
      <c r="B167" s="2">
        <v>7600417</v>
      </c>
      <c r="C167" t="s">
        <v>687</v>
      </c>
      <c r="D167" s="3">
        <v>3</v>
      </c>
      <c r="E167" s="3">
        <v>3</v>
      </c>
      <c r="F167" s="4" t="s">
        <v>683</v>
      </c>
      <c r="G167" s="4" t="s">
        <v>683</v>
      </c>
      <c r="H167" s="16" t="s">
        <v>688</v>
      </c>
      <c r="I167" s="16" t="s">
        <v>689</v>
      </c>
      <c r="J167" s="16" t="s">
        <v>690</v>
      </c>
      <c r="K167" s="17"/>
      <c r="L167" s="18" t="str">
        <f t="shared" si="2"/>
        <v>felippe.mota@renaultdijon.com.br; aloisio@renaultdijon.com.br;felippe.mota@renaultdijon.com.br; aloisio@renaultdijon.com.br;gvendas@renaultdijon.com.br; fabio.luiz@renaultdijon.com.br;aloisio@renaultdijon.com.br; gpv@renaultdijon.com.br;jocemara@renaultdijon.com.br; julianade.almeida@renaultdijon.com.br;</v>
      </c>
    </row>
    <row r="168" spans="1:12">
      <c r="A168" s="6"/>
      <c r="B168" s="2">
        <v>7601109</v>
      </c>
      <c r="C168" t="s">
        <v>691</v>
      </c>
      <c r="D168" s="3">
        <v>3</v>
      </c>
      <c r="E168" s="3">
        <v>3</v>
      </c>
      <c r="F168" s="4" t="s">
        <v>683</v>
      </c>
      <c r="G168" s="4" t="s">
        <v>683</v>
      </c>
      <c r="H168" s="16" t="s">
        <v>692</v>
      </c>
      <c r="I168" s="16" t="s">
        <v>689</v>
      </c>
      <c r="J168" s="16" t="s">
        <v>693</v>
      </c>
      <c r="K168" s="17"/>
      <c r="L168" s="18" t="str">
        <f t="shared" si="2"/>
        <v>felippe.mota@renaultdijon.com.br; aloisio@renaultdijon.com.br;felippe.mota@renaultdijon.com.br; aloisio@renaultdijon.com.br;gvendas@renaultdijon.com.br; vendasuba@renaultdijon.com.br;aloisio@renaultdijon.com.br; gpv@renaultdijon.com.br;jocemara@renaultdijon.com.br; assistenteuba@renaultdijon.com.br;</v>
      </c>
    </row>
    <row r="169" spans="1:12">
      <c r="A169" s="6"/>
      <c r="B169" s="2">
        <v>7600848</v>
      </c>
      <c r="C169" t="s">
        <v>694</v>
      </c>
      <c r="D169" s="3">
        <v>3</v>
      </c>
      <c r="E169" s="3">
        <v>3</v>
      </c>
      <c r="F169" s="17" t="s">
        <v>695</v>
      </c>
      <c r="G169" s="17"/>
      <c r="H169" s="1" t="s">
        <v>696</v>
      </c>
      <c r="I169" s="16" t="s">
        <v>697</v>
      </c>
      <c r="J169" s="16" t="s">
        <v>698</v>
      </c>
      <c r="K169" s="17"/>
      <c r="L169" s="18" t="str">
        <f t="shared" si="2"/>
        <v>breno@gruponasa.com.br;;celio.junior@gruponasa.com.br;;thayrine.pereira@gruponasa.com.br;;gabryelle.rodrigues@gruponasa.com.br;</v>
      </c>
    </row>
    <row r="170" spans="1:12">
      <c r="A170" s="6"/>
      <c r="B170" s="2">
        <v>7601180</v>
      </c>
      <c r="C170" t="s">
        <v>699</v>
      </c>
      <c r="D170" s="3">
        <v>3</v>
      </c>
      <c r="E170" s="3">
        <v>4</v>
      </c>
      <c r="G170" s="17" t="s">
        <v>700</v>
      </c>
      <c r="H170" s="1" t="s">
        <v>701</v>
      </c>
      <c r="I170" s="16"/>
      <c r="J170" s="16" t="s">
        <v>702</v>
      </c>
      <c r="K170" s="17" t="s">
        <v>703</v>
      </c>
      <c r="L170" s="18" t="str">
        <f t="shared" si="2"/>
        <v>;wagner.orletti@grupoorletti.com.br;willian.orletti@grupoorletti.com.br;;andre.bessi@orvelrenault.com.br;; huewerton.braganca@grupoorletti.com.br;; max.erikson@orvelrenault.com.br; joao.rodrigues@grupoorletti.com.br; max.erikson@orvelrenault.com.br; sabrina.borges@orvelrenault.com.br; bruno.fortes@orvelrenault.com.br; ;  ; hudson.junior@orvelrenault.com.br;</v>
      </c>
    </row>
    <row r="171" spans="1:12">
      <c r="A171" s="6"/>
      <c r="B171" s="2">
        <v>7601181</v>
      </c>
      <c r="C171" t="s">
        <v>704</v>
      </c>
      <c r="D171" s="3">
        <v>3</v>
      </c>
      <c r="E171" s="3">
        <v>4</v>
      </c>
      <c r="F171" s="17"/>
      <c r="G171" s="4" t="s">
        <v>700</v>
      </c>
      <c r="H171" s="16"/>
      <c r="I171" s="1" t="s">
        <v>705</v>
      </c>
      <c r="J171" s="16" t="s">
        <v>702</v>
      </c>
      <c r="K171" s="17" t="s">
        <v>706</v>
      </c>
      <c r="L171" s="18" t="str">
        <f t="shared" si="2"/>
        <v>;wagner.orletti@grupoorletti.com.br;willian.orletti@grupoorletti.com.br;;;max.erikson@orvelrenault.com.br; huewerton.braganca@grupoorletti.com.br;;  joao.rodrigues@grupoorletti.com.br; max.erikson@orvelrenault.com.br; sabrina.borges@orvelrenault.com.br; bruno.fortes@orvelrenault.com.br; ;  ; hudson.junior@orvelrenault.com.br; taendri.cardozo@orvelrenault.com.br</v>
      </c>
    </row>
    <row r="172" spans="1:12">
      <c r="A172" s="6"/>
      <c r="B172" s="2">
        <v>7600875</v>
      </c>
      <c r="C172" t="s">
        <v>707</v>
      </c>
      <c r="D172" s="3">
        <v>3</v>
      </c>
      <c r="E172" s="3">
        <v>4</v>
      </c>
      <c r="F172" s="19" t="s">
        <v>708</v>
      </c>
      <c r="G172" s="19" t="s">
        <v>700</v>
      </c>
      <c r="H172" s="1"/>
      <c r="I172" s="1" t="s">
        <v>709</v>
      </c>
      <c r="J172" s="16" t="s">
        <v>710</v>
      </c>
      <c r="K172" s="17" t="s">
        <v>711</v>
      </c>
      <c r="L172" s="18" t="str">
        <f t="shared" si="2"/>
        <v>;wagner.orletti@grupoorletti.com.br;wagner.orletti@grupoorletti.com.br;wagner.orletti@grupoorletti.com.br;willian.orletti@grupoorletti.com.br;;;antonio.rosa@orvelrenault.com.br;sabrina.borges@orvelrenault.com.br;  huewerton.braganca@grupoorletti.com.br;; joao.rodrigues@grupoorletti.com.br; max.erikson@orvelrenault.com.br;  sabrina.borges@orvelrenault.com.br; bruno.fortes@orvelrenault.com.br; ;  ; hudson.junior@orvelrenault.com.br; taendri.cardozo@orvelrenault.com.br</v>
      </c>
    </row>
    <row r="173" spans="1:12">
      <c r="A173" s="6"/>
      <c r="B173" s="2">
        <v>7600826</v>
      </c>
      <c r="C173" t="s">
        <v>712</v>
      </c>
      <c r="D173" s="3">
        <v>3</v>
      </c>
      <c r="E173" s="3">
        <v>4</v>
      </c>
      <c r="F173" s="4" t="s">
        <v>708</v>
      </c>
      <c r="G173" s="4" t="s">
        <v>700</v>
      </c>
      <c r="H173" s="1" t="s">
        <v>713</v>
      </c>
      <c r="I173" s="1" t="s">
        <v>709</v>
      </c>
      <c r="J173" s="16" t="s">
        <v>710</v>
      </c>
      <c r="K173" s="17" t="s">
        <v>714</v>
      </c>
      <c r="L173" s="18" t="str">
        <f t="shared" si="2"/>
        <v>;wagner.orletti@grupoorletti.com.br;wagner.orletti@grupoorletti.com.br;wagner.orletti@grupoorletti.com.br;willian.orletti@grupoorletti.com.br;;francisco.junior@orvelrenault.com.br;antonio.rosa@orvelrenault.com.br;sabrina.borges@orvelrenault.com.br;  huewerton.braganca@grupoorletti.com.br;; alexandre.barroso@orvelrenault.com.br; joao.rodrigues@grupoorletti.com.br; max.erikson@orvelrenault.com.br;  sabrina.borges@orvelrenault.com.br; bruno.fortes@orvelrenault.com.br; ;  ; hudson.junior@orvelrenault.com.br; taendri.cardozo@orvelrenault.com.br</v>
      </c>
    </row>
    <row r="174" spans="1:12">
      <c r="A174" s="6"/>
      <c r="B174" s="2">
        <v>7601179</v>
      </c>
      <c r="C174" t="s">
        <v>715</v>
      </c>
      <c r="D174" s="3">
        <v>3</v>
      </c>
      <c r="E174" s="3">
        <v>4</v>
      </c>
      <c r="G174" s="4" t="s">
        <v>700</v>
      </c>
      <c r="H174" s="1" t="s">
        <v>716</v>
      </c>
      <c r="I174" s="1" t="s">
        <v>705</v>
      </c>
      <c r="J174" s="16" t="s">
        <v>702</v>
      </c>
      <c r="K174" s="17" t="s">
        <v>717</v>
      </c>
      <c r="L174" s="18" t="str">
        <f t="shared" si="2"/>
        <v>;wagner.orletti@grupoorletti.com.br;willian.orletti@grupoorletti.com.br;;hudson.junior@orvelrenault.com.br;max.erikson@orvelrenault.com.br; huewerton.braganca@grupoorletti.com.br;;joao.rodrigues@grupoorletti.com.br; max.erikson@orvelrenault.com.br;  sabrina.borges@orvelrenault.com.br; bruno.fortes@orvelrenault.com.br; ;  ; hudson.junior@orvelrenault.com.br; taendri.cardozo@orvelrenault.com.br</v>
      </c>
    </row>
    <row r="175" spans="1:12">
      <c r="A175" s="6"/>
      <c r="B175" s="2">
        <v>7600822</v>
      </c>
      <c r="C175" t="s">
        <v>718</v>
      </c>
      <c r="D175" s="3">
        <v>3</v>
      </c>
      <c r="E175" s="3">
        <v>4</v>
      </c>
      <c r="F175" s="4" t="s">
        <v>719</v>
      </c>
      <c r="G175" s="4" t="s">
        <v>700</v>
      </c>
      <c r="H175" s="1" t="s">
        <v>720</v>
      </c>
      <c r="I175" s="1" t="s">
        <v>705</v>
      </c>
      <c r="J175" s="16" t="s">
        <v>710</v>
      </c>
      <c r="K175" s="17" t="s">
        <v>721</v>
      </c>
      <c r="L175" s="18" t="str">
        <f t="shared" si="2"/>
        <v>;wagner.orletti@grupoorletti.com.br;;wagner.orletti@grupoorletti.com.br;willian.orletti@grupoorletti.com.br;;sabrina.borges@orvelrenault.com.br;max.erikson@orvelrenault.com.br;sabrina.borges@orvelrenault.com.br;  huewerton.braganca@grupoorletti.com.br;; joao.rodrigues@grupoorletti.com.br; max.erikson@orvelrenault.com.br; sabrina.borges@orvelrenault.com.br; bruno.fortes@orvelrenault.com.br; ;  ; hudson.junior@orvelrenault.com.br; taendri.cardozo@orvelrenault.com.br</v>
      </c>
    </row>
    <row r="176" spans="1:12">
      <c r="A176" s="6"/>
      <c r="B176" s="2">
        <v>7600726</v>
      </c>
      <c r="C176" t="s">
        <v>722</v>
      </c>
      <c r="D176" s="3">
        <v>3</v>
      </c>
      <c r="E176" s="3">
        <v>4</v>
      </c>
      <c r="F176" s="1"/>
      <c r="G176" s="4" t="s">
        <v>723</v>
      </c>
      <c r="H176" s="16" t="s">
        <v>724</v>
      </c>
      <c r="I176" s="16" t="s">
        <v>725</v>
      </c>
      <c r="J176" s="16" t="s">
        <v>726</v>
      </c>
      <c r="K176" s="17" t="s">
        <v>727</v>
      </c>
      <c r="L176" s="18" t="str">
        <f t="shared" si="2"/>
        <v>;leandro@premierveiculos.com.br;; ; daiane.silva@premierveiculos.com.br; edmilson.lourenco@grupopremierveiculos.com.br;marcos.milanez@grupopremierveiculos.com.br; fernando.barros@premierveiculos.com.br;naiane.ramos@grupopremierveiculos.com.br; fernanda.morais@grupopremierveiculos.com.br;naiane.ramos@grupopremierveiculos.com.br; daiane.silva@premierveiculos.com.br; ronaldo@premierveiculos.com.br; alex@premierveiculos.com.br</v>
      </c>
    </row>
    <row r="177" spans="1:12">
      <c r="A177" s="6"/>
      <c r="B177" s="2">
        <v>7601038</v>
      </c>
      <c r="C177" t="s">
        <v>728</v>
      </c>
      <c r="D177" s="3">
        <v>3</v>
      </c>
      <c r="E177" s="3">
        <v>5</v>
      </c>
      <c r="F177" s="4" t="s">
        <v>729</v>
      </c>
      <c r="G177" s="4" t="s">
        <v>730</v>
      </c>
      <c r="H177" s="16"/>
      <c r="I177" s="16"/>
      <c r="J177" t="s">
        <v>731</v>
      </c>
      <c r="K177" s="1"/>
      <c r="L177" s="18" t="str">
        <f t="shared" si="2"/>
        <v>ericson.silva@grupojorlan.com.br; ;luis.fernando@jorlan.com;landin.jr@jorlan.com;;;;ana.louzeiro@grupojorlan.com.br;</v>
      </c>
    </row>
    <row r="178" spans="1:12">
      <c r="A178" s="6"/>
      <c r="B178" s="2">
        <v>7601128</v>
      </c>
      <c r="C178" t="s">
        <v>732</v>
      </c>
      <c r="D178" s="3">
        <v>3</v>
      </c>
      <c r="E178" s="3">
        <v>5</v>
      </c>
      <c r="F178" s="17" t="s">
        <v>733</v>
      </c>
      <c r="G178" s="4" t="s">
        <v>730</v>
      </c>
      <c r="H178" s="1" t="s">
        <v>734</v>
      </c>
      <c r="I178" s="1" t="s">
        <v>735</v>
      </c>
      <c r="J178" t="s">
        <v>731</v>
      </c>
      <c r="K178" s="17" t="s">
        <v>735</v>
      </c>
      <c r="L178" s="18" t="str">
        <f t="shared" si="2"/>
        <v>ericson.silva@grupojorlan.com.br;luis.fernando@jorlan.com;landin.jr@jorlan.com;;marcos.andre@brfrance.com.br;raphael.farias@grupojorlan.com.br;ana.louzeiro@grupojorlan.com.br;raphael.farias@grupojorlan.com.br</v>
      </c>
    </row>
    <row r="179" spans="1:12">
      <c r="A179" s="6"/>
      <c r="B179" s="2">
        <v>7601037</v>
      </c>
      <c r="C179" t="s">
        <v>736</v>
      </c>
      <c r="D179" s="3">
        <v>3</v>
      </c>
      <c r="E179" s="3">
        <v>5</v>
      </c>
      <c r="F179" s="17" t="s">
        <v>733</v>
      </c>
      <c r="G179" s="4" t="s">
        <v>737</v>
      </c>
      <c r="H179" s="16" t="s">
        <v>738</v>
      </c>
      <c r="I179" s="16"/>
      <c r="J179" t="s">
        <v>731</v>
      </c>
      <c r="K179" s="17" t="s">
        <v>739</v>
      </c>
      <c r="L179" s="18" t="str">
        <f t="shared" si="2"/>
        <v xml:space="preserve">ericson.silva@grupojorlan.com.br;landin.jr@jorlan.com;;marcos.medeiros@brfrance.com.br; juliano.faria@brfrance.com.br;;ana.louzeiro@grupojorlan.com.br;fabio.ferreira@brfrance.com.br; </v>
      </c>
    </row>
    <row r="180" spans="1:12">
      <c r="A180" s="6"/>
      <c r="B180" s="2">
        <v>7601004</v>
      </c>
      <c r="C180" t="s">
        <v>740</v>
      </c>
      <c r="D180" s="3">
        <v>3</v>
      </c>
      <c r="E180" s="3">
        <v>5</v>
      </c>
      <c r="F180" s="17"/>
      <c r="G180" s="4" t="s">
        <v>741</v>
      </c>
      <c r="H180" s="16" t="s">
        <v>742</v>
      </c>
      <c r="I180" s="16" t="s">
        <v>742</v>
      </c>
      <c r="J180" s="16" t="s">
        <v>743</v>
      </c>
      <c r="K180" s="17" t="s">
        <v>744</v>
      </c>
      <c r="L180" s="18" t="str">
        <f t="shared" si="2"/>
        <v>;sione@carmoveiculos.com.br; timcarmo@terra.com.br;sandramcarmo@terra.com.br;secarmo@uol.com.br;;posvendasmoc@carmoveiculos.com.br;posvendasmoc@carmoveiculos.com.br;crm.moc@carmoveiculos.com.br;moc@carmoveiculos.com.br; crm@carmoveiculos.com.br; crm.vendas@carmoveiculos.com.br; gerenciamoc@carmoveiculos.com.br;</v>
      </c>
    </row>
    <row r="181" spans="1:12">
      <c r="A181" s="6"/>
      <c r="B181" s="2">
        <v>7600086</v>
      </c>
      <c r="C181" t="s">
        <v>745</v>
      </c>
      <c r="D181" s="3">
        <v>3</v>
      </c>
      <c r="E181" s="3">
        <v>5</v>
      </c>
      <c r="F181" s="17"/>
      <c r="G181" s="4" t="s">
        <v>746</v>
      </c>
      <c r="H181" s="16" t="s">
        <v>747</v>
      </c>
      <c r="I181" s="16" t="s">
        <v>747</v>
      </c>
      <c r="J181" s="21" t="s">
        <v>748</v>
      </c>
      <c r="K181" s="17" t="s">
        <v>749</v>
      </c>
      <c r="L181" s="18" t="str">
        <f t="shared" si="2"/>
        <v>;sione@carmoveiculos.com.br; timcarmo@terra.com.br;;posvendas@carmoveiculos.com.br;posvendas@carmoveiculos.com.br;crm@carmoveiculos.com.br;;Cotech@carmoveiculos.com.br; ivan@carmoveiculos.com.br; crm.vendas@carmoveiculos.com.br; gerenciamoc@carmoveiculos.com.br;</v>
      </c>
    </row>
    <row r="182" spans="1:12">
      <c r="A182" s="6"/>
      <c r="B182" s="2">
        <v>7601169</v>
      </c>
      <c r="C182" t="s">
        <v>750</v>
      </c>
      <c r="D182" s="3">
        <v>3</v>
      </c>
      <c r="E182" s="3">
        <v>5</v>
      </c>
      <c r="G182" s="4" t="s">
        <v>751</v>
      </c>
      <c r="H182" s="16" t="s">
        <v>752</v>
      </c>
      <c r="I182" s="16" t="s">
        <v>753</v>
      </c>
      <c r="J182" s="16" t="s">
        <v>754</v>
      </c>
      <c r="K182" s="17" t="s">
        <v>755</v>
      </c>
      <c r="L182" s="18" t="str">
        <f t="shared" si="2"/>
        <v>;landin.jr@jorlan.com;luis.fernando@jorlan.com;joao.filipe@minasfrance.com.br;cristina.rezende@minasfrance.com.br;renato.freitas@minasfrance.com.br; ;cleusiane.santos@minasfrance.com.br; raissa.rezende@grupojorlan.com.br; ;; nayara.ferreira@minasfrance.com.br</v>
      </c>
    </row>
    <row r="183" spans="1:12">
      <c r="A183" s="6"/>
      <c r="B183" s="2">
        <v>7600705</v>
      </c>
      <c r="C183" t="s">
        <v>756</v>
      </c>
      <c r="D183" s="3">
        <v>3</v>
      </c>
      <c r="E183" s="3">
        <v>5</v>
      </c>
      <c r="F183" s="17" t="s">
        <v>757</v>
      </c>
      <c r="G183" s="4" t="s">
        <v>758</v>
      </c>
      <c r="H183" s="16" t="s">
        <v>759</v>
      </c>
      <c r="I183" s="16" t="s">
        <v>753</v>
      </c>
      <c r="J183" s="16" t="s">
        <v>754</v>
      </c>
      <c r="K183" s="17" t="s">
        <v>760</v>
      </c>
      <c r="L183" s="18" t="str">
        <f t="shared" si="2"/>
        <v>joao.filipe@minasfrance.com.br;;landin.jr@jorlan.com;luis.fernando@jorlan.com;;renata.canhestro@minasfrance.com.br;renato.freitas@minasfrance.com.br; ;cleusiane.santos@minasfrance.com.br; raissa.rezende@grupojorlan.com.br; ;;nayara.ferreira@minasfrance.com.br</v>
      </c>
    </row>
    <row r="184" spans="1:12">
      <c r="A184" s="6"/>
      <c r="B184" s="2">
        <v>7600546</v>
      </c>
      <c r="C184" t="s">
        <v>761</v>
      </c>
      <c r="D184" s="3">
        <v>3</v>
      </c>
      <c r="E184" s="3">
        <v>5</v>
      </c>
      <c r="F184" s="17" t="s">
        <v>757</v>
      </c>
      <c r="G184" s="4" t="s">
        <v>758</v>
      </c>
      <c r="H184" s="16"/>
      <c r="I184" s="16" t="s">
        <v>753</v>
      </c>
      <c r="J184" s="16" t="s">
        <v>754</v>
      </c>
      <c r="K184" s="17" t="s">
        <v>762</v>
      </c>
      <c r="L184" s="18" t="str">
        <f t="shared" si="2"/>
        <v>joao.filipe@minasfrance.com.br;;landin.jr@jorlan.com;luis.fernando@jorlan.com;;;renato.freitas@minasfrance.com.br; ;cleusiane.santos@minasfrance.com.br; raissa.rezende@grupojorlan.com.br; ;cacio.santos@minasfrance.com.br; nayara.ferreira@minasfrance.com.br</v>
      </c>
    </row>
    <row r="185" spans="1:12">
      <c r="A185" s="6"/>
      <c r="B185" s="2">
        <v>7601053</v>
      </c>
      <c r="C185" t="s">
        <v>763</v>
      </c>
      <c r="D185" s="3">
        <v>3</v>
      </c>
      <c r="E185" s="3">
        <v>6</v>
      </c>
      <c r="F185" s="4" t="s">
        <v>764</v>
      </c>
      <c r="G185" s="4" t="s">
        <v>765</v>
      </c>
      <c r="H185" s="16" t="s">
        <v>766</v>
      </c>
      <c r="I185" s="16" t="s">
        <v>766</v>
      </c>
      <c r="J185" s="16" t="s">
        <v>767</v>
      </c>
      <c r="K185" s="17" t="s">
        <v>768</v>
      </c>
      <c r="L185" s="18" t="str">
        <f t="shared" si="2"/>
        <v>posvendas@besourorenault.com.br;luizalbuquerque@besouro.com.br;luizdrumond@besouro.com.br;luizalbuquerque@besouro.com.br;luizdrumond@besouro.com.br;lucasdrumond@besouro.com.br;posvendas@besourorenault.com.br;posvendas@besourorenault.com.br;qualidade@besourorenault.com.br;kaizenrio@besourorenault.com.br;kaizen2@besourorenault.com.br;oficina2.1054@besourorenault.com.br</v>
      </c>
    </row>
    <row r="186" spans="1:12">
      <c r="A186" s="6"/>
      <c r="B186" s="2">
        <v>7601054</v>
      </c>
      <c r="C186" t="s">
        <v>769</v>
      </c>
      <c r="D186" s="3">
        <v>3</v>
      </c>
      <c r="E186" s="3">
        <v>6</v>
      </c>
      <c r="F186" s="4" t="s">
        <v>764</v>
      </c>
      <c r="G186" s="4" t="s">
        <v>765</v>
      </c>
      <c r="H186" s="16" t="s">
        <v>766</v>
      </c>
      <c r="I186" s="16" t="s">
        <v>766</v>
      </c>
      <c r="J186" s="16" t="s">
        <v>770</v>
      </c>
      <c r="K186" s="17" t="s">
        <v>768</v>
      </c>
      <c r="L186" s="18" t="str">
        <f t="shared" si="2"/>
        <v>posvendas@besourorenault.com.br;luizalbuquerque@besouro.com.br;luizdrumond@besouro.com.br;luizalbuquerque@besouro.com.br;luizdrumond@besouro.com.br;lucasdrumond@besouro.com.br;posvendas@besourorenault.com.br;posvendas@besourorenault.com.br;qualidade@besourorenault.com.br; kaizenrio@besourorenault.com.br;kaizen2@besourorenault.com.br;oficina2.1054@besourorenault.com.br</v>
      </c>
    </row>
    <row r="187" spans="1:12">
      <c r="A187" s="6"/>
      <c r="B187" s="2">
        <v>7600088</v>
      </c>
      <c r="C187" t="s">
        <v>771</v>
      </c>
      <c r="D187" s="3">
        <v>3</v>
      </c>
      <c r="E187" s="3">
        <v>6</v>
      </c>
      <c r="F187" s="4" t="s">
        <v>772</v>
      </c>
      <c r="G187" s="32" t="s">
        <v>773</v>
      </c>
      <c r="H187" s="31"/>
      <c r="I187" s="1" t="s">
        <v>774</v>
      </c>
      <c r="J187" s="16"/>
      <c r="K187" s="32" t="s">
        <v>775</v>
      </c>
      <c r="L187" s="18" t="str">
        <f t="shared" si="2"/>
        <v xml:space="preserve">nilson.bernardo@dinisa.com.br;gustavo.rodrigues@dinisa.com.br;;gustavo.rodrigues@dinisa.com.br;mteresa@dinisa.com.br;;;anderson.mendonca@dinisa.com.br;;nagib.duarte@dinisa.com.br;; lorenna.mororo@dinisa.com.br </v>
      </c>
    </row>
    <row r="188" spans="1:12">
      <c r="A188" s="6"/>
      <c r="B188" s="2">
        <v>7600111</v>
      </c>
      <c r="C188" t="s">
        <v>776</v>
      </c>
      <c r="D188" s="3">
        <v>3</v>
      </c>
      <c r="E188" s="3">
        <v>6</v>
      </c>
      <c r="G188" s="4" t="s">
        <v>773</v>
      </c>
      <c r="H188" s="16"/>
      <c r="I188" s="16"/>
      <c r="J188" s="1" t="s">
        <v>777</v>
      </c>
      <c r="K188" s="17" t="s">
        <v>778</v>
      </c>
      <c r="L188" s="18" t="str">
        <f t="shared" si="2"/>
        <v xml:space="preserve">;;gustavo.rodrigues@dinisa.com.br;mteresa@dinisa.com.br;;;;marcelle.oliveira@dinisa.com.br;anderson.mendonca@dinisa.com.br; vanessa.montenegro@dinisa.com.br </v>
      </c>
    </row>
    <row r="189" spans="1:12">
      <c r="A189" s="6"/>
      <c r="B189" s="2">
        <v>7600989</v>
      </c>
      <c r="C189" t="s">
        <v>779</v>
      </c>
      <c r="D189" s="3">
        <v>3</v>
      </c>
      <c r="E189" s="3">
        <v>6</v>
      </c>
      <c r="F189" s="17" t="s">
        <v>780</v>
      </c>
      <c r="G189" s="19" t="s">
        <v>781</v>
      </c>
      <c r="H189" s="16" t="s">
        <v>782</v>
      </c>
      <c r="I189" s="16" t="s">
        <v>782</v>
      </c>
      <c r="J189" s="16"/>
      <c r="K189" s="17" t="s">
        <v>783</v>
      </c>
      <c r="L189" s="18" t="str">
        <f t="shared" si="2"/>
        <v>gestorcrm@renaultriosena.com.br;raoni.salomao@renaultriosena.com.br;fernando.salomao@renaultriosena.com.br;;gestorposvendas@renaultriosena.com.br;gestorposvendas@renaultriosena.com.br;;cotech@renaultriosena.com.br; anaclaudia@renaultriosena.com.br; atacadopecas@renaultriosena.com.br</v>
      </c>
    </row>
    <row r="190" spans="1:12">
      <c r="A190" s="6"/>
      <c r="B190" s="2">
        <v>7601160</v>
      </c>
      <c r="C190" t="s">
        <v>784</v>
      </c>
      <c r="D190" s="3">
        <v>3</v>
      </c>
      <c r="E190" s="3">
        <v>6</v>
      </c>
      <c r="F190" s="4" t="s">
        <v>785</v>
      </c>
      <c r="G190" s="4" t="s">
        <v>786</v>
      </c>
      <c r="H190" s="1" t="s">
        <v>787</v>
      </c>
      <c r="I190" s="16" t="s">
        <v>788</v>
      </c>
      <c r="J190" s="16" t="s">
        <v>789</v>
      </c>
      <c r="K190" s="17" t="s">
        <v>790</v>
      </c>
      <c r="L190" s="18" t="str">
        <f t="shared" si="2"/>
        <v>ericsonmiranda@romagroup.com.br; ;mvinicius@romagroup.com.br;flavianearaujo@romagroup.com.br;larissacosta@romagroup.com.br; luciodemenezes@romagroup.com.br;fernandaalves@romagroup.com.br; ;edgardcarvalho@romagroup.com.br; estefanealves@romagroup.com.br; joaoricardo@romagroup.com.br</v>
      </c>
    </row>
    <row r="191" spans="1:12">
      <c r="A191" s="6"/>
      <c r="B191" s="2">
        <v>7601240</v>
      </c>
      <c r="C191" t="s">
        <v>791</v>
      </c>
      <c r="D191" s="3">
        <v>3</v>
      </c>
      <c r="E191" s="3">
        <v>6</v>
      </c>
      <c r="F191" s="4" t="s">
        <v>785</v>
      </c>
      <c r="G191" s="4" t="s">
        <v>786</v>
      </c>
      <c r="H191" t="s">
        <v>792</v>
      </c>
      <c r="I191" s="1" t="s">
        <v>793</v>
      </c>
      <c r="J191" s="1" t="s">
        <v>794</v>
      </c>
      <c r="K191" s="17" t="s">
        <v>790</v>
      </c>
      <c r="L191" s="18" t="str">
        <f t="shared" si="2"/>
        <v>ericsonmiranda@romagroup.com.br; ;mvinicius@romagroup.com.br;hugoaraujo@romagroup.com.br;elipaula@romagroup.com.br;fernandaalves@romagroup.com.br; larissacosta@romagroup.com.br;edgardcarvalho@romagroup.com.br; estefanealves@romagroup.com.br; joaoricardo@romagroup.com.br</v>
      </c>
    </row>
    <row r="192" spans="1:12" ht="15.6" customHeight="1">
      <c r="A192" s="6"/>
      <c r="B192" s="2">
        <v>7601168</v>
      </c>
      <c r="C192" t="s">
        <v>795</v>
      </c>
      <c r="D192" s="3">
        <v>3</v>
      </c>
      <c r="E192" s="3">
        <v>7</v>
      </c>
      <c r="F192" s="4" t="s">
        <v>796</v>
      </c>
      <c r="G192" s="4" t="s">
        <v>797</v>
      </c>
      <c r="H192" t="s">
        <v>798</v>
      </c>
      <c r="I192" s="16" t="s">
        <v>799</v>
      </c>
      <c r="J192" t="s">
        <v>800</v>
      </c>
      <c r="K192" s="24" t="s">
        <v>801</v>
      </c>
      <c r="L192" s="18" t="str">
        <f t="shared" si="2"/>
        <v>ericsonmiranda@romagroup.com.br;mvinicius@romagroup.com.br;marcoteixeira@romagroup.com.br;marcotullio@romagroup.com.br;;paulopereira@romagroup.com.br;laisbrasil@romagroup.com.br; brennoferreira@romagroup.com.br;nayaraalmeida@romagroup.com.br;;;thiagomarcolino@romagroup.com.br;danielebarros@romagroup.com.br; gabrielleferreira@romagroup.com.br; ; rodrigocoelho@romagroup.com.br; estefanealves@romagroup.com.br; layenepiuco@romagroup.com.br; joaoricardo@romagroup.com.br</v>
      </c>
    </row>
    <row r="193" spans="1:12" ht="19.350000000000001" customHeight="1">
      <c r="A193" s="6"/>
      <c r="B193" s="2">
        <v>7601167</v>
      </c>
      <c r="C193" t="s">
        <v>802</v>
      </c>
      <c r="D193" s="3">
        <v>3</v>
      </c>
      <c r="E193" s="3">
        <v>7</v>
      </c>
      <c r="F193" s="4" t="s">
        <v>803</v>
      </c>
      <c r="G193" s="4" t="s">
        <v>797</v>
      </c>
      <c r="H193" t="s">
        <v>798</v>
      </c>
      <c r="I193" s="16" t="s">
        <v>799</v>
      </c>
      <c r="J193" t="s">
        <v>800</v>
      </c>
      <c r="K193" s="24" t="s">
        <v>804</v>
      </c>
      <c r="L193" s="18" t="str">
        <f t="shared" si="2"/>
        <v>; neideazevedo@romagroup.com.br; ericsonmiranda@romagroup.com.br; piterpassos@romagroup.com.br;mvinicius@romagroup.com.br;marcoteixeira@romagroup.com.br;marcotullio@romagroup.com.br;;paulopereira@romagroup.com.br;laisbrasil@romagroup.com.br; brennoferreira@romagroup.com.br;nayaraalmeida@romagroup.com.br;estefanealves@romagroup.com.br;danielebarros@romagroup.com.br; gabrielleferreira@romagroup.com.br; ; tatianeassis@romagroup.com.br; gabrielaalmeida@romagroup.com.br; layenepiuco@romagroup.com.br; joaoricardo@romagroup.com.br</v>
      </c>
    </row>
    <row r="194" spans="1:12">
      <c r="A194" s="6"/>
      <c r="B194" s="2">
        <v>7601203</v>
      </c>
      <c r="C194" t="s">
        <v>805</v>
      </c>
      <c r="D194" s="3">
        <v>3</v>
      </c>
      <c r="E194" s="3">
        <v>7</v>
      </c>
      <c r="F194" s="4" t="s">
        <v>806</v>
      </c>
      <c r="H194"/>
      <c r="I194" s="1" t="s">
        <v>807</v>
      </c>
      <c r="J194" s="1" t="s">
        <v>808</v>
      </c>
      <c r="K194" s="17" t="s">
        <v>809</v>
      </c>
      <c r="L194" s="18" t="str">
        <f t="shared" si="2"/>
        <v>;leandro@suecia.com.br; luciano.tizzo@grupourca.com.br;;;pedro.leite@grupourca.com.br; patricia.ferreira@grupourca.com.br;qualidade.renault@grupourca.com.br; ;wesley.santos@grupourca.com.br; adailton.soares@grupourca.com.br</v>
      </c>
    </row>
    <row r="195" spans="1:12">
      <c r="A195" s="6"/>
      <c r="B195" s="2">
        <v>7601176</v>
      </c>
      <c r="C195" t="s">
        <v>810</v>
      </c>
      <c r="D195" s="3">
        <v>3</v>
      </c>
      <c r="E195" s="3">
        <v>7</v>
      </c>
      <c r="F195" s="4" t="s">
        <v>806</v>
      </c>
      <c r="H195" s="16" t="s">
        <v>811</v>
      </c>
      <c r="I195" s="16" t="s">
        <v>812</v>
      </c>
      <c r="J195" t="s">
        <v>813</v>
      </c>
      <c r="K195" s="17" t="s">
        <v>814</v>
      </c>
      <c r="L195" s="18" t="str">
        <f t="shared" si="2"/>
        <v>;leandro@suecia.com.br; luciano.tizzo@grupourca.com.br;;cristiano.sousa@grupourca.com.br;pedro.leite@grupourca.com.br;qualidade.renault@grupourca.com.br; adailton.soares@grupourca.com.br;  ramon.guimaraes@grupourca.com.br;adailton.soares@grupourca.com.br</v>
      </c>
    </row>
    <row r="196" spans="1:12">
      <c r="A196" s="6"/>
      <c r="B196" s="2">
        <v>7601175</v>
      </c>
      <c r="C196" t="s">
        <v>815</v>
      </c>
      <c r="D196" s="3">
        <v>3</v>
      </c>
      <c r="E196" s="3">
        <v>7</v>
      </c>
      <c r="F196" s="4" t="s">
        <v>806</v>
      </c>
      <c r="H196" s="16" t="s">
        <v>816</v>
      </c>
      <c r="I196" s="16" t="s">
        <v>817</v>
      </c>
      <c r="J196" t="s">
        <v>818</v>
      </c>
      <c r="K196" s="17" t="s">
        <v>814</v>
      </c>
      <c r="L196" s="18" t="str">
        <f t="shared" ref="L196:L259" si="3">F196&amp;";"&amp;G196&amp;";"&amp;H196&amp;";"&amp;I196&amp;";"&amp;J196&amp;";"&amp;K196</f>
        <v>;leandro@suecia.com.br; luciano.tizzo@grupourca.com.br;;janderson.ferreira@grupourca.com.br;pedro.leite@grupourca.com.br; hueder.marquete@grupourca.com.br;qualidade.renault@grupourca.com.br; adailton.soares@grupourca.com.br;adailton.soares@grupourca.com.br</v>
      </c>
    </row>
    <row r="197" spans="1:12">
      <c r="A197" s="6"/>
      <c r="B197" s="2">
        <v>7601067</v>
      </c>
      <c r="C197" t="s">
        <v>819</v>
      </c>
      <c r="D197" s="3">
        <v>3</v>
      </c>
      <c r="E197" s="3">
        <v>7</v>
      </c>
      <c r="F197" s="19" t="s">
        <v>820</v>
      </c>
      <c r="G197" s="4" t="s">
        <v>821</v>
      </c>
      <c r="H197" s="16" t="s">
        <v>822</v>
      </c>
      <c r="I197" s="16" t="s">
        <v>822</v>
      </c>
      <c r="J197" s="16" t="s">
        <v>823</v>
      </c>
      <c r="K197" s="17" t="s">
        <v>824</v>
      </c>
      <c r="L197" s="18" t="str">
        <f t="shared" si="3"/>
        <v>jaqueline.vieira@grupoprimavia.com.br; rodrigo.rocha@primavia.com.br;;elza@primavia.com.br;;marco.aurelio@vianissan.com.br;marco.aurelio@vianissan.com.br;chrysney.tathiana@primavia.com.br;daniela.carreira@primavia.com.br</v>
      </c>
    </row>
    <row r="198" spans="1:12">
      <c r="A198" s="6"/>
      <c r="B198" s="2">
        <v>7600759</v>
      </c>
      <c r="C198" t="s">
        <v>825</v>
      </c>
      <c r="D198" s="3">
        <v>3</v>
      </c>
      <c r="E198" s="3">
        <v>7</v>
      </c>
      <c r="F198" s="4" t="s">
        <v>826</v>
      </c>
      <c r="G198" s="4" t="s">
        <v>827</v>
      </c>
      <c r="H198" s="16" t="s">
        <v>828</v>
      </c>
      <c r="I198" s="16" t="s">
        <v>829</v>
      </c>
      <c r="J198" s="16" t="s">
        <v>830</v>
      </c>
      <c r="K198" s="17" t="s">
        <v>831</v>
      </c>
      <c r="L198" s="18" t="str">
        <f t="shared" si="3"/>
        <v>robson.santana@viamondo.com.br;;airton@pneussantahelena.com.br;paulocesar@paautomoveis.com.br;;gerenteposvd.pc@viamondorenault.com.br; supervisorvendas.pc@viamondorenault.com.br;gerenteposvd.pc@viamondorenault.com.br; qualidade.pc@viamondo.com.br;qualidade.vg@viamondo.com.br; carlos.andrade@viamondo.com.br; garantista.pc@viamondorenault.com.br; pesquisa.pa1@viamondo.com.br;cotech.pc@viamondorenault.com.br; lidercrm.pv@viamondo.com.br</v>
      </c>
    </row>
    <row r="199" spans="1:12">
      <c r="A199" s="6"/>
      <c r="B199" s="2">
        <v>7600667</v>
      </c>
      <c r="C199" t="s">
        <v>832</v>
      </c>
      <c r="D199" s="3">
        <v>3</v>
      </c>
      <c r="E199" s="3">
        <v>7</v>
      </c>
      <c r="F199" s="4" t="s">
        <v>826</v>
      </c>
      <c r="G199" s="4" t="s">
        <v>827</v>
      </c>
      <c r="H199" t="s">
        <v>833</v>
      </c>
      <c r="I199" s="16" t="s">
        <v>834</v>
      </c>
      <c r="J199" s="16" t="s">
        <v>835</v>
      </c>
      <c r="K199" s="17" t="s">
        <v>836</v>
      </c>
      <c r="L199" s="18" t="str">
        <f t="shared" si="3"/>
        <v>robson.santana@viamondo.com.br;;airton@pneussantahelena.com.br;paulocesar@paautomoveis.com.br;;gerentevendas.pa@viamondorenault.com.br;gerenteposvd.pa@viamondorenault.com.br;qualidade.pa@viamondorenault.com.br; qualidade.vg@viamondo.com.br; carlos.andrade@viamondo.com.br; pesquisa.pa1@viamondo.com.br;cotech.pa@viamondorenault.com.br; lidercrm.pv@viamondo.com.br; analistaadm.pa@viamondorenault.com.br</v>
      </c>
    </row>
    <row r="200" spans="1:12">
      <c r="A200" s="6"/>
      <c r="B200" s="2">
        <v>7600554</v>
      </c>
      <c r="C200" t="s">
        <v>837</v>
      </c>
      <c r="D200" s="3">
        <v>3</v>
      </c>
      <c r="E200" s="3">
        <v>7</v>
      </c>
      <c r="F200" s="4" t="s">
        <v>826</v>
      </c>
      <c r="G200" s="19" t="s">
        <v>827</v>
      </c>
      <c r="H200" s="16" t="s">
        <v>838</v>
      </c>
      <c r="I200" s="16" t="s">
        <v>839</v>
      </c>
      <c r="J200" s="16" t="s">
        <v>840</v>
      </c>
      <c r="K200" s="17" t="s">
        <v>841</v>
      </c>
      <c r="L200" s="18" t="str">
        <f t="shared" si="3"/>
        <v>robson.santana@viamondo.com.br;;airton@pneussantahelena.com.br;paulocesar@paautomoveis.com.br;;gerenteposvd.vg@viamondorenault.com.br; gerentevendas.vg@viamondorenault.com.br; garantista.pc@viamondorenault.com.br;gerenteposvd.vg@viamondorenault.com.br;qualidade.vg@viamondo.com.br; carlos.andrade@viamondo.com.br; pesquisa.pa1@viamondo.com.br; qualidade.vg@viamondo.com.br;cotechvga@viamondorenault.com.br; supervisorposvd.vg@viamondo.com.br; lidercrm.pv@viamondo.com.br</v>
      </c>
    </row>
    <row r="201" spans="1:12">
      <c r="A201" s="6"/>
      <c r="B201" s="2">
        <v>7600741</v>
      </c>
      <c r="C201" t="s">
        <v>842</v>
      </c>
      <c r="D201" s="3">
        <v>4</v>
      </c>
      <c r="E201" s="3">
        <v>1</v>
      </c>
      <c r="F201" s="4" t="s">
        <v>843</v>
      </c>
      <c r="G201" s="4" t="s">
        <v>844</v>
      </c>
      <c r="H201" s="16" t="s">
        <v>845</v>
      </c>
      <c r="I201" s="16" t="s">
        <v>846</v>
      </c>
      <c r="J201" s="16" t="s">
        <v>847</v>
      </c>
      <c r="K201" s="17" t="s">
        <v>848</v>
      </c>
      <c r="L201" s="18" t="str">
        <f t="shared" si="3"/>
        <v xml:space="preserve">;pedro.lins@eurovia.com.br;;fernando.figueiredo@viasul.com.br;pj@viasul.com.br;;pedro.santos@eurovia.com.br; fabio.maraux@eurovia.com.br;fabio.maraux@eurovia.com.br; alisson.araujo@grupovia1.com.br;bianca.sodre@grupovia1.com.br;Joana.ramos@eurovia.com.br ; alana.andrade@eurovia.com.br;gardenia.souza@eurovianissan.com.br; pedro.santos@eurovia.com.br; </v>
      </c>
    </row>
    <row r="202" spans="1:12">
      <c r="A202" s="6"/>
      <c r="B202" s="2">
        <v>7600415</v>
      </c>
      <c r="C202" t="s">
        <v>849</v>
      </c>
      <c r="D202" s="3">
        <v>4</v>
      </c>
      <c r="E202" s="3">
        <v>1</v>
      </c>
      <c r="F202" s="4" t="s">
        <v>843</v>
      </c>
      <c r="G202" s="4" t="s">
        <v>844</v>
      </c>
      <c r="H202" s="16" t="s">
        <v>850</v>
      </c>
      <c r="I202" s="16" t="s">
        <v>851</v>
      </c>
      <c r="J202" s="16" t="s">
        <v>847</v>
      </c>
      <c r="K202" s="17" t="s">
        <v>852</v>
      </c>
      <c r="L202" s="18" t="str">
        <f t="shared" si="3"/>
        <v>;pedro.lins@eurovia.com.br;;fernando.figueiredo@viasul.com.br;pj@viasul.com.br;;rafael.teixeira@eurovia.com.br; fabio.maraux@eurovia.com.br;fabio.maraux@eurovia.com.br; flavia.tavares@eurovia.com.br; alisson.araujo@grupovia1.com.br;bianca.sodre@grupovia1.com.br;Joana.ramos@eurovia.com.br ; alana.andrade@eurovia.com.br;gardenia.souza@eurovianissan.com.br; luciano.jesus@eurovia.com.br; hugo.santos@eurovia.com.br; claudio.bahia@eurovia.com.br</v>
      </c>
    </row>
    <row r="203" spans="1:12">
      <c r="A203" s="6"/>
      <c r="B203" s="2">
        <v>7601137</v>
      </c>
      <c r="C203" t="s">
        <v>853</v>
      </c>
      <c r="D203" s="3">
        <v>4</v>
      </c>
      <c r="E203" s="3">
        <v>1</v>
      </c>
      <c r="F203" s="20" t="s">
        <v>854</v>
      </c>
      <c r="H203" s="16" t="s">
        <v>855</v>
      </c>
      <c r="I203" s="16"/>
      <c r="J203" s="16"/>
      <c r="K203" s="17" t="s">
        <v>856</v>
      </c>
      <c r="L203" s="18" t="str">
        <f t="shared" si="3"/>
        <v>;marcello@grupoindiana.com.br;marcello@grupoindiana.com.br;;lalberto@grupoindiana.com.br;;;Supoficina@marselhaveiculos.com.br; ; ; millenajesus@MARSELHAVEICULOS.COM.BR; supvendas@marselhaveiculos.com.br</v>
      </c>
    </row>
    <row r="204" spans="1:12">
      <c r="A204" s="6"/>
      <c r="B204" s="2">
        <v>7600803</v>
      </c>
      <c r="C204" t="s">
        <v>857</v>
      </c>
      <c r="D204" s="3">
        <v>4</v>
      </c>
      <c r="E204" s="3">
        <v>1</v>
      </c>
      <c r="F204" s="4" t="s">
        <v>858</v>
      </c>
      <c r="G204" s="19" t="s">
        <v>859</v>
      </c>
      <c r="H204" s="16"/>
      <c r="I204" s="16" t="s">
        <v>860</v>
      </c>
      <c r="J204" s="16" t="s">
        <v>861</v>
      </c>
      <c r="K204" s="17" t="s">
        <v>862</v>
      </c>
      <c r="L204" s="18" t="str">
        <f t="shared" si="3"/>
        <v>;adrianacoelho@novabahiaveiculos.com.br;nilo@sanave.com;;;glaucia.matos@novabahiaveiculos.com.br;murilodantas@novabahiaveiculos.com.br;carlos.santos@novabahiaveiculos.com.br;kaizen@novabahiaveiculos.com.br</v>
      </c>
    </row>
    <row r="205" spans="1:12">
      <c r="A205" s="6"/>
      <c r="B205" s="2">
        <v>7600861</v>
      </c>
      <c r="C205" t="s">
        <v>863</v>
      </c>
      <c r="D205" s="3">
        <v>4</v>
      </c>
      <c r="E205" s="3">
        <v>1</v>
      </c>
      <c r="F205" s="4" t="s">
        <v>864</v>
      </c>
      <c r="G205" s="19" t="s">
        <v>865</v>
      </c>
      <c r="H205" s="16"/>
      <c r="I205" s="16"/>
      <c r="J205" s="16" t="s">
        <v>866</v>
      </c>
      <c r="K205" s="17" t="s">
        <v>867</v>
      </c>
      <c r="L205" s="18" t="str">
        <f t="shared" si="3"/>
        <v>;neto@rodaleveveiculos.com.br;neto@rodaleveveiculos.com.br;neto@rodaleveveiculos.com.br;silvanatorres@rodaleve.com.br;;;;gpvr@rodaleveveiculos.com.br;aud.interno@rodaleveveiculos.com.br</v>
      </c>
    </row>
    <row r="206" spans="1:12">
      <c r="A206" s="6"/>
      <c r="B206" s="2">
        <v>7600393</v>
      </c>
      <c r="C206" t="s">
        <v>868</v>
      </c>
      <c r="D206" s="3">
        <v>4</v>
      </c>
      <c r="E206" s="3">
        <v>1</v>
      </c>
      <c r="F206" s="4" t="s">
        <v>869</v>
      </c>
      <c r="G206" s="4" t="s">
        <v>865</v>
      </c>
      <c r="H206" s="16" t="s">
        <v>866</v>
      </c>
      <c r="I206" s="16" t="s">
        <v>866</v>
      </c>
      <c r="J206" s="16" t="s">
        <v>866</v>
      </c>
      <c r="K206" s="17" t="s">
        <v>867</v>
      </c>
      <c r="L206" s="18" t="str">
        <f t="shared" si="3"/>
        <v>cotech2.renault@rodaleveveiculos.com.br;neto@rodaleveveiculos.com.br;neto@rodaleveveiculos.com.br;neto@rodaleveveiculos.com.br;silvanatorres@rodaleve.com.br;;gpvr@rodaleveveiculos.com.br;gpvr@rodaleveveiculos.com.br;gpvr@rodaleveveiculos.com.br;aud.interno@rodaleveveiculos.com.br</v>
      </c>
    </row>
    <row r="207" spans="1:12">
      <c r="A207" s="6"/>
      <c r="B207" s="2">
        <v>7600760</v>
      </c>
      <c r="C207" t="s">
        <v>870</v>
      </c>
      <c r="D207" s="3">
        <v>4</v>
      </c>
      <c r="E207" s="3">
        <v>1</v>
      </c>
      <c r="F207" s="4" t="s">
        <v>871</v>
      </c>
      <c r="G207" s="4" t="s">
        <v>872</v>
      </c>
      <c r="H207" s="16" t="s">
        <v>873</v>
      </c>
      <c r="I207" s="16" t="s">
        <v>873</v>
      </c>
      <c r="J207" s="16" t="s">
        <v>874</v>
      </c>
      <c r="K207" s="17" t="s">
        <v>875</v>
      </c>
      <c r="L207" s="18" t="str">
        <f t="shared" si="3"/>
        <v>;rubens.perina@grupoitadil.com.br;;diretoria@grupoitadil.com.br;skbinow@gmail.com;;supervisorposvendas.rubi@grupoitadil.com.br;supervisorposvendas.rubi@grupoitadil.com.br;qualidaderubi.eun@grupoitadil.com.br;cotech.rubi@grupoitadil.com.br</v>
      </c>
    </row>
    <row r="208" spans="1:12">
      <c r="A208" s="6"/>
      <c r="B208" s="2">
        <v>7600757</v>
      </c>
      <c r="C208" t="s">
        <v>876</v>
      </c>
      <c r="D208" s="3">
        <v>4</v>
      </c>
      <c r="E208" s="3">
        <v>1</v>
      </c>
      <c r="F208" s="4" t="s">
        <v>877</v>
      </c>
      <c r="G208" s="4" t="s">
        <v>872</v>
      </c>
      <c r="H208" s="16" t="s">
        <v>878</v>
      </c>
      <c r="I208" s="16" t="s">
        <v>878</v>
      </c>
      <c r="J208" s="1" t="s">
        <v>879</v>
      </c>
      <c r="K208" s="17" t="s">
        <v>880</v>
      </c>
      <c r="L208" s="18" t="str">
        <f t="shared" si="3"/>
        <v>;rubens.perina@grupoitadil.com.br;henrique@grupoitadil.com.br;diretoria@grupoitadil.com.br;skbinow@gmail.com;;posvendas.rubi@grupoitadil.com.br;posvendas.rubi@grupoitadil.com.br;roberta.rubi@grupoitadil.com.br ;marcosoliveira@grupoitadil.com.br</v>
      </c>
    </row>
    <row r="209" spans="1:12">
      <c r="A209" s="6"/>
      <c r="B209" s="2">
        <v>7600501</v>
      </c>
      <c r="C209" t="s">
        <v>881</v>
      </c>
      <c r="D209" s="3">
        <v>4</v>
      </c>
      <c r="E209" s="3">
        <v>2</v>
      </c>
      <c r="F209" s="4" t="s">
        <v>882</v>
      </c>
      <c r="G209" s="4" t="s">
        <v>883</v>
      </c>
      <c r="H209" s="16"/>
      <c r="I209" s="16" t="s">
        <v>884</v>
      </c>
      <c r="J209" s="16" t="s">
        <v>885</v>
      </c>
      <c r="K209" s="17" t="s">
        <v>886</v>
      </c>
      <c r="L209" s="18" t="str">
        <f t="shared" si="3"/>
        <v>douglas@mcgestao.com.br;mozinho@morenaveiculos.com.br;;mozinho@morenaveiculos.com.br;pimenta@grupomc-ba.com.br;myllene@mcgestao.com.br;;deivid.menezes@brune.com.br;lane.araujo@mcgestao.com.br; atendimentoaocliente@brune.com.br; atendimentoaocliente2@brune.com.br; Atendimentoaocliente1@Brune.com.br;cicero.jesus@brune.com.br</v>
      </c>
    </row>
    <row r="210" spans="1:12" ht="12.6" customHeight="1">
      <c r="A210" s="6"/>
      <c r="B210" s="2">
        <v>7600473</v>
      </c>
      <c r="C210" t="s">
        <v>887</v>
      </c>
      <c r="D210" s="3">
        <v>4</v>
      </c>
      <c r="E210" s="3">
        <v>2</v>
      </c>
      <c r="F210" s="4" t="s">
        <v>888</v>
      </c>
      <c r="G210" s="4" t="s">
        <v>889</v>
      </c>
      <c r="H210" s="1"/>
      <c r="I210" s="16"/>
      <c r="J210" s="16" t="s">
        <v>890</v>
      </c>
      <c r="K210" s="17" t="s">
        <v>891</v>
      </c>
      <c r="L210" s="18" t="str">
        <f t="shared" si="3"/>
        <v>;mozinho@morenaveiculos.com.br;;mozinho@morenaveiculos.com.br;pimenta@grupomc-ba.com.br;myllene@morenaveiculos.com.br;;;;lane.araujo@mcgestao.com.br;cotech@jubiabaeuro.com.br; atendimentoaocliente1@jubiabaeuro.com.br</v>
      </c>
    </row>
    <row r="211" spans="1:12">
      <c r="A211" s="6"/>
      <c r="B211" s="2">
        <v>7600091</v>
      </c>
      <c r="C211" t="s">
        <v>892</v>
      </c>
      <c r="D211" s="3">
        <v>4</v>
      </c>
      <c r="E211" s="3">
        <v>2</v>
      </c>
      <c r="F211" s="17" t="s">
        <v>893</v>
      </c>
      <c r="G211" s="4" t="s">
        <v>894</v>
      </c>
      <c r="H211" s="16" t="s">
        <v>895</v>
      </c>
      <c r="I211" s="16" t="s">
        <v>895</v>
      </c>
      <c r="J211" s="16" t="s">
        <v>896</v>
      </c>
      <c r="K211" s="17" t="s">
        <v>897</v>
      </c>
      <c r="L211" s="18" t="str">
        <f t="shared" si="3"/>
        <v>angelicagarcez@gruporollemberg.com;francisco@gruporollemberg.com;antonio@gruporollemberg.com;heraclito@gruporollemberg.com;;marlon@gruporollemberg.com;marlon@gruporollemberg.com;kaizen@gruporollemberg.com; qualidade@renovel.com.br;valdison@renovel.com.br; ; ; fabio.vilasboas@gruporollemberg.com; viviane@renovel.com.br</v>
      </c>
    </row>
    <row r="212" spans="1:12" ht="15.6" customHeight="1">
      <c r="A212" s="6"/>
      <c r="B212" s="2">
        <v>7601076</v>
      </c>
      <c r="C212" t="s">
        <v>898</v>
      </c>
      <c r="D212" s="3">
        <v>4</v>
      </c>
      <c r="E212" s="3">
        <v>2</v>
      </c>
      <c r="F212" s="17"/>
      <c r="G212" s="4" t="s">
        <v>899</v>
      </c>
      <c r="H212" s="16" t="s">
        <v>900</v>
      </c>
      <c r="I212" s="16" t="s">
        <v>900</v>
      </c>
      <c r="J212" s="16" t="s">
        <v>823</v>
      </c>
      <c r="K212" s="17"/>
      <c r="L212" s="18" t="str">
        <f t="shared" si="3"/>
        <v>;cesar.lima@jeepviamotors.com.br; jose.furlan@renaultalliance.com.br;;nayra@renaultalliance.com.br;nayra@renaultalliance.com.br;chrysney.tathiana@primavia.com.br;</v>
      </c>
    </row>
    <row r="213" spans="1:12">
      <c r="A213" s="6"/>
      <c r="B213" s="2">
        <v>7600976</v>
      </c>
      <c r="C213" t="s">
        <v>901</v>
      </c>
      <c r="D213" s="3">
        <v>4</v>
      </c>
      <c r="E213" s="3">
        <v>2</v>
      </c>
      <c r="G213" s="4" t="s">
        <v>899</v>
      </c>
      <c r="H213" s="16" t="s">
        <v>902</v>
      </c>
      <c r="I213" s="16" t="s">
        <v>902</v>
      </c>
      <c r="J213" s="16" t="s">
        <v>823</v>
      </c>
      <c r="K213" s="17"/>
      <c r="L213" s="18" t="str">
        <f t="shared" si="3"/>
        <v>;cesar.lima@jeepviamotors.com.br; jose.furlan@renaultalliance.com.br;;bruno.abreu@renaultalliance.com.br;bruno.abreu@renaultalliance.com.br;chrysney.tathiana@primavia.com.br;</v>
      </c>
    </row>
    <row r="214" spans="1:12">
      <c r="A214" s="6"/>
      <c r="B214" s="2">
        <v>7601061</v>
      </c>
      <c r="C214" t="s">
        <v>903</v>
      </c>
      <c r="D214" s="3">
        <v>4</v>
      </c>
      <c r="E214" s="3">
        <v>2</v>
      </c>
      <c r="F214" s="4" t="s">
        <v>904</v>
      </c>
      <c r="G214" s="19" t="s">
        <v>905</v>
      </c>
      <c r="H214" s="1" t="s">
        <v>906</v>
      </c>
      <c r="I214" s="16" t="s">
        <v>84</v>
      </c>
      <c r="J214" s="1" t="s">
        <v>907</v>
      </c>
      <c r="K214" s="17" t="s">
        <v>908</v>
      </c>
      <c r="L214" s="18" t="str">
        <f t="shared" si="3"/>
        <v>jeferson.costa@gruposaga.com.br;sergio.maia@gruposaga.com.br;evandro.maia@gruposaga.com.br;;hatus.helmuth@gruposaga.com.br; ;; ;qualidaderenaultpvh@gruposaga.com.br;rosiane.msilva@gruposaga.com.br; everson.lsantos@gruposaga.com.br; flaviano.scastro@gruposaga.com.br;</v>
      </c>
    </row>
    <row r="215" spans="1:12">
      <c r="A215" s="6"/>
      <c r="B215" s="2">
        <v>7600299</v>
      </c>
      <c r="C215" t="s">
        <v>909</v>
      </c>
      <c r="D215" s="3">
        <v>4</v>
      </c>
      <c r="E215" s="3">
        <v>3</v>
      </c>
      <c r="F215" s="4" t="s">
        <v>843</v>
      </c>
      <c r="G215" s="4" t="s">
        <v>910</v>
      </c>
      <c r="H215" s="16" t="s">
        <v>911</v>
      </c>
      <c r="I215" s="16" t="s">
        <v>912</v>
      </c>
      <c r="J215" s="16" t="s">
        <v>913</v>
      </c>
      <c r="K215" s="17" t="s">
        <v>914</v>
      </c>
      <c r="L215" s="18" t="str">
        <f t="shared" si="3"/>
        <v xml:space="preserve">;pedro.lins@eurovia.com.br;;fernando.figueiredo@viasul.com.br;pj@viasul.com.br;vania@viasul.com.br;;edgar.neto@eurovia.com.br; igor.vaz@eurovia.com.br;;igor.vaz@eurovia.com.br; flavia.tavares@eurovia.com.br;Joana.ramos@eurovia.com.br;; ; silvia.santana@eurovia.com.br;carlos.filho@eurovia.com.br; pedro.xavier@eurovia.com.br; ednita.pinto@eurovia.com.br;  </v>
      </c>
    </row>
    <row r="216" spans="1:12">
      <c r="A216" s="6"/>
      <c r="B216" s="2">
        <v>7600139</v>
      </c>
      <c r="C216" t="s">
        <v>915</v>
      </c>
      <c r="D216" s="3">
        <v>4</v>
      </c>
      <c r="E216" s="3">
        <v>3</v>
      </c>
      <c r="F216" s="4" t="s">
        <v>843</v>
      </c>
      <c r="G216" s="19" t="s">
        <v>910</v>
      </c>
      <c r="H216" s="16" t="s">
        <v>916</v>
      </c>
      <c r="I216" s="16" t="s">
        <v>917</v>
      </c>
      <c r="J216" s="16" t="s">
        <v>913</v>
      </c>
      <c r="K216" s="17" t="s">
        <v>918</v>
      </c>
      <c r="L216" s="18" t="str">
        <f t="shared" si="3"/>
        <v xml:space="preserve">;pedro.lins@eurovia.com.br;;fernando.figueiredo@viasul.com.br;pj@viasul.com.br;vania@viasul.com.br;;hugo.santos@eurovia.com.br; alexandre.nunes@eurovia.com.br; edgar.neto@eurovia.com.br;alexandre.nunes@eurovia.com.br; flavia.tavares@eurovia.com.br; alexandre.nunes@eurovia.com.br;Joana.ramos@eurovia.com.br;; ; silvia.santana@eurovia.com.br;jarbas.souza@eurovia.com.br; pedro.xavier@eurovia.com.br; ednita.pinto@eurovia.com.br;  </v>
      </c>
    </row>
    <row r="217" spans="1:12">
      <c r="A217" s="6"/>
      <c r="B217" s="2">
        <v>7601209</v>
      </c>
      <c r="C217" t="s">
        <v>919</v>
      </c>
      <c r="D217" s="3">
        <v>4</v>
      </c>
      <c r="E217" s="3">
        <v>3</v>
      </c>
      <c r="F217" s="4" t="s">
        <v>843</v>
      </c>
      <c r="G217" s="4" t="s">
        <v>844</v>
      </c>
      <c r="H217" s="16" t="s">
        <v>920</v>
      </c>
      <c r="I217" s="16" t="s">
        <v>921</v>
      </c>
      <c r="J217" s="16" t="s">
        <v>922</v>
      </c>
      <c r="K217" s="17"/>
      <c r="L217" s="18" t="str">
        <f t="shared" si="3"/>
        <v>;pedro.lins@eurovia.com.br;;fernando.figueiredo@viasul.com.br;pj@viasul.com.br;;edgar.neto@eurovia.com.br; ;flavia.tavares@eurovia.com.br; ;Joana.ramos@eurovia.com.br; silvia.santana@eurovia.com.br;</v>
      </c>
    </row>
    <row r="218" spans="1:12">
      <c r="A218" s="6"/>
      <c r="B218" s="2">
        <v>7600085</v>
      </c>
      <c r="C218" t="s">
        <v>923</v>
      </c>
      <c r="D218" s="3">
        <v>4</v>
      </c>
      <c r="E218" s="3">
        <v>3</v>
      </c>
      <c r="F218" s="4" t="s">
        <v>924</v>
      </c>
      <c r="G218" s="4" t="s">
        <v>925</v>
      </c>
      <c r="H218" s="16" t="s">
        <v>926</v>
      </c>
      <c r="I218" s="16" t="s">
        <v>927</v>
      </c>
      <c r="J218" s="16" t="s">
        <v>922</v>
      </c>
      <c r="K218" s="17" t="s">
        <v>928</v>
      </c>
      <c r="L218" s="18" t="str">
        <f t="shared" si="3"/>
        <v>pedro.lins@eurovia.com.br; paulo.junior@viasul.com.br;fernando.figueiredo@viasul.com.br; paulo.junior@viasul.com.br;;pedro.xavier@eurovia.com.br;;flavia.tavares@eurovia.com.br;Joana.ramos@eurovia.com.br; silvia.santana@eurovia.com.br;pedro.xavier@eurovia.com.br; ednita.pinto@eurovia.com.br</v>
      </c>
    </row>
    <row r="219" spans="1:12">
      <c r="A219" s="6"/>
      <c r="B219" s="2">
        <v>7601262</v>
      </c>
      <c r="C219" t="s">
        <v>929</v>
      </c>
      <c r="D219" s="3">
        <v>4</v>
      </c>
      <c r="E219" s="3">
        <v>3</v>
      </c>
      <c r="F219" t="s">
        <v>930</v>
      </c>
      <c r="H219" s="16"/>
      <c r="I219" t="s">
        <v>931</v>
      </c>
      <c r="J219" t="s">
        <v>932</v>
      </c>
      <c r="K219" s="17"/>
      <c r="L219" s="18" t="str">
        <f t="shared" si="3"/>
        <v>fernando.figueiredo@viasul.com.br;;;alisson.araujo@grupovia1.com.br; artur.sousa@eurovia.com.br;luiza.madruga@eurovia.com.br; joana.ramos@eurovia.com.br;</v>
      </c>
    </row>
    <row r="220" spans="1:12">
      <c r="A220" s="6"/>
      <c r="B220" s="2">
        <v>7601264</v>
      </c>
      <c r="C220" t="s">
        <v>933</v>
      </c>
      <c r="D220" s="3">
        <v>4</v>
      </c>
      <c r="E220" s="3">
        <v>3</v>
      </c>
      <c r="F220" t="s">
        <v>930</v>
      </c>
      <c r="H220" s="16"/>
      <c r="I220" t="s">
        <v>931</v>
      </c>
      <c r="J220" t="s">
        <v>932</v>
      </c>
      <c r="K220" s="17"/>
      <c r="L220" s="18" t="str">
        <f t="shared" si="3"/>
        <v>fernando.figueiredo@viasul.com.br;;;alisson.araujo@grupovia1.com.br; artur.sousa@eurovia.com.br;luiza.madruga@eurovia.com.br; joana.ramos@eurovia.com.br;</v>
      </c>
    </row>
    <row r="221" spans="1:12">
      <c r="A221" s="6"/>
      <c r="B221" s="2">
        <v>7601263</v>
      </c>
      <c r="C221" t="s">
        <v>934</v>
      </c>
      <c r="D221" s="3">
        <v>4</v>
      </c>
      <c r="E221" s="3">
        <v>3</v>
      </c>
      <c r="F221" t="s">
        <v>930</v>
      </c>
      <c r="H221" s="16"/>
      <c r="I221" t="s">
        <v>931</v>
      </c>
      <c r="J221" t="s">
        <v>932</v>
      </c>
      <c r="K221" s="17"/>
      <c r="L221" s="18" t="str">
        <f t="shared" si="3"/>
        <v>fernando.figueiredo@viasul.com.br;;;alisson.araujo@grupovia1.com.br; artur.sousa@eurovia.com.br;luiza.madruga@eurovia.com.br; joana.ramos@eurovia.com.br;</v>
      </c>
    </row>
    <row r="222" spans="1:12">
      <c r="A222" s="6"/>
      <c r="B222" s="2">
        <v>7601091</v>
      </c>
      <c r="C222" t="s">
        <v>935</v>
      </c>
      <c r="D222" s="3">
        <v>4</v>
      </c>
      <c r="E222" s="3">
        <v>3</v>
      </c>
      <c r="G222" s="4" t="s">
        <v>936</v>
      </c>
      <c r="H222" s="16" t="s">
        <v>937</v>
      </c>
      <c r="I222" s="16" t="s">
        <v>938</v>
      </c>
      <c r="J222" s="16" t="s">
        <v>939</v>
      </c>
      <c r="K222" s="17" t="s">
        <v>940</v>
      </c>
      <c r="L222" s="18" t="str">
        <f t="shared" si="3"/>
        <v>;diretoria@suapemotos.com.br;diretoria@suapemotos.com.br;;eduardo.jonas@jpnrenault.com.br; ;eduardo.jonas@jpnrenault.com.br;gilmara@jpnrenault.com.br;cotech@jpnrenault.com.br</v>
      </c>
    </row>
    <row r="223" spans="1:12">
      <c r="A223" s="6"/>
      <c r="B223" s="2">
        <v>7601187</v>
      </c>
      <c r="C223" t="s">
        <v>941</v>
      </c>
      <c r="D223" s="3">
        <v>4</v>
      </c>
      <c r="E223" s="3">
        <v>3</v>
      </c>
      <c r="G223" s="4" t="s">
        <v>942</v>
      </c>
      <c r="H223" s="16" t="s">
        <v>943</v>
      </c>
      <c r="I223" s="16" t="s">
        <v>944</v>
      </c>
      <c r="J223" s="16" t="s">
        <v>945</v>
      </c>
      <c r="K223" s="17"/>
      <c r="L223" s="18" t="str">
        <f t="shared" si="3"/>
        <v>;diretoria@suapemotos.com.br;jonathas.policarpo@jpnrenault.com.br; ;posvendas@jpngaranhuns.com.br;caixafilial@jpnrenault.com.br; gilmara@jpnrenault.com.br;</v>
      </c>
    </row>
    <row r="224" spans="1:12">
      <c r="A224" s="6"/>
      <c r="B224" s="2">
        <v>7601094</v>
      </c>
      <c r="C224" t="s">
        <v>946</v>
      </c>
      <c r="D224" s="3">
        <v>4</v>
      </c>
      <c r="E224" s="3">
        <v>3</v>
      </c>
      <c r="F224" s="4" t="s">
        <v>947</v>
      </c>
      <c r="G224" s="4" t="s">
        <v>948</v>
      </c>
      <c r="H224" s="16" t="s">
        <v>949</v>
      </c>
      <c r="I224" s="16" t="s">
        <v>950</v>
      </c>
      <c r="J224" s="16" t="s">
        <v>951</v>
      </c>
      <c r="K224" s="17" t="s">
        <v>952</v>
      </c>
      <c r="L224" s="18" t="str">
        <f t="shared" si="3"/>
        <v>renildogandrade1@hotmail.com; sanderson@vialestepatos.com.br ;diretor@vialestepatos.com.br;eridan.qf@hotmail.com;;vendas.renault@vialestepatos.com.br;posvendas.renault@vialestepatos.com.br;melrison.renault@vialestepatos.com.br; rariane@vialestepatos.com.br; juliana@vialestepatos.com.br;jeffersonrenault123@gmail.com</v>
      </c>
    </row>
    <row r="225" spans="1:12">
      <c r="A225" s="6"/>
      <c r="B225" s="2">
        <v>7601086</v>
      </c>
      <c r="C225" t="s">
        <v>953</v>
      </c>
      <c r="D225" s="3">
        <v>4</v>
      </c>
      <c r="E225" s="3">
        <v>3</v>
      </c>
      <c r="F225" s="4" t="s">
        <v>954</v>
      </c>
      <c r="G225" s="4" t="s">
        <v>955</v>
      </c>
      <c r="H225" s="16" t="s">
        <v>956</v>
      </c>
      <c r="I225" s="16" t="s">
        <v>957</v>
      </c>
      <c r="J225" s="16" t="s">
        <v>957</v>
      </c>
      <c r="K225" s="17" t="s">
        <v>957</v>
      </c>
      <c r="L225" s="18" t="str">
        <f t="shared" si="3"/>
        <v>josejunior@autobelo.com.br; josejunior@renaultvivant.com.br;diego@autobelo.com.br;;oficina@renaultvivant.com.br; danilo.lins@renaultvivant.com.br;oficina@renaultvivant.com.br;oficina@renaultvivant.com.br;oficina@renaultvivant.com.br</v>
      </c>
    </row>
    <row r="226" spans="1:12">
      <c r="A226" s="6"/>
      <c r="B226" s="2">
        <v>7600732</v>
      </c>
      <c r="C226" t="s">
        <v>958</v>
      </c>
      <c r="D226" s="3">
        <v>4</v>
      </c>
      <c r="E226" s="3">
        <v>4</v>
      </c>
      <c r="F226" s="4" t="s">
        <v>959</v>
      </c>
      <c r="H226" s="16" t="s">
        <v>960</v>
      </c>
      <c r="I226" s="16" t="s">
        <v>961</v>
      </c>
      <c r="J226" s="16"/>
      <c r="K226" s="17" t="s">
        <v>962</v>
      </c>
      <c r="L226" s="18" t="str">
        <f t="shared" si="3"/>
        <v>rubens.perina@grupoitadil.com.br;;gervendas@autoviarenault.com.br;gerposvendas@autoviarenault.com.br;;cotech@autoviarenault.com.br</v>
      </c>
    </row>
    <row r="227" spans="1:12">
      <c r="A227" s="6"/>
      <c r="B227" s="2">
        <v>7600935</v>
      </c>
      <c r="C227" t="s">
        <v>963</v>
      </c>
      <c r="D227" s="3">
        <v>4</v>
      </c>
      <c r="E227" s="3">
        <v>4</v>
      </c>
      <c r="F227" s="4" t="s">
        <v>964</v>
      </c>
      <c r="G227" s="17" t="s">
        <v>965</v>
      </c>
      <c r="H227" s="16" t="s">
        <v>966</v>
      </c>
      <c r="I227" s="16" t="s">
        <v>967</v>
      </c>
      <c r="J227" s="16" t="s">
        <v>967</v>
      </c>
      <c r="K227" s="17" t="s">
        <v>968</v>
      </c>
      <c r="L227" s="18" t="str">
        <f t="shared" si="3"/>
        <v>cotech.servicos@renaultgamboa.com.br;;;wilsonjr1500@hotmail.com;;gerencia@renaultgamboa.com.br; supervisordevendas@renaultgamboa.com.br;gerencia@renaultgamboa.com.br;gerencia@renaultgamboa.com.br;cotech.servicos@renaultgamboa.com.br</v>
      </c>
    </row>
    <row r="228" spans="1:12">
      <c r="A228" s="6"/>
      <c r="B228" s="2">
        <v>7600863</v>
      </c>
      <c r="C228" t="s">
        <v>969</v>
      </c>
      <c r="D228" s="3">
        <v>4</v>
      </c>
      <c r="E228" s="3">
        <v>4</v>
      </c>
      <c r="F228" s="4" t="s">
        <v>970</v>
      </c>
      <c r="G228" s="4" t="s">
        <v>971</v>
      </c>
      <c r="H228" s="16" t="s">
        <v>972</v>
      </c>
      <c r="I228" s="16" t="s">
        <v>973</v>
      </c>
      <c r="J228" s="16"/>
      <c r="K228" s="17" t="s">
        <v>973</v>
      </c>
      <c r="L228" s="18" t="str">
        <f t="shared" si="3"/>
        <v>posvenda@lafranceveiculos.com.br;gerencia@lafranceveiculos.com.br;gerencia@lafranceveiculos.com.br;gerencia@lafranceveiculos.com.br;helio@cavepefiat.com.br;;sup.vendas@lafranceveiculos.com.br;posvenda@lafranceveiculos.com.br;;posvenda@lafranceveiculos.com.br</v>
      </c>
    </row>
    <row r="229" spans="1:12">
      <c r="A229" s="6"/>
      <c r="B229" s="2">
        <v>7600104</v>
      </c>
      <c r="C229" t="s">
        <v>974</v>
      </c>
      <c r="D229" s="3">
        <v>4</v>
      </c>
      <c r="E229" s="3">
        <v>4</v>
      </c>
      <c r="F229" s="4" t="s">
        <v>975</v>
      </c>
      <c r="G229" s="4" t="s">
        <v>976</v>
      </c>
      <c r="H229" s="16" t="s">
        <v>977</v>
      </c>
      <c r="I229" s="16" t="s">
        <v>978</v>
      </c>
      <c r="J229" s="16" t="s">
        <v>979</v>
      </c>
      <c r="K229" s="1" t="s">
        <v>980</v>
      </c>
      <c r="L229" s="18" t="str">
        <f t="shared" si="3"/>
        <v>;moacir@redencao.com.br;henrique@redencao.com.br;moacir@redencao.com.br;joacir@redencao.com.br;henrique@redencao.com.br;;aline.pessoa@redencao.com.br;henrique.soares@redencao.com.br;steeffany.ingryd@redencao.com.br; iara.marques@redencao.com.br;henrique.soares@redencao.com.br; steeffany.ingryd@redencao.com.br</v>
      </c>
    </row>
    <row r="230" spans="1:12">
      <c r="A230" s="6"/>
      <c r="B230" s="2">
        <v>7600763</v>
      </c>
      <c r="C230" t="s">
        <v>981</v>
      </c>
      <c r="D230" s="3">
        <v>4</v>
      </c>
      <c r="E230" s="3">
        <v>4</v>
      </c>
      <c r="G230" s="4" t="s">
        <v>976</v>
      </c>
      <c r="H230" s="16" t="s">
        <v>977</v>
      </c>
      <c r="I230" s="16" t="s">
        <v>982</v>
      </c>
      <c r="J230" s="16" t="s">
        <v>983</v>
      </c>
      <c r="K230" s="17" t="s">
        <v>984</v>
      </c>
      <c r="L230" s="18" t="str">
        <f t="shared" si="3"/>
        <v>;moacir@redencao.com.br;joacir@redencao.com.br;henrique@redencao.com.br;;aline.pessoa@redencao.com.br;leoncio.queiroz@redencaorenault.com.br;steeffany.ingryd@redencaorenault.com.br;cotech@redencaorenault.com.br; henrique.soares@redencao.com.br; steeffany.ingryd@redencao.com.br</v>
      </c>
    </row>
    <row r="231" spans="1:12">
      <c r="A231" s="6"/>
      <c r="B231" s="2">
        <v>7600743</v>
      </c>
      <c r="C231" t="s">
        <v>985</v>
      </c>
      <c r="D231" s="3">
        <v>4</v>
      </c>
      <c r="E231" s="3">
        <v>4</v>
      </c>
      <c r="F231" s="17"/>
      <c r="G231" s="19" t="s">
        <v>986</v>
      </c>
      <c r="H231" s="16" t="s">
        <v>987</v>
      </c>
      <c r="I231" s="16" t="s">
        <v>988</v>
      </c>
      <c r="J231" s="16" t="s">
        <v>989</v>
      </c>
      <c r="K231" s="17"/>
      <c r="L231" s="18" t="str">
        <f t="shared" si="3"/>
        <v>;bruno.tude@adtsa.com.br;francisco.tude@adtsa.com.br; bruno.filho@adtsa.com.br;joel.barbosa@adtsa.com.br;gilberto.neto@adtsa.com.br; ; lia.militao@adtsa.com.br; liliane.costa@adtsa.com.br;; gilberto.neto@adtsa.com.br;</v>
      </c>
    </row>
    <row r="232" spans="1:12">
      <c r="A232" s="6"/>
      <c r="B232" s="2">
        <v>7600597</v>
      </c>
      <c r="C232" t="s">
        <v>990</v>
      </c>
      <c r="D232" s="3">
        <v>4</v>
      </c>
      <c r="E232" s="3">
        <v>4</v>
      </c>
      <c r="F232" s="17"/>
      <c r="G232" s="4" t="s">
        <v>986</v>
      </c>
      <c r="H232" s="16" t="s">
        <v>991</v>
      </c>
      <c r="I232" s="16" t="s">
        <v>988</v>
      </c>
      <c r="J232" s="16" t="s">
        <v>989</v>
      </c>
      <c r="K232" s="17" t="s">
        <v>992</v>
      </c>
      <c r="L232" s="18" t="str">
        <f t="shared" si="3"/>
        <v xml:space="preserve">;bruno.tude@adtsa.com.br;francisco.tude@adtsa.com.br; bruno.filho@adtsa.com.br;rosana.pontes@adtsa.com.br;gilberto.neto@adtsa.com.br; ; lia.militao@adtsa.com.br; liliane.costa@adtsa.com.br;; gilberto.neto@adtsa.com.br;luenio.herculino@adtsa.com.br; joel.barbosa@adtsa.com.br; </v>
      </c>
    </row>
    <row r="233" spans="1:12">
      <c r="A233" s="6"/>
      <c r="B233" s="2">
        <v>7600737</v>
      </c>
      <c r="C233" t="s">
        <v>993</v>
      </c>
      <c r="D233" s="3">
        <v>4</v>
      </c>
      <c r="E233" s="3">
        <v>4</v>
      </c>
      <c r="F233" s="17"/>
      <c r="G233" s="4" t="s">
        <v>986</v>
      </c>
      <c r="H233" s="16" t="s">
        <v>994</v>
      </c>
      <c r="I233" s="16" t="s">
        <v>988</v>
      </c>
      <c r="J233" s="16" t="s">
        <v>989</v>
      </c>
      <c r="K233" s="17" t="s">
        <v>995</v>
      </c>
      <c r="L233" s="18" t="str">
        <f t="shared" si="3"/>
        <v xml:space="preserve">;bruno.tude@adtsa.com.br;francisco.tude@adtsa.com.br; bruno.filho@adtsa.com.br;robson.barbosa@adtsa.com.br;gilberto.neto@adtsa.com.br; ; lia.militao@adtsa.com.br; liliane.costa@adtsa.com.br;; gilberto.neto@adtsa.com.br;joel.barbosa@adtsa.com.br; </v>
      </c>
    </row>
    <row r="234" spans="1:12">
      <c r="A234" s="6"/>
      <c r="B234" s="2">
        <v>7600596</v>
      </c>
      <c r="C234" t="s">
        <v>996</v>
      </c>
      <c r="D234" s="3">
        <v>4</v>
      </c>
      <c r="E234" s="3">
        <v>4</v>
      </c>
      <c r="F234" s="17"/>
      <c r="G234" s="4" t="s">
        <v>986</v>
      </c>
      <c r="H234" s="16" t="s">
        <v>997</v>
      </c>
      <c r="I234" s="16" t="s">
        <v>988</v>
      </c>
      <c r="J234" s="16" t="s">
        <v>989</v>
      </c>
      <c r="K234" s="17"/>
      <c r="L234" s="18" t="str">
        <f t="shared" si="3"/>
        <v>;bruno.tude@adtsa.com.br;francisco.tude@adtsa.com.br; bruno.filho@adtsa.com.br;eudes.santos@adtsa.com.br; joel.barbosa@adtsa.com.br;gilberto.neto@adtsa.com.br; ; lia.militao@adtsa.com.br; liliane.costa@adtsa.com.br;; gilberto.neto@adtsa.com.br;</v>
      </c>
    </row>
    <row r="235" spans="1:12">
      <c r="A235" s="6"/>
      <c r="B235" s="2">
        <v>7600286</v>
      </c>
      <c r="C235" t="s">
        <v>998</v>
      </c>
      <c r="D235" s="3">
        <v>4</v>
      </c>
      <c r="E235" s="3">
        <v>5</v>
      </c>
      <c r="F235" s="17" t="s">
        <v>999</v>
      </c>
      <c r="G235" s="17" t="s">
        <v>1000</v>
      </c>
      <c r="H235" s="16" t="s">
        <v>1001</v>
      </c>
      <c r="I235" s="16" t="s">
        <v>1001</v>
      </c>
      <c r="J235" s="16" t="s">
        <v>1002</v>
      </c>
      <c r="K235" s="17" t="s">
        <v>1003</v>
      </c>
      <c r="L235" s="18" t="str">
        <f t="shared" si="3"/>
        <v xml:space="preserve">rodrigo@carmais.com.br;;danilo.queiroz@carmais.com.br; adrianoventura@carmais.com.br ; dea.pena@carmais.com.br;antonio.rodrigues@carmais.com.br;antonio.rodrigues@carmais.com.br;dea.pena@carmais.com.br;ana.carneiro@carmais.com.br; jonathas.santos@carmais.com.br; barbara.nogueira@carmais.com.br; fcoventura@carmais.com.br </v>
      </c>
    </row>
    <row r="236" spans="1:12">
      <c r="A236" s="6"/>
      <c r="B236" s="2">
        <v>7600927</v>
      </c>
      <c r="C236" t="s">
        <v>1004</v>
      </c>
      <c r="D236" s="3">
        <v>4</v>
      </c>
      <c r="E236" s="3">
        <v>5</v>
      </c>
      <c r="F236" s="4" t="s">
        <v>1005</v>
      </c>
      <c r="G236" s="17" t="s">
        <v>1006</v>
      </c>
      <c r="H236" s="16" t="s">
        <v>1007</v>
      </c>
      <c r="I236" s="16" t="s">
        <v>1008</v>
      </c>
      <c r="J236" s="16" t="s">
        <v>1009</v>
      </c>
      <c r="K236" s="17"/>
      <c r="L236" s="18" t="str">
        <f t="shared" si="3"/>
        <v>antoniowalber@grupohws.com.br;diretoria@fortmotos.com.br;nayana@nordveiculos.com.br;alcinei@nordveiculos.com.br;roberjaniapinheiro@fortnissan.com.br;</v>
      </c>
    </row>
    <row r="237" spans="1:12">
      <c r="A237" s="6"/>
      <c r="B237" s="2">
        <v>7600948</v>
      </c>
      <c r="C237" t="s">
        <v>1010</v>
      </c>
      <c r="D237" s="3">
        <v>4</v>
      </c>
      <c r="E237" s="3">
        <v>5</v>
      </c>
      <c r="F237" s="17"/>
      <c r="G237" s="17" t="s">
        <v>1011</v>
      </c>
      <c r="H237" s="1" t="s">
        <v>1012</v>
      </c>
      <c r="I237" s="16" t="s">
        <v>1013</v>
      </c>
      <c r="J237" s="17" t="s">
        <v>1014</v>
      </c>
      <c r="K237" s="17" t="s">
        <v>1015</v>
      </c>
      <c r="L237" s="18" t="str">
        <f t="shared" si="3"/>
        <v xml:space="preserve">;bruno.tude@adtsa.com.br; bruno.filho@adtsa.com.br;santiago.silva@adtsa.com.br; bruno.lima@adtsa.com.br; natanael.rodrigues@adtsa.com.br;lia.militao@adtsa.com.br; ; liliane.costa@adtsa.com.br;dalzineide.silva@adtsa.com.br; joel.barbosa@adtsa.com.br; joelton.tavares@adtsa.com.br;francisco.gleiston@adtsa.com.br; santiago.silva@adtsa.com.br; jose.mendonca@adtsa.com.br;liliane.costa@adtsa.com.br ; </v>
      </c>
    </row>
    <row r="238" spans="1:12">
      <c r="A238" s="6"/>
      <c r="B238" s="2">
        <v>7600985</v>
      </c>
      <c r="C238" t="s">
        <v>1016</v>
      </c>
      <c r="D238" s="3">
        <v>4</v>
      </c>
      <c r="E238" s="3">
        <v>5</v>
      </c>
      <c r="F238" s="17"/>
      <c r="G238" s="17" t="s">
        <v>1011</v>
      </c>
      <c r="H238" s="1" t="s">
        <v>1012</v>
      </c>
      <c r="I238" s="16" t="s">
        <v>1013</v>
      </c>
      <c r="J238" s="17" t="s">
        <v>1014</v>
      </c>
      <c r="K238" s="17" t="s">
        <v>1015</v>
      </c>
      <c r="L238" s="18" t="str">
        <f t="shared" si="3"/>
        <v xml:space="preserve">;bruno.tude@adtsa.com.br; bruno.filho@adtsa.com.br;santiago.silva@adtsa.com.br; bruno.lima@adtsa.com.br; natanael.rodrigues@adtsa.com.br;lia.militao@adtsa.com.br; ; liliane.costa@adtsa.com.br;dalzineide.silva@adtsa.com.br; joel.barbosa@adtsa.com.br; joelton.tavares@adtsa.com.br;francisco.gleiston@adtsa.com.br; santiago.silva@adtsa.com.br; jose.mendonca@adtsa.com.br;liliane.costa@adtsa.com.br ; </v>
      </c>
    </row>
    <row r="239" spans="1:12">
      <c r="A239" s="6"/>
      <c r="B239" s="2">
        <v>7601136</v>
      </c>
      <c r="C239" t="s">
        <v>1017</v>
      </c>
      <c r="D239" s="3">
        <v>4</v>
      </c>
      <c r="E239" s="3">
        <v>5</v>
      </c>
      <c r="F239" s="4" t="s">
        <v>1018</v>
      </c>
      <c r="G239" s="4" t="s">
        <v>1019</v>
      </c>
      <c r="H239" s="16" t="s">
        <v>1020</v>
      </c>
      <c r="I239" s="16" t="s">
        <v>1020</v>
      </c>
      <c r="J239" s="16" t="s">
        <v>1021</v>
      </c>
      <c r="K239" s="17" t="s">
        <v>1022</v>
      </c>
      <c r="L239" s="18" t="str">
        <f t="shared" si="3"/>
        <v>;marcelo@grupolinhares.com.br;;carmen@grupolinhares.com.br;fernando@grupolinhares.com.br;;allan.araujo@terrasantarenault.com.br;allan.araujo@terrasantarenault.com.br;fran.arimateia@terrasantahmb.com.br; ;cotech@terrasantarenault.com.br; thiago.bezerra@grupolinhares.com.br; ; cicera.valdenia@grupolinhares.com.br</v>
      </c>
    </row>
    <row r="240" spans="1:12">
      <c r="A240" s="6"/>
      <c r="B240" s="2">
        <v>7600164</v>
      </c>
      <c r="C240" t="s">
        <v>1023</v>
      </c>
      <c r="D240" s="3">
        <v>4</v>
      </c>
      <c r="E240" s="3">
        <v>5</v>
      </c>
      <c r="F240" s="4" t="s">
        <v>1024</v>
      </c>
      <c r="G240" s="4" t="s">
        <v>1025</v>
      </c>
      <c r="H240" s="16" t="s">
        <v>1026</v>
      </c>
      <c r="I240" s="16" t="s">
        <v>1027</v>
      </c>
      <c r="J240" s="16" t="s">
        <v>1028</v>
      </c>
      <c r="K240" s="17"/>
      <c r="L240" s="18" t="str">
        <f t="shared" si="3"/>
        <v>ericoveiga@viaparisnet.com.br ;fernandomenezes@viaparisnet.com.br;axena@viaparisnet.com.br ;valcy@viaparisnet.com.br ;theresahilda@viaparisnet.com.br;</v>
      </c>
    </row>
    <row r="241" spans="1:12">
      <c r="A241" s="6"/>
      <c r="B241" s="2">
        <v>7600755</v>
      </c>
      <c r="C241" t="s">
        <v>1029</v>
      </c>
      <c r="D241" s="3">
        <v>4</v>
      </c>
      <c r="E241" s="3">
        <v>5</v>
      </c>
      <c r="F241" s="17" t="s">
        <v>1024</v>
      </c>
      <c r="G241" s="4" t="s">
        <v>1025</v>
      </c>
      <c r="H241" s="16" t="s">
        <v>1030</v>
      </c>
      <c r="I241" s="16" t="s">
        <v>1027</v>
      </c>
      <c r="J241" s="16" t="s">
        <v>1028</v>
      </c>
      <c r="K241" s="17"/>
      <c r="L241" s="18" t="str">
        <f t="shared" si="3"/>
        <v>ericoveiga@viaparisnet.com.br ;fernandomenezes@viaparisnet.com.br;joaosilveira@viaparisnet.com.br ;valcy@viaparisnet.com.br ;theresahilda@viaparisnet.com.br;</v>
      </c>
    </row>
    <row r="242" spans="1:12">
      <c r="A242" s="6"/>
      <c r="B242" s="2">
        <v>7600779</v>
      </c>
      <c r="C242" t="s">
        <v>1031</v>
      </c>
      <c r="D242" s="3">
        <v>4</v>
      </c>
      <c r="E242" s="3">
        <v>5</v>
      </c>
      <c r="F242" s="17" t="s">
        <v>1024</v>
      </c>
      <c r="G242" s="4" t="s">
        <v>1025</v>
      </c>
      <c r="H242" s="16" t="s">
        <v>1032</v>
      </c>
      <c r="I242" s="16" t="s">
        <v>1027</v>
      </c>
      <c r="J242" s="16" t="s">
        <v>1028</v>
      </c>
      <c r="K242" s="17"/>
      <c r="L242" s="18" t="str">
        <f t="shared" si="3"/>
        <v>ericoveiga@viaparisnet.com.br ;fernandomenezes@viaparisnet.com.br;myllenathays@viaparisnet.com.br ;valcy@viaparisnet.com.br ;theresahilda@viaparisnet.com.br;</v>
      </c>
    </row>
    <row r="243" spans="1:12">
      <c r="A243" s="6"/>
      <c r="B243" s="2">
        <v>7600680</v>
      </c>
      <c r="C243" t="s">
        <v>1033</v>
      </c>
      <c r="D243" s="3">
        <v>4</v>
      </c>
      <c r="E243" s="3">
        <v>6</v>
      </c>
      <c r="G243" s="4" t="s">
        <v>1034</v>
      </c>
      <c r="H243" s="16"/>
      <c r="I243" s="21" t="s">
        <v>1035</v>
      </c>
      <c r="J243" s="16" t="s">
        <v>1036</v>
      </c>
      <c r="K243" s="17" t="s">
        <v>1037</v>
      </c>
      <c r="L243" s="18" t="str">
        <f t="shared" si="3"/>
        <v>;gabriel@gamaautos.com.br;sergio@grupogama.com.br;;;posvenda@gamaautos.com.br;qualidade@renaultgama.com.br;oficina@renaultgama.com.br</v>
      </c>
    </row>
    <row r="244" spans="1:12" ht="14.85" customHeight="1">
      <c r="A244" s="6"/>
      <c r="B244" s="2">
        <v>7600363</v>
      </c>
      <c r="C244" t="s">
        <v>1038</v>
      </c>
      <c r="D244" s="3">
        <v>4</v>
      </c>
      <c r="E244" s="3">
        <v>6</v>
      </c>
      <c r="G244" s="4" t="s">
        <v>1034</v>
      </c>
      <c r="H244" s="16" t="s">
        <v>1039</v>
      </c>
      <c r="I244" s="16" t="s">
        <v>1040</v>
      </c>
      <c r="J244" s="16" t="s">
        <v>1036</v>
      </c>
      <c r="K244" s="17" t="s">
        <v>1037</v>
      </c>
      <c r="L244" s="18" t="str">
        <f t="shared" si="3"/>
        <v>;gabriel@gamaautos.com.br;sergio@grupogama.com.br;;posvenda@renaultgama.com.br;posvenda@gamaautos.com.br; posvenda@renaultgama.com.br;qualidade@renaultgama.com.br;oficina@renaultgama.com.br</v>
      </c>
    </row>
    <row r="245" spans="1:12" ht="14.85" customHeight="1">
      <c r="A245" s="6"/>
      <c r="B245" s="2">
        <v>7600810</v>
      </c>
      <c r="C245" t="s">
        <v>1041</v>
      </c>
      <c r="D245" s="3">
        <v>4</v>
      </c>
      <c r="E245" s="3">
        <v>6</v>
      </c>
      <c r="F245" s="17" t="s">
        <v>1042</v>
      </c>
      <c r="G245" s="17" t="s">
        <v>1042</v>
      </c>
      <c r="H245" s="16" t="s">
        <v>1043</v>
      </c>
      <c r="I245" s="16" t="s">
        <v>1043</v>
      </c>
      <c r="J245" s="1" t="s">
        <v>1044</v>
      </c>
      <c r="K245" s="17" t="s">
        <v>1045</v>
      </c>
      <c r="L245" s="18" t="str">
        <f t="shared" si="3"/>
        <v>Loreane@grupojcf.com;Loreane@grupojcf.com;Ana.prm@grupojcf.com.br;Ana.prm@grupojcf.com.br;lilian.prm@grupojcf.com.br;Haidee.mvm@grupojcf.com.br</v>
      </c>
    </row>
    <row r="246" spans="1:12">
      <c r="A246" s="6"/>
      <c r="B246" s="2">
        <v>7600872</v>
      </c>
      <c r="C246" t="s">
        <v>1046</v>
      </c>
      <c r="D246" s="3">
        <v>4</v>
      </c>
      <c r="E246" s="3">
        <v>6</v>
      </c>
      <c r="F246" s="17" t="s">
        <v>1042</v>
      </c>
      <c r="G246" s="17" t="s">
        <v>1042</v>
      </c>
      <c r="H246" s="16" t="s">
        <v>1047</v>
      </c>
      <c r="I246" s="16" t="s">
        <v>1047</v>
      </c>
      <c r="J246" s="16" t="s">
        <v>1048</v>
      </c>
      <c r="K246" s="17" t="s">
        <v>1045</v>
      </c>
      <c r="L246" s="18" t="str">
        <f t="shared" si="3"/>
        <v>Loreane@grupojcf.com;Loreane@grupojcf.com;Eduardo.prf@grupojcf.com.br;Eduardo.prf@grupojcf.com.br;Josefa.prf@grupojcf.com.br;Haidee.mvm@grupojcf.com.br</v>
      </c>
    </row>
    <row r="247" spans="1:12">
      <c r="A247" s="6"/>
      <c r="B247" s="2">
        <v>7600678</v>
      </c>
      <c r="C247" t="s">
        <v>1049</v>
      </c>
      <c r="D247" s="3">
        <v>4</v>
      </c>
      <c r="E247" s="3">
        <v>6</v>
      </c>
      <c r="F247" s="4" t="s">
        <v>1050</v>
      </c>
      <c r="G247" s="4" t="s">
        <v>1051</v>
      </c>
      <c r="H247" s="16" t="s">
        <v>1052</v>
      </c>
      <c r="I247" s="16" t="s">
        <v>1053</v>
      </c>
      <c r="J247" s="16" t="s">
        <v>1054</v>
      </c>
      <c r="K247" s="17" t="s">
        <v>1055</v>
      </c>
      <c r="L247" s="18" t="str">
        <f t="shared" si="3"/>
        <v>supervisor.pv.filial@dicalrenault.com.br;osvaldorui@dicalrenault.com.br;luizamartins@dicalrenault.com.br;osvaldorui@dicalfiat.com.br;;gerente.matriz@dicalrenault.com.br; supervisor.pv.filial@dicalrenault.com.br;supervisor.pv.filial@dicalrenault.com.br;qualidade@dicalrenault.com.br;cotech.filialcz@dicalrenault.com.br</v>
      </c>
    </row>
    <row r="248" spans="1:12">
      <c r="A248" s="6"/>
      <c r="B248" s="2">
        <v>7600804</v>
      </c>
      <c r="C248" t="s">
        <v>1056</v>
      </c>
      <c r="D248" s="3">
        <v>4</v>
      </c>
      <c r="E248" s="3">
        <v>6</v>
      </c>
      <c r="G248" s="4" t="s">
        <v>1057</v>
      </c>
      <c r="H248" s="16" t="s">
        <v>84</v>
      </c>
      <c r="I248" s="16" t="s">
        <v>1058</v>
      </c>
      <c r="J248" s="1" t="s">
        <v>1059</v>
      </c>
      <c r="K248" s="17" t="s">
        <v>1060</v>
      </c>
      <c r="L248" s="18" t="str">
        <f t="shared" si="3"/>
        <v>;diretoria@grupomazzutti.com.br;maristela@grupomazzutti.com.br;;; ;; lucas.martins@grupomazzutti.com.br; alexander@grupomazzutti.com.br; alexander@grupomazzutti.com.br;qualidade@grupomazzutti.com.br; gerentecomercialre@grupomazzutti.com.br;cotechre@grupomazzutti.com.br; pecasre@grupomazzutti.com.br; bryan.magalhaes@grupomazzutti.com.br; vendas1re@grupomazzutti.com.br</v>
      </c>
    </row>
    <row r="249" spans="1:12">
      <c r="A249" s="6"/>
      <c r="B249" s="2">
        <v>7601095</v>
      </c>
      <c r="C249" t="s">
        <v>1061</v>
      </c>
      <c r="D249" s="3">
        <v>4</v>
      </c>
      <c r="E249" s="3">
        <v>6</v>
      </c>
      <c r="F249" s="19"/>
      <c r="G249" s="23" t="s">
        <v>1057</v>
      </c>
      <c r="H249" s="16"/>
      <c r="I249" s="16" t="s">
        <v>1062</v>
      </c>
      <c r="J249" s="1" t="s">
        <v>1059</v>
      </c>
      <c r="K249" s="17" t="s">
        <v>1063</v>
      </c>
      <c r="L249" s="18" t="str">
        <f t="shared" si="3"/>
        <v>;diretoria@grupomazzutti.com.br;maristela@grupomazzutti.com.br;;;lucas.martins@grupomazzutti.com.br; alexander@grupomazzutti.com.br;qualidade@grupomazzutti.com.br; gerentecomercialre@grupomazzutti.com.br;oficinare.vilhena@grupomazzutti.com.br; pecasre@grupomazzutti.com.br; amanda.trovao@grupomazzutti.com.br</v>
      </c>
    </row>
    <row r="250" spans="1:12">
      <c r="A250" s="6"/>
      <c r="B250" s="2">
        <v>7600599</v>
      </c>
      <c r="C250" t="s">
        <v>1064</v>
      </c>
      <c r="D250" s="3">
        <v>4</v>
      </c>
      <c r="E250" s="3">
        <v>6</v>
      </c>
      <c r="F250" s="17" t="s">
        <v>1065</v>
      </c>
      <c r="G250" s="19"/>
      <c r="H250" s="16"/>
      <c r="I250" s="16"/>
      <c r="J250" s="16" t="s">
        <v>823</v>
      </c>
      <c r="K250" s="17"/>
      <c r="L250" s="18" t="str">
        <f t="shared" si="3"/>
        <v>furlan@renaultalliance.com.br;rodrigo.rocha@primavia.com.br;;;;chrysney.tathiana@primavia.com.br;</v>
      </c>
    </row>
    <row r="251" spans="1:12" ht="15.6">
      <c r="B251" s="2">
        <v>7600897</v>
      </c>
      <c r="C251" t="s">
        <v>1066</v>
      </c>
      <c r="D251" s="3">
        <v>4</v>
      </c>
      <c r="E251" s="3">
        <v>6</v>
      </c>
      <c r="F251" s="25" t="s">
        <v>1067</v>
      </c>
      <c r="G251" s="25" t="s">
        <v>1068</v>
      </c>
      <c r="H251" s="16" t="s">
        <v>1069</v>
      </c>
      <c r="I251" s="16" t="s">
        <v>1069</v>
      </c>
      <c r="J251" s="16" t="s">
        <v>1070</v>
      </c>
      <c r="K251" s="17" t="s">
        <v>1071</v>
      </c>
      <c r="L251" s="18" t="str">
        <f t="shared" si="3"/>
        <v>;jorge@recio.com;jorge@recio.com;jorge@recio.com;marilia@recio.com;recio@recio.com;;posvendarenault@amauto.com.br;posvendarenault@amauto.com.br;crm@amauto.com.br; rosana@amauto.com.br;alisoncolares.bruno@gmail.com; kaizen@amauto.com.br; estoquista@amauto.com.br</v>
      </c>
    </row>
    <row r="252" spans="1:12">
      <c r="A252" s="6"/>
      <c r="B252" s="2">
        <v>7601156</v>
      </c>
      <c r="C252" t="s">
        <v>1072</v>
      </c>
      <c r="D252" s="3">
        <v>4</v>
      </c>
      <c r="E252" s="3">
        <v>7</v>
      </c>
      <c r="F252" s="17" t="s">
        <v>1073</v>
      </c>
      <c r="G252" s="17" t="s">
        <v>1074</v>
      </c>
      <c r="H252" s="16" t="s">
        <v>1075</v>
      </c>
      <c r="I252" s="16" t="s">
        <v>1076</v>
      </c>
      <c r="J252" s="16" t="s">
        <v>1077</v>
      </c>
      <c r="K252" s="17" t="s">
        <v>1078</v>
      </c>
      <c r="L252" s="18" t="str">
        <f t="shared" si="3"/>
        <v>carlos.henrique@revemar.com.br;;patricia.alencar@revemar.com.br;;livia.lopes@revemar.com.br;walter.gomes@revemar.com.br; ;luzia.santos@revemar.com.br;;ailson.neto@revemar.com.br;  alice.mesquita@revemar.com.br;   luciana.dias@revemar.com.br;   amanda.costa@revemar.com.br;   janaina.sales@revemar.com.br</v>
      </c>
    </row>
    <row r="253" spans="1:12">
      <c r="A253" s="6"/>
      <c r="B253" s="2">
        <v>7601135</v>
      </c>
      <c r="C253" t="s">
        <v>1079</v>
      </c>
      <c r="D253" s="3">
        <v>4</v>
      </c>
      <c r="E253" s="3">
        <v>7</v>
      </c>
      <c r="F253" s="17" t="s">
        <v>1073</v>
      </c>
      <c r="G253" s="17" t="s">
        <v>1074</v>
      </c>
      <c r="H253" s="16" t="s">
        <v>1080</v>
      </c>
      <c r="I253" s="16" t="s">
        <v>1081</v>
      </c>
      <c r="J253" s="16" t="s">
        <v>1077</v>
      </c>
      <c r="K253" s="17" t="s">
        <v>1082</v>
      </c>
      <c r="L253" s="18" t="str">
        <f t="shared" si="3"/>
        <v>carlos.henrique@revemar.com.br;;patricia.alencar@revemar.com.br;;taylor.santos@revemar.com.br;walter.gomes@revemar.com.br;;luzia.santos@revemar.com.br;;luciana.dias@revemar.com.br;  alice.mesquita@revemar.com.br;  qualidade.dno.rbr@revemar.com.br;  leandro.chaves@revemar.com.br;  rayani.silva@revemar.com.br</v>
      </c>
    </row>
    <row r="254" spans="1:12">
      <c r="A254" s="6"/>
      <c r="B254" s="2">
        <v>7600718</v>
      </c>
      <c r="C254" t="s">
        <v>1083</v>
      </c>
      <c r="D254" s="3">
        <v>4</v>
      </c>
      <c r="E254" s="3">
        <v>7</v>
      </c>
      <c r="F254" s="17" t="s">
        <v>1073</v>
      </c>
      <c r="G254" s="17" t="s">
        <v>1074</v>
      </c>
      <c r="H254" s="16" t="s">
        <v>1084</v>
      </c>
      <c r="I254" s="16" t="s">
        <v>1081</v>
      </c>
      <c r="J254" s="16" t="s">
        <v>1077</v>
      </c>
      <c r="K254" s="17" t="s">
        <v>1085</v>
      </c>
      <c r="L254" s="18" t="str">
        <f t="shared" si="3"/>
        <v>carlos.henrique@revemar.com.br;;patricia.alencar@revemar.com.br;;paula.morais@revemar.com.br;walter.gomes@revemar.com.br;;luzia.santos@revemar.com.br;; jillis.costa@revemar.com.br;   luciana.dias@revemar.com.br;  alice.mesquita@revemar.com.br; cristiane.sm@revemar.com.br;   jose.rpereira@revemar.com.br;  daniel.souto@revmar.com.br;   camila.xavier@revemar.com.br;   gleica.meliza@revemar.com.br</v>
      </c>
    </row>
    <row r="255" spans="1:12">
      <c r="A255" s="6"/>
      <c r="B255" s="2">
        <v>7600466</v>
      </c>
      <c r="C255" t="s">
        <v>1086</v>
      </c>
      <c r="D255" s="3">
        <v>4</v>
      </c>
      <c r="E255" s="3">
        <v>7</v>
      </c>
      <c r="F255" s="17" t="s">
        <v>1073</v>
      </c>
      <c r="G255" s="17" t="s">
        <v>1074</v>
      </c>
      <c r="H255" s="16" t="s">
        <v>1084</v>
      </c>
      <c r="I255" s="16" t="s">
        <v>1081</v>
      </c>
      <c r="J255" s="16" t="s">
        <v>1077</v>
      </c>
      <c r="K255" s="17" t="s">
        <v>1087</v>
      </c>
      <c r="L255" s="18" t="str">
        <f t="shared" si="3"/>
        <v>carlos.henrique@revemar.com.br;;patricia.alencar@revemar.com.br;;paula.morais@revemar.com.br;walter.gomes@revemar.com.br;;luzia.santos@revemar.com.br;; wildrin.blanco@revemar.com.br;   luciana.dias@revemar.com.br;  alice.mesquita@revemar.com.br;  camila.xavier@revemar.com.br;  cristiane.sm@revemar.com.br;  jose.rpereira@revemar.com.br;   gleica.meliza@revemar.com.br</v>
      </c>
    </row>
    <row r="256" spans="1:12">
      <c r="A256" s="6"/>
      <c r="B256" s="2">
        <v>7601158</v>
      </c>
      <c r="C256" t="s">
        <v>1088</v>
      </c>
      <c r="D256" s="3">
        <v>4</v>
      </c>
      <c r="E256" s="3">
        <v>7</v>
      </c>
      <c r="F256" s="17" t="s">
        <v>1073</v>
      </c>
      <c r="G256" s="17" t="s">
        <v>1074</v>
      </c>
      <c r="H256" s="16" t="s">
        <v>1089</v>
      </c>
      <c r="I256" s="16" t="s">
        <v>1081</v>
      </c>
      <c r="J256" s="16" t="s">
        <v>1077</v>
      </c>
      <c r="K256" s="17" t="s">
        <v>1090</v>
      </c>
      <c r="L256" s="18" t="str">
        <f t="shared" si="3"/>
        <v>carlos.henrique@revemar.com.br;;patricia.alencar@revemar.com.br;;reymar.sena@revemar.com.br;walter.gomes@revemar.com.br;;luzia.santos@revemar.com.br;;  luciana.dias@revemar.com.br;  alice.mesquita@revemar.com.br;  qualidade.itz.dunort@revemar.com.br;  lorhaine.fraga@revemar.com.br;  aline.araujo@revemar.com.br</v>
      </c>
    </row>
    <row r="257" spans="1:12">
      <c r="A257" s="6"/>
      <c r="B257" s="2">
        <v>7601153</v>
      </c>
      <c r="C257" t="s">
        <v>1091</v>
      </c>
      <c r="D257" s="3">
        <v>4</v>
      </c>
      <c r="E257" s="3">
        <v>7</v>
      </c>
      <c r="F257" s="17" t="s">
        <v>1073</v>
      </c>
      <c r="G257" s="17" t="s">
        <v>1074</v>
      </c>
      <c r="H257" s="16" t="s">
        <v>1092</v>
      </c>
      <c r="I257" s="16" t="s">
        <v>1081</v>
      </c>
      <c r="J257" s="16" t="s">
        <v>1077</v>
      </c>
      <c r="K257" s="17" t="s">
        <v>1093</v>
      </c>
      <c r="L257" s="18" t="str">
        <f t="shared" si="3"/>
        <v>carlos.henrique@revemar.com.br;;patricia.alencar@revemar.com.br;;ieda.soares@revemar.com.br;walter.gomes@revemar.com.br;;luzia.santos@revemar.com.br;; luciana.dias@revemar.com.br;  alice.mesquita@revemar.com.br;  qualidade.dno.mab@revemar.com.br;   wilkleson@revemar.com.br;   amanda.alencar@revemar.com.br;  joyce.glenda@revemar.com.br; qualidade.dno.mab@revemar.com.br; allanny.pinho@revemar.com.br</v>
      </c>
    </row>
    <row r="258" spans="1:12">
      <c r="A258" s="6"/>
      <c r="B258" s="2">
        <v>7601159</v>
      </c>
      <c r="C258" t="s">
        <v>1094</v>
      </c>
      <c r="D258" s="3">
        <v>4</v>
      </c>
      <c r="E258" s="3">
        <v>7</v>
      </c>
      <c r="F258" s="17" t="s">
        <v>1095</v>
      </c>
      <c r="G258" s="17" t="s">
        <v>1074</v>
      </c>
      <c r="H258" s="16" t="s">
        <v>1096</v>
      </c>
      <c r="I258" s="16" t="s">
        <v>1081</v>
      </c>
      <c r="J258" s="16" t="s">
        <v>1077</v>
      </c>
      <c r="K258" s="17" t="s">
        <v>1097</v>
      </c>
      <c r="L258" s="18" t="str">
        <f t="shared" si="3"/>
        <v>carlos.henrique@revemar.com.br; ;patricia.alencar@revemar.com.br;;carla.xavier@revemar.com.br;walter.gomes@revemar.com.br;;luzia.santos@revemar.com.br;;geise.moraes@revemar.com.br;  luciana.dias@revemar.com.br;  alice.mesquita@revemar.com.br;   amanda.alencar@revemar.com.br;  joyce.glenda@revemar.com.br</v>
      </c>
    </row>
    <row r="259" spans="1:12">
      <c r="A259" s="6"/>
      <c r="B259" s="2">
        <v>7601155</v>
      </c>
      <c r="C259" t="s">
        <v>1098</v>
      </c>
      <c r="D259" s="3">
        <v>4</v>
      </c>
      <c r="E259" s="3">
        <v>7</v>
      </c>
      <c r="F259" s="17" t="s">
        <v>1073</v>
      </c>
      <c r="G259" s="17" t="s">
        <v>1074</v>
      </c>
      <c r="H259" s="16" t="s">
        <v>1099</v>
      </c>
      <c r="I259" s="16" t="s">
        <v>1076</v>
      </c>
      <c r="J259" s="16" t="s">
        <v>1077</v>
      </c>
      <c r="K259" s="17" t="s">
        <v>1100</v>
      </c>
      <c r="L259" s="18" t="str">
        <f t="shared" si="3"/>
        <v>carlos.henrique@revemar.com.br;;patricia.alencar@revemar.com.br;;deyvison.ferreira@revemar.com.br;walter.gomes@revemar.com.br; ;luzia.santos@revemar.com.br;;luciana.dias@revemar.com.br;  emerson.costa@revemar.com.br;  alice.mesquita@revemar.com.br;   amanda.evely@revemar.com.br;  aline.araujo@revemar.com.br</v>
      </c>
    </row>
    <row r="260" spans="1:12">
      <c r="A260" s="6"/>
      <c r="B260" s="2">
        <v>7601154</v>
      </c>
      <c r="C260" t="s">
        <v>1101</v>
      </c>
      <c r="D260" s="3">
        <v>4</v>
      </c>
      <c r="E260" s="3">
        <v>7</v>
      </c>
      <c r="F260" s="17" t="s">
        <v>1073</v>
      </c>
      <c r="G260" s="17" t="s">
        <v>1074</v>
      </c>
      <c r="H260" s="16" t="s">
        <v>1099</v>
      </c>
      <c r="I260" s="16" t="s">
        <v>1081</v>
      </c>
      <c r="J260" s="16" t="s">
        <v>1077</v>
      </c>
      <c r="K260" s="17" t="s">
        <v>1100</v>
      </c>
      <c r="L260" s="18" t="str">
        <f t="shared" ref="L260:L263" si="4">F260&amp;";"&amp;G260&amp;";"&amp;H260&amp;";"&amp;I260&amp;";"&amp;J260&amp;";"&amp;K260</f>
        <v>carlos.henrique@revemar.com.br;;patricia.alencar@revemar.com.br;;deyvison.ferreira@revemar.com.br;walter.gomes@revemar.com.br;;luzia.santos@revemar.com.br;;luciana.dias@revemar.com.br;  emerson.costa@revemar.com.br;  alice.mesquita@revemar.com.br;   amanda.evely@revemar.com.br;  aline.araujo@revemar.com.br</v>
      </c>
    </row>
    <row r="261" spans="1:12">
      <c r="A261" s="6"/>
      <c r="B261" s="2">
        <v>7601196</v>
      </c>
      <c r="C261" t="s">
        <v>1102</v>
      </c>
      <c r="D261" s="3">
        <v>4</v>
      </c>
      <c r="E261" s="3">
        <v>7</v>
      </c>
      <c r="F261" s="17" t="s">
        <v>1073</v>
      </c>
      <c r="G261" s="17" t="s">
        <v>1074</v>
      </c>
      <c r="H261" s="16" t="s">
        <v>1084</v>
      </c>
      <c r="I261" s="16" t="s">
        <v>1081</v>
      </c>
      <c r="J261" s="16" t="s">
        <v>1077</v>
      </c>
      <c r="K261" s="17" t="s">
        <v>1103</v>
      </c>
      <c r="L261" s="18" t="str">
        <f t="shared" si="4"/>
        <v>carlos.henrique@revemar.com.br;;patricia.alencar@revemar.com.br;;paula.morais@revemar.com.br;walter.gomes@revemar.com.br;;luzia.santos@revemar.com.br;;luciana.dias@revemar.com.br;  alice.mesquita@revemar.com.br;  cristiane.sm@revemar.com.br;   jose.rpereira@revemar.com.br;  camila.xavier@revemar.com.br;   gleica.meliza@revemar.com.br</v>
      </c>
    </row>
    <row r="262" spans="1:12" ht="15.6">
      <c r="B262" s="2">
        <v>7600764</v>
      </c>
      <c r="C262" t="s">
        <v>1104</v>
      </c>
      <c r="D262" s="3">
        <v>4</v>
      </c>
      <c r="E262" s="3">
        <v>7</v>
      </c>
      <c r="F262" s="25" t="s">
        <v>1105</v>
      </c>
      <c r="G262" s="25" t="s">
        <v>1106</v>
      </c>
      <c r="H262" s="16" t="s">
        <v>1107</v>
      </c>
      <c r="I262" s="16" t="s">
        <v>1108</v>
      </c>
      <c r="J262" s="16" t="s">
        <v>1109</v>
      </c>
      <c r="K262" s="17" t="s">
        <v>1110</v>
      </c>
      <c r="L262" s="18" t="str">
        <f t="shared" si="4"/>
        <v>walter@marlinrenault.com.br; bruno@marlinrenault.com.br;luiz@marlinrenault.com.br; karina.araujo@tropicalfiat.com.br;;gerenciavendas@marlinrenault.com.br;gerenciapv@marlinrenault.com.br;qualidade@marlinrenault.com.br;assistentecomercial@marlinrenault.com.br; setordepecas@marlinrenault.com.br;  agendamento@marlinrenault.com.br; Samira@marlinrenault.com.br; eric@marlinrenault.com.br</v>
      </c>
    </row>
    <row r="263" spans="1:12" ht="15.6">
      <c r="B263" s="2">
        <v>7600709</v>
      </c>
      <c r="C263" t="s">
        <v>1111</v>
      </c>
      <c r="D263" s="3">
        <v>4</v>
      </c>
      <c r="E263" s="3">
        <v>7</v>
      </c>
      <c r="F263" s="17" t="s">
        <v>1112</v>
      </c>
      <c r="G263" s="25"/>
      <c r="H263" s="17" t="s">
        <v>1113</v>
      </c>
      <c r="I263" s="17" t="s">
        <v>1114</v>
      </c>
      <c r="J263" s="17" t="s">
        <v>1115</v>
      </c>
      <c r="K263" s="17" t="s">
        <v>1116</v>
      </c>
      <c r="L263" s="18" t="str">
        <f t="shared" si="4"/>
        <v>Fernando.renda@originalautos.com.br; heitor.alves@originalautos.com.br;;;tarcisio.pinheiro@originalautos.com.br;antonia.mendes@originalautos.com.br;maria.darleni@originalautos.com.br; rafaela.ralves@originalautos.com.br;marco.pinho@originalautos.com.br; juliana.donorte@originalautos.com.br</v>
      </c>
    </row>
  </sheetData>
  <autoFilter ref="B3:E263" xr:uid="{94256768-5B84-447F-82CC-629D2B12A413}"/>
  <mergeCells count="1">
    <mergeCell ref="F2:K2"/>
  </mergeCells>
  <hyperlinks>
    <hyperlink ref="H4" r:id="rId1" display="felipe.santos-extern@renault.com" xr:uid="{2CBDF26F-1519-4122-8FCD-351896892975}"/>
    <hyperlink ref="J214" r:id="rId2" display="mailto:qualidaderenaultpvh@gruposaga.com.br" xr:uid="{2EBB3A81-34F8-4535-B913-BFDF4B7B32F6}"/>
    <hyperlink ref="K214" r:id="rId3" display="rosiane.msilva@gruposaga.com.br;" xr:uid="{B11FFB47-B6AF-4A4E-8DF0-EA50404D305C}"/>
    <hyperlink ref="H234" r:id="rId4" display="eudes.santos@adtsa.com.br" xr:uid="{38CB6BA4-175B-44EA-9755-52633F000886}"/>
    <hyperlink ref="H233" r:id="rId5" xr:uid="{0D7C1025-2AE0-40B3-8D3E-B0AA76C5DBF6}"/>
    <hyperlink ref="H232" r:id="rId6" xr:uid="{0BEB25B5-54DD-4E89-8A06-325308D1A605}"/>
    <hyperlink ref="H90" r:id="rId7" xr:uid="{CB0FFA83-C305-445E-AC0F-2144E830DDCF}"/>
    <hyperlink ref="F235" r:id="rId8" xr:uid="{90DBDF51-3C76-4820-9F41-11EF266BAB7D}"/>
    <hyperlink ref="F21" r:id="rId9" display="job.castro@grupoautomega.com.br;" xr:uid="{61A5CE47-3438-419D-BDC3-6EA354815E29}"/>
    <hyperlink ref="F22" r:id="rId10" display="job.castro@grupoautomega.com.br;" xr:uid="{26527031-2593-4890-B368-76FE3C833806}"/>
    <hyperlink ref="F23" r:id="rId11" display="job.castro@grupoautomega.com.br;" xr:uid="{F3B42C76-D166-49C7-AB89-CAB468D27D16}"/>
    <hyperlink ref="F24" r:id="rId12" display="job.castro@grupoautomega.com.br;" xr:uid="{4F5E882D-824C-4BEE-9C35-A73D3BB3CB98}"/>
    <hyperlink ref="F25" r:id="rId13" display="job.castro@grupoautomega.com.br;" xr:uid="{FE969B56-1F3C-4EFD-92B8-A3AF3643413D}"/>
    <hyperlink ref="K21" r:id="rId14" display="patricia@grupoautomega.com.br; " xr:uid="{40A9ECE8-4085-4CA0-AB63-CA8BD0C1C3B2}"/>
    <hyperlink ref="K27" r:id="rId15" display="comercial.estacaorenault@gruposaga.com.br; " xr:uid="{2700B514-E9BF-4A3D-A9A0-B006EFC5CB6C}"/>
    <hyperlink ref="G28:G29" r:id="rId16" display="kcf@grupoenzo.com.br" xr:uid="{FF8C63B6-65A2-4E9B-BD28-F3C52CB7B458}"/>
    <hyperlink ref="H28" r:id="rId17" xr:uid="{13AD961C-B04A-4B2A-89D8-62BB25536D33}"/>
    <hyperlink ref="H53:H54" r:id="rId18" display="mailto:adriana.cabreira@nissulgala.com" xr:uid="{677AC6F5-A6C9-4E0E-ADB7-1BDC374859FE}"/>
    <hyperlink ref="H146" r:id="rId19" display="mailto:leo.soyer@navesa.com.br" xr:uid="{CBB3BD8F-FB08-4B2E-93F0-B596C1F4EAFF}"/>
    <hyperlink ref="I146" r:id="rId20" display="mailto:carlos.alberto@navesa.com.br" xr:uid="{E7CFC57D-186E-4FBF-AAFA-1E81BF9877DA}"/>
    <hyperlink ref="J146" r:id="rId21" display="mailto:keilaaugusta@navesa.com.br" xr:uid="{DF13B37C-B542-4D83-8582-294974C0B6EA}"/>
    <hyperlink ref="G147" r:id="rId22" display="mailto:brenopinheiro@pinauto.com.br" xr:uid="{430D8EF2-2E7C-4096-920D-4389CDB5AC9D}"/>
    <hyperlink ref="F147" r:id="rId23" display="mailto:romildo@pinauto.com.br" xr:uid="{5FD9C3B7-E835-4D82-A689-8140C488A5AF}"/>
    <hyperlink ref="H148" r:id="rId24" display="mailto:rodrigo@ravelrenault.com.br" xr:uid="{D3A997A2-303D-4545-B301-BCB97FC7CCC0}"/>
    <hyperlink ref="G148" r:id="rId25" display="mailto:flavio@ravelrenault.com.br" xr:uid="{D543D3D1-F69E-41E7-B66F-353F81D95E45}"/>
    <hyperlink ref="F148" r:id="rId26" display="mailto:flavio@ravelrenault.com.br" xr:uid="{D8201C97-A428-4649-87DB-34EC7E4DA7FA}"/>
    <hyperlink ref="J148" r:id="rId27" display="mailto:crm@ravelrenault.com.br" xr:uid="{7506B7FE-4D18-4FD1-8735-182BC7774F68}"/>
    <hyperlink ref="I148" r:id="rId28" display="mailto:ismael@ravelrenault.com.br" xr:uid="{B722AE6F-8E59-4230-A7E3-0EE1884B6781}"/>
    <hyperlink ref="G149" r:id="rId29" display="mailto:jhn@tecar.com.br" xr:uid="{7B71176D-1C7A-49D2-A482-CFC421CC1775}"/>
    <hyperlink ref="F149" r:id="rId30" xr:uid="{78E786FA-28B0-4A9C-B75A-038B789186A4}"/>
    <hyperlink ref="F157" r:id="rId31" xr:uid="{BA5EEB11-B9FE-463B-8006-EC8EE3D6D598}"/>
    <hyperlink ref="I149" r:id="rId32" display="mailto:romildo.costa@tecar.com.br" xr:uid="{2C1C98EC-0092-4CA1-BB73-49357D2D5A0A}"/>
    <hyperlink ref="G32" r:id="rId33" display="edio@grupoautoshow.com.br" xr:uid="{2E122781-31DB-45F7-9EE6-0B39E052B1CB}"/>
    <hyperlink ref="I83" r:id="rId34" display="rene.silva@grupoamazonas.com.br" xr:uid="{860931F7-6EB9-4BE8-8D19-43444D462A73}"/>
    <hyperlink ref="I82" r:id="rId35" display="carlos.silvano@amazonasfrance.com.br" xr:uid="{EDDF2AD9-AC03-4BC6-A2FA-2B691EAD91BA}"/>
    <hyperlink ref="H83" r:id="rId36" display="diego.sales@amazonasfrance.com.br" xr:uid="{4A2554CF-8AF6-4780-8264-D2E45EEFB381}"/>
    <hyperlink ref="H82" r:id="rId37" tooltip="mailto:diego.sales@amazonasfrance.com.br" display="mailto:diego.sales@amazonasfrance.com.br" xr:uid="{1B31BFFD-DF7D-4496-A50E-88BEE847724F}"/>
    <hyperlink ref="F14" r:id="rId38" display="fabio.ito@grupobarigui.com.br" xr:uid="{895AF35C-3BD6-48AB-A6C2-E0F1CCF6FE58}"/>
    <hyperlink ref="F17:F22" r:id="rId39" display="fabio.ito@grupobarigui.com.br" xr:uid="{BD9205CA-5849-441B-BC3A-E9694FC3FEEA}"/>
    <hyperlink ref="J59" r:id="rId40" display="mailto:cleusa.rosa@grupoiesa.com.br" xr:uid="{47F48721-54C7-4428-AABE-1751A7993826}"/>
    <hyperlink ref="J56:J63" r:id="rId41" display="mailto:cleusa.rosa@grupoiesa.com.br" xr:uid="{B1D95B8E-FB25-481E-99D5-DC05836EE899}"/>
    <hyperlink ref="J143" r:id="rId42" display="mailto:amanda.evangelista@eurorenault.com.br" xr:uid="{128B2BA6-D99E-48B8-90EE-F947D4EA74B0}"/>
    <hyperlink ref="J144" r:id="rId43" display="mailto:amanda.evangelista@eurorenault.com.br" xr:uid="{9695CC2A-5291-4023-AC7C-D6FD8AB7CFAE}"/>
    <hyperlink ref="F232:F234" r:id="rId44" display="bruno.vasconcelos@adtsa.com.br" xr:uid="{6773B180-8AB6-41DF-8226-6437DCCE7556}"/>
    <hyperlink ref="J236" r:id="rId45" xr:uid="{1E062ABF-6FB5-4EFF-A4FB-A7F270A1DBE4}"/>
    <hyperlink ref="F13" r:id="rId46" xr:uid="{3B88151B-711A-4A6C-A845-24665A41D13D}"/>
    <hyperlink ref="F15:F20" r:id="rId47" display="fabio.ito@grupobarigui.com.br" xr:uid="{7E897EAD-420C-4474-A849-7E7E903EF6C4}"/>
    <hyperlink ref="F197" r:id="rId48" display="rodrigo.rocha@primavia.com.br" xr:uid="{1B9493A7-C63A-477E-9EDF-9A461C4BB450}"/>
    <hyperlink ref="F250" r:id="rId49" xr:uid="{CA59B39C-CA9F-49A7-91C7-B9E2D5F6D0A0}"/>
    <hyperlink ref="F79" r:id="rId50" display="diretoria@openveiculos.com.br;gerentegeral@openveiculos.com.br" xr:uid="{0A3FE268-FD75-4808-9EC7-E0425826880B}"/>
    <hyperlink ref="F80" r:id="rId51" display="diretoria@openveiculos.com.br;gerentegeral@openveiculos.com.br" xr:uid="{053BA847-DDC4-4BD9-B87A-7C402C44BE0C}"/>
    <hyperlink ref="F81" r:id="rId52" display="diretoria@openveiculos.com.br;gerentegeral@openveiculos.com.br" xr:uid="{E0674DBF-721D-4793-BB2D-42F0548B72AC}"/>
    <hyperlink ref="H14" r:id="rId53" xr:uid="{D2EA194C-1282-472A-9B77-8880529C5877}"/>
    <hyperlink ref="H51" r:id="rId54" display="mailto:rodrigo.sangbusch@drsul.com.br" xr:uid="{5218F7E7-CA23-4B0A-859B-378DE09CDCDA}"/>
    <hyperlink ref="F257" r:id="rId55" xr:uid="{FC483509-0371-4030-AB33-97A0F3E47FCF}"/>
    <hyperlink ref="F258" r:id="rId56" xr:uid="{73FB3E73-1A4D-4E69-B91F-322D7CAE3B04}"/>
    <hyperlink ref="F259" r:id="rId57" xr:uid="{6CD69B86-88F4-4E00-A336-EC3020C7D0C2}"/>
    <hyperlink ref="F260" r:id="rId58" xr:uid="{67A4E23D-2E2B-44BA-989C-7DF94A2CC92B}"/>
    <hyperlink ref="H255" r:id="rId59" xr:uid="{4BBE4A25-0C42-4237-9BC0-A2C707BE4F31}"/>
    <hyperlink ref="I253" r:id="rId60" xr:uid="{16867BA8-9759-4D2B-AFDE-AF37452D4285}"/>
    <hyperlink ref="A1" r:id="rId61" display="mailto:egeraldi@bestpoints.com.br" xr:uid="{16DEDC19-1C82-45CB-9350-3AD4748B47CA}"/>
    <hyperlink ref="H66" r:id="rId62" display="mailto:saymon.avila@grupoiesa.com.br" xr:uid="{5D73417D-7BF8-4744-B355-6F2BCC7304C0}"/>
    <hyperlink ref="H59" r:id="rId63" xr:uid="{5E135987-B1ED-4D36-B19D-023E49F5943C}"/>
    <hyperlink ref="H61" r:id="rId64" xr:uid="{3173740B-F438-47A1-A947-8C50ADDFBBD8}"/>
    <hyperlink ref="H63" r:id="rId65" display="mailto:edson.junior@grupoiesa.com.br" xr:uid="{82A15E06-0AD4-4D54-8E6D-6A8D3C27FB1E}"/>
    <hyperlink ref="H64" r:id="rId66" display="mailto:alex.martins@grupoiesa.com.br" xr:uid="{E6B2C01A-636F-49D5-86E3-EED79A5A8D8A}"/>
    <hyperlink ref="H65" r:id="rId67" display="mailto:ethiene.melo@grupoiesa.com.br" xr:uid="{EE7115AC-5980-42AA-8D62-45F95DD6E143}"/>
    <hyperlink ref="H62" r:id="rId68" display="mailto:pedro.santos@grupoiesa.com.br" xr:uid="{9CC9F24C-8457-4772-942B-B230C28D448E}"/>
    <hyperlink ref="I178" r:id="rId69" display="mailto:raphael.farias@grupojorlan.com.br" xr:uid="{6F421D69-9D16-4382-8FB6-AC3ADF2221AD}"/>
    <hyperlink ref="G114:G119" r:id="rId70" display="wb@gruposinal.com;graziella@gruposinal.com;penna@gruposinal.com" xr:uid="{AFB5A8B5-F0F1-46EC-946D-816E871C0357}"/>
    <hyperlink ref="G143" r:id="rId71" xr:uid="{31326BA2-0943-4B62-9BF4-7EE9DB1F2813}"/>
    <hyperlink ref="I187" r:id="rId72" display="mailto:anderson.mendonca@dinisa.com.br" xr:uid="{81EA670A-65D8-4BBF-AAAC-2D5CC6574C5B}"/>
    <hyperlink ref="H102" r:id="rId73" xr:uid="{F7E96B40-AA98-4BCB-906D-026C1B824951}"/>
    <hyperlink ref="K197" r:id="rId74" display="agnaldo.brito@primavia.com.br" xr:uid="{CF5705C5-C3B9-4973-9791-06AE380F7712}"/>
    <hyperlink ref="H229" r:id="rId75" xr:uid="{B7E3F507-97BE-48DA-84F1-DE670BED9CDD}"/>
    <hyperlink ref="H230" r:id="rId76" xr:uid="{5D5E9A2A-19EF-47DD-99E2-44B21959D89D}"/>
    <hyperlink ref="I229" r:id="rId77" xr:uid="{E4FB7707-E0AC-45AF-8B3D-91D85A6E7207}"/>
    <hyperlink ref="I112" r:id="rId78" display="mailto:marcello.bruno@gruposinal.com" xr:uid="{67853872-C3D3-4EA0-A673-5ED650B4B338}"/>
    <hyperlink ref="I191" r:id="rId79" xr:uid="{B3472A87-6EDD-45EF-9A5C-26296EDADA81}"/>
    <hyperlink ref="J191" r:id="rId80" display="fernandaalves@romagroup.com.br; " xr:uid="{45345F44-4F75-4795-AB7A-8BD666ED1FF2}"/>
    <hyperlink ref="H23" r:id="rId81" display="mailto:marcelo.meireles@grupoautomega.com.br" xr:uid="{480B91E6-49F1-416B-987A-52751E15E346}"/>
    <hyperlink ref="I243" r:id="rId82" display="mailto:posvenda@gamaautos.com.br" xr:uid="{49028A8A-57C5-4164-B8B5-108534BC9A90}"/>
    <hyperlink ref="J245" r:id="rId83" xr:uid="{067F3B8C-EEF5-4857-9A23-5F98B998CE96}"/>
    <hyperlink ref="J246" r:id="rId84" xr:uid="{E4057FD0-027B-4F96-879B-A4B3CE92EF05}"/>
    <hyperlink ref="H170" r:id="rId85" display="mailto:andre.bessi@orvelrenault.com.br" xr:uid="{CDEAE3D3-74BF-4AF2-9F6B-54C9F1900218}"/>
    <hyperlink ref="I171" r:id="rId86" display="mailto:max.erikson@orvelrenault.com.br" xr:uid="{37AABE76-F66A-41D6-ADC0-9303957B8309}"/>
    <hyperlink ref="H175" r:id="rId87" display="mailto:sabrina.borges@orvelrenault.com.br" xr:uid="{1F4B7782-6A0A-41C6-8B9A-2F4A8658644B}"/>
    <hyperlink ref="I175" r:id="rId88" display="mailto:max.erikson@orvelrenault.com.br" xr:uid="{75A0A0AE-543D-4421-855C-7317EDD2CA59}"/>
    <hyperlink ref="H174" r:id="rId89" display="mailto:hudson.junior@orvelrenault.com.br" xr:uid="{59ADFA03-0DD8-408E-9242-543DF7847F99}"/>
    <hyperlink ref="I174" r:id="rId90" display="mailto:max.erikson@orvelrenault.com.br" xr:uid="{729F219E-C19B-4D5D-9E7D-414E420FCE47}"/>
    <hyperlink ref="H173" r:id="rId91" xr:uid="{349AD275-2D9C-4CD1-902F-8F3E5BA57BBF}"/>
    <hyperlink ref="I173" r:id="rId92" display="mailto:antonio.rosa@orvelrenault.com.br" xr:uid="{9B8FA644-68F4-41CA-B5FE-B8DE10E6CAAC}"/>
    <hyperlink ref="I172" r:id="rId93" display="mailto:antonio.rosa@orvelrenault.com.br" xr:uid="{29F6A850-ECB7-405A-AAFD-5B48BEDFBA83}"/>
    <hyperlink ref="J67" r:id="rId94" xr:uid="{D547AC11-DA72-4B07-A5BD-F93978BF642A}"/>
    <hyperlink ref="J64:J67" r:id="rId95" display="diegomoura@itaimbe.com.br" xr:uid="{41AEDA51-F7CE-4533-9311-E7FC60C4D6BB}"/>
    <hyperlink ref="I238" r:id="rId96" display="lia.militao@adtsa.com.br" xr:uid="{468E9249-9125-4565-BB89-A71D569D1448}"/>
    <hyperlink ref="K135" r:id="rId97" display="mailto:adm.tatui@velmax.com.br" xr:uid="{FA9E8821-29EF-418C-A32F-98CA5AC3DEB1}"/>
    <hyperlink ref="K229" r:id="rId98" display="mailto:henrique.soares@redencao.com.br" xr:uid="{3A9F692B-83D5-4775-B7A1-CD1ACAAA595E}"/>
    <hyperlink ref="K59" r:id="rId99" xr:uid="{C67497DA-0F6E-4F20-870F-3ECC3A949B94}"/>
    <hyperlink ref="K60" r:id="rId100" display="carlos.tasso@grupoiesa.com.br" xr:uid="{A3AAEEEE-5D65-40CC-9A65-B1225B51EED7}"/>
    <hyperlink ref="K63" r:id="rId101" xr:uid="{266C7D99-A01D-4AFB-9512-C5AFF150016D}"/>
    <hyperlink ref="K64" r:id="rId102" display="carlos.tasso@grupoiesa.com.br" xr:uid="{988DA070-D57A-4693-8CF6-C22534A74D25}"/>
    <hyperlink ref="I35" r:id="rId103" display="norton.erhardt@grupoautoshow.com.br;" xr:uid="{692ADA08-1589-428F-B368-16DB06EDFE29}"/>
    <hyperlink ref="I30" r:id="rId104" display="ronaldo.felipe@autoplusrenault.com.br;" xr:uid="{5CFBE778-FB01-4D11-931D-C3273C54041C}"/>
    <hyperlink ref="J162" r:id="rId105" display="mailto:aline.cqa@azzurranet.com.br" xr:uid="{22E69F85-1897-468D-802C-FF2EFC92B416}"/>
    <hyperlink ref="J162:J164" r:id="rId106" display="mailto:aline.cqa@azzurranet.com.br" xr:uid="{65FDDDD6-0E0B-45BC-B482-900D473A70C9}"/>
    <hyperlink ref="H162" r:id="rId107" display="mailto:bruno.vn@azzurranet.com.br" xr:uid="{D7ABA19B-8E42-4517-9452-FE4443518DBC}"/>
    <hyperlink ref="I162" r:id="rId108" display="mailto:sandro.of@azzurranet.com.br" xr:uid="{418A8FDA-5A9E-48B5-BABE-77E52E238087}"/>
    <hyperlink ref="K164" r:id="rId109" display="cotech.ilha@azzurranet.com.br; " xr:uid="{86AC66B9-3E2F-4557-AAEE-5C9655D77C5D}"/>
    <hyperlink ref="H163" r:id="rId110" display="mailto:murilo.vn@azzurranet.com.br" xr:uid="{FF19506A-D5E5-4BFC-B541-EFC446B0C298}"/>
    <hyperlink ref="I163" r:id="rId111" display="mailto:eduardo.of@azzurranet.com.br" xr:uid="{3A8B28AC-9313-4FBF-B43E-1AD7A878045E}"/>
    <hyperlink ref="I164" r:id="rId112" display="mailto:romulo.of@azzurranet.com.br" xr:uid="{798923A5-3841-4C0F-BE5E-ED62AAAB0263}"/>
    <hyperlink ref="H164" r:id="rId113" display="bruno.vn@azzurranet.com.br" xr:uid="{A1C03158-64B9-4B95-A57D-A305C07D360D}"/>
    <hyperlink ref="J165" r:id="rId114" display="mailto:aline.cqa@azzurranet.com.br" xr:uid="{E3E509D3-8AD0-4FA5-8D14-AF8C5624C7D5}"/>
    <hyperlink ref="K165" r:id="rId115" display="cotech.ilha@azzurranet.com.br; " xr:uid="{E5D58BB5-72E4-405E-8EE2-E329AD0E21B3}"/>
    <hyperlink ref="I165" r:id="rId116" display="mailto:romulo.of@azzurranet.com.br" xr:uid="{53CD03E0-55F9-441A-86DE-7ED4496E9EFB}"/>
    <hyperlink ref="H165" r:id="rId117" display="mailto:fernandes.vn@azzurranet.com.br" xr:uid="{1E819779-AF06-4BE7-ACF5-07F6C52E1521}"/>
    <hyperlink ref="J149" r:id="rId118" tooltip="mailto:luma.campos@tecar.com.br" display="mailto:luma.campos@tecar.com.br" xr:uid="{D0010AEB-13AA-4266-B4DA-D4A75BA74AA8}"/>
    <hyperlink ref="F114:F119" r:id="rId119" display="robson.vieira@gruposinal.com" xr:uid="{B73DF4FA-CD94-4FFF-AB77-F478453FA7BE}"/>
    <hyperlink ref="I237" r:id="rId120" display="lia.militao@adtsa.com.br" xr:uid="{66885DF2-2A50-463F-9DE1-CE87214566D7}"/>
    <hyperlink ref="I194" r:id="rId121" display="pedro.leite@grupourca.com.brpatricia.ferreira@grupourca.com.br" xr:uid="{1E31BDF6-68BD-40F8-876C-2B37A176D874}"/>
    <hyperlink ref="I195" r:id="rId122" xr:uid="{B9E3F832-9F15-449F-9688-FCCF3D1A4605}"/>
    <hyperlink ref="H144" r:id="rId123" xr:uid="{A2873DE1-F3E1-4822-930B-93208FB7F27D}"/>
    <hyperlink ref="H256" r:id="rId124" xr:uid="{7D5F31C9-D9AD-4FBE-A9EB-6797F29090AD}"/>
    <hyperlink ref="I254" r:id="rId125" xr:uid="{A2AAF446-0017-43E1-A14C-50F9B5F51EA5}"/>
    <hyperlink ref="I255" r:id="rId126" xr:uid="{02A18F0E-ADF3-4D54-80CB-65E347CCBC2B}"/>
    <hyperlink ref="I256" r:id="rId127" xr:uid="{7EF50CC7-F22E-4CBF-AD17-81F951EA8AF3}"/>
    <hyperlink ref="I252" r:id="rId128" xr:uid="{946A50A3-CBA6-450D-A1D0-027859051E42}"/>
    <hyperlink ref="I257" r:id="rId129" xr:uid="{B8E48900-9CEE-4AB6-AA4F-804B6EDD406D}"/>
    <hyperlink ref="I258" r:id="rId130" xr:uid="{68980A98-5AC2-4F7B-9905-02433A4A0286}"/>
    <hyperlink ref="I259" r:id="rId131" xr:uid="{BA654368-D8EE-4B8E-8A7D-BAC1B8145F31}"/>
    <hyperlink ref="I260" r:id="rId132" xr:uid="{5EF5C168-C566-420D-B5AD-8161B3107BE4}"/>
    <hyperlink ref="I261" r:id="rId133" xr:uid="{F73BC59A-29CC-4521-881F-B404913CE16D}"/>
    <hyperlink ref="I147" r:id="rId134" display="mailto:marcos.delgado@pinauto.com.br" xr:uid="{F205EC19-20D8-43A1-A534-133B7027FEB9}"/>
    <hyperlink ref="H101" r:id="rId135" xr:uid="{61686860-37C6-47DB-9CD6-6C8AA0576755}"/>
    <hyperlink ref="F151" r:id="rId136" xr:uid="{FDDE4130-36F7-41B1-8662-3C48664FF7F0}"/>
    <hyperlink ref="F150" r:id="rId137" xr:uid="{2C62E111-3AB5-4139-B21F-D821EDE5EAD4}"/>
    <hyperlink ref="F152" r:id="rId138" xr:uid="{50140C50-742B-4D35-B818-981887ACCF27}"/>
    <hyperlink ref="H136" r:id="rId139" display="raquel.galdina@rpoint.com.br;mara.goncalves@rpoint.com.br" xr:uid="{8B06D636-8C6A-464B-A472-F35445B5395B}"/>
    <hyperlink ref="G138" r:id="rId140" display="guilherme@luchini.com.br;" xr:uid="{139A94A3-BB37-443A-B218-8DE23599B860}"/>
    <hyperlink ref="H218" r:id="rId141" xr:uid="{87DF76BB-16B8-4045-831A-F3A2D0ADFE0B}"/>
    <hyperlink ref="I218" r:id="rId142" xr:uid="{92293D1C-6D4D-43F1-A147-A79CCBAFE743}"/>
    <hyperlink ref="G118" r:id="rId143" display="lucianocarvalho@armandoveiculos.com.br" xr:uid="{274EDE2A-737A-45FC-9B35-F6DE1C8B6C7C}"/>
    <hyperlink ref="G117" r:id="rId144" display="lucianocarvalho@armandoveiculos.com.br" xr:uid="{7BBFA920-2C9C-4682-B14F-034B7CD4ED8F}"/>
    <hyperlink ref="J168" r:id="rId145" display="assistenteuba@renaultdijon.com.br" xr:uid="{AEEB8120-EDA4-4BA1-ACF7-23ED5D5DE91A}"/>
    <hyperlink ref="H245" r:id="rId146" xr:uid="{D33236C4-DCBD-41BB-85B8-C26F1F9D5439}"/>
    <hyperlink ref="H169" r:id="rId147" xr:uid="{257DA88E-82AD-459E-8C39-32831C648A51}"/>
    <hyperlink ref="I169" r:id="rId148" xr:uid="{A17AB0B9-EED4-40D6-97C0-59C6C66AC777}"/>
    <hyperlink ref="F169" r:id="rId149" xr:uid="{941245E1-ED1D-443B-9959-266431EA1755}"/>
    <hyperlink ref="H48" r:id="rId150" display="cristiane.costa@drsul.com.br;" xr:uid="{82201B2B-6D1E-4DBF-B649-B8C2F02B2D13}"/>
    <hyperlink ref="K30" r:id="rId151" display="eglerayner.goncalves@autoplusrenault.com.br" xr:uid="{CB31E26C-6CE4-408E-B9F1-B4E4329A6A02}"/>
    <hyperlink ref="H60" r:id="rId152" xr:uid="{1B47BB82-2BA1-45F0-96E0-15958686048C}"/>
    <hyperlink ref="I59" r:id="rId153" xr:uid="{422A9171-D0F4-4F9E-AB25-87746221DA88}"/>
    <hyperlink ref="K66" r:id="rId154" xr:uid="{ACE3EDF0-4114-4A89-9717-FEF32AC4B82F}"/>
    <hyperlink ref="I65" r:id="rId155" display="jonatas.santos@grupoiesa.com.br" xr:uid="{8AB0AC77-CCC8-4939-AA42-A5081A2989DC}"/>
    <hyperlink ref="I62" r:id="rId156" xr:uid="{D51C0FEC-7020-4E78-9584-304718083989}"/>
    <hyperlink ref="J30" r:id="rId157" display="qualidade@autoplusrenault.com.br;" xr:uid="{ABD8A8CC-6CAE-42FC-BE9A-63808BDEBE26}"/>
    <hyperlink ref="J31" r:id="rId158" display="qualidade@autoplusrenault.com.br;" xr:uid="{D2B1585C-1121-45CF-B132-CB5BF6C001FF}"/>
    <hyperlink ref="J32" r:id="rId159" display="qualidade@autoplusrenault.com.br;" xr:uid="{4B44803E-6654-4289-8D24-EC37F6AA956F}"/>
    <hyperlink ref="J33" r:id="rId160" display="qualidade@autoplusrenault.com.br;" xr:uid="{BEF63527-B6EA-45C4-A9C2-488886891B54}"/>
    <hyperlink ref="J35" r:id="rId161" display="qualidade@autoplusrenault.com.br;" xr:uid="{9F8EF6FE-D820-40FA-A30B-5643D883A3FF}"/>
    <hyperlink ref="H30" r:id="rId162" display="rosni.freitas@grupoautoshow.com.br;" xr:uid="{89D7839A-427C-4BDA-8C59-E00DC59EF5FC}"/>
    <hyperlink ref="G30" r:id="rId163" display="edio@grupoautoshow.com.br" xr:uid="{E9E0F6CA-A98A-4275-AA88-0E37C3F0638F}"/>
    <hyperlink ref="H32" r:id="rId164" xr:uid="{2E33544A-8E28-41C4-9440-C4E1336A9CE7}"/>
    <hyperlink ref="I101" r:id="rId165" xr:uid="{8D84C64E-52A0-409B-AE68-FC273B3B350A}"/>
    <hyperlink ref="F101" r:id="rId166" display="edemar.nunes@grupofaberge.com.br" xr:uid="{EBB2F06E-0847-45FA-B5E0-0AD1FC3B583C}"/>
    <hyperlink ref="G101" r:id="rId167" xr:uid="{432F3149-8EEB-4E3F-A5ED-44ADE86DA0A0}"/>
    <hyperlink ref="J235" r:id="rId168" xr:uid="{E11FA1C0-0005-490A-9540-73F293E8DA02}"/>
    <hyperlink ref="J194" r:id="rId169" xr:uid="{EEA71858-97DB-4962-80F7-78F8B4B2033E}"/>
    <hyperlink ref="F211" r:id="rId170" xr:uid="{5374E9E0-F821-4AA6-B7F6-E6ADC5463113}"/>
    <hyperlink ref="J56" r:id="rId171" xr:uid="{2FC49D29-043D-4004-882B-8E55EBAF7680}"/>
    <hyperlink ref="J57" r:id="rId172" xr:uid="{4F78E4EA-3CAF-44EB-BDC1-D6732FF7B7AF}"/>
    <hyperlink ref="J58" r:id="rId173" xr:uid="{E200F70F-42C7-44E4-B201-EF0AB0D67A7A}"/>
    <hyperlink ref="J169" r:id="rId174" xr:uid="{1E27E49A-696D-4031-8B6D-10A075A5E8D9}"/>
    <hyperlink ref="J138" r:id="rId175" display="magno@valecrenault.com.br;" xr:uid="{A4F75A6F-45E4-4A05-8343-74137DAFC898}"/>
    <hyperlink ref="J139" r:id="rId176" display="magno@valecrenault.com.br;" xr:uid="{A82D4759-C976-4AEA-B343-AF91EBBE29D7}"/>
    <hyperlink ref="J140" r:id="rId177" display="magno@valecrenault.com.br;" xr:uid="{62B49068-14A9-40D1-B0E7-2611B2B09D82}"/>
    <hyperlink ref="J141" r:id="rId178" display="magno@valecrenault.com.br;" xr:uid="{D398E4FC-997E-4D26-A385-CCFB5E055345}"/>
    <hyperlink ref="J142" r:id="rId179" display="magno@valecrenault.com.br;" xr:uid="{9EE34B6A-ED78-4AFA-AC66-091EC38C0ED6}"/>
    <hyperlink ref="K141" r:id="rId180" display="andressa.pussa@valecrenault.com.br" xr:uid="{21A4F8C9-B8FA-44B0-A9E5-A8AEBFE2DB28}"/>
    <hyperlink ref="H258" r:id="rId181" xr:uid="{DF10D154-BF3F-42AE-8F3C-ABE8ECD0DF91}"/>
    <hyperlink ref="J210" r:id="rId182" xr:uid="{028F007B-93E0-4199-9FAB-E0D9EE0A52D7}"/>
    <hyperlink ref="J208" r:id="rId183" xr:uid="{6F57750F-0344-40F7-8F4A-E58C4F4E3B91}"/>
    <hyperlink ref="I60" r:id="rId184" xr:uid="{754E07B8-9F22-4D5C-AD92-27722E68FC7D}"/>
    <hyperlink ref="F153" r:id="rId185" xr:uid="{37A8BE69-F26F-492C-BA6E-FC542CB4566C}"/>
    <hyperlink ref="H151" r:id="rId186" xr:uid="{97DD1E2A-E3BC-42B4-BD86-407BC8A0AB47}"/>
    <hyperlink ref="H153" r:id="rId187" xr:uid="{EBBDFFC4-DB2E-4BCF-A8D2-2AB461369C7E}"/>
    <hyperlink ref="H152" r:id="rId188" xr:uid="{672ECA43-43B9-4015-B210-7D4EE8F3FAEF}"/>
    <hyperlink ref="J222" r:id="rId189" xr:uid="{3CE0557D-38CF-4CEA-B84E-B7A39C78B524}"/>
    <hyperlink ref="I141" r:id="rId190" xr:uid="{B9B9CFAC-C112-48DD-A603-B433E00E84E3}"/>
    <hyperlink ref="G139" r:id="rId191" display="guilherme@luchini.com.br;" xr:uid="{75BEEFDA-4A6A-4F8F-B5C2-3ACA6CDA4EAD}"/>
    <hyperlink ref="G140" r:id="rId192" display="guilherme@luchini.com.br;" xr:uid="{FBAEE780-D435-4B90-814E-38B73F327732}"/>
    <hyperlink ref="G141" r:id="rId193" display="guilherme@luchini.com.br;" xr:uid="{3B767305-E569-49DA-958A-1D092CC93E85}"/>
    <hyperlink ref="G142" r:id="rId194" display="guilherme@luchini.com.br;" xr:uid="{713E9CCD-B75F-4F62-BCC2-33C961C73856}"/>
    <hyperlink ref="J71" r:id="rId195" xr:uid="{0DE953E2-EAE9-480C-882B-DE46B314A8E6}"/>
    <hyperlink ref="H115" r:id="rId196" xr:uid="{7748C4D2-ECF1-4912-88F6-741E51CB9194}"/>
    <hyperlink ref="H240" r:id="rId197" display="axena@viaparisnet.com.br;" xr:uid="{A7488211-AFCA-4790-A7AF-3BAE1ED4448C}"/>
    <hyperlink ref="H241" r:id="rId198" display="axena@viaparisnet.com.br;" xr:uid="{E27F98C5-388E-4916-B04B-B94F048AF5B5}"/>
    <hyperlink ref="H242" r:id="rId199" display="axena@viaparisnet.com.br;" xr:uid="{EF8DBEC0-44B3-4297-A864-626FAB260442}"/>
    <hyperlink ref="G36" r:id="rId200" xr:uid="{72B7357A-85FA-438D-81F8-04D7CF582755}"/>
    <hyperlink ref="G37:G44" r:id="rId201" display="rafael@demarcoveiculos.com.br" xr:uid="{B1F71E57-1123-4502-8EFB-632AC6E7AD26}"/>
    <hyperlink ref="G227" r:id="rId202" xr:uid="{DBB3E9AD-90F0-4EFC-96A2-67313CCB8253}"/>
    <hyperlink ref="H13" r:id="rId203" xr:uid="{CB77E0C8-57AE-458B-9682-52E751822EF8}"/>
    <hyperlink ref="I13" r:id="rId204" xr:uid="{5D7E7735-C208-4A65-9470-1499E50F396C}"/>
    <hyperlink ref="I111" r:id="rId205" display="mailto:richardson.siccaroni@gruposinal.com" xr:uid="{59644227-7CAE-4B98-AE03-BF3A2BE9EC21}"/>
    <hyperlink ref="I109" r:id="rId206" display="mailto:edson.rodrigues@gruposinal.com" xr:uid="{29614B3D-72D5-44E0-85D7-03C465809D93}"/>
    <hyperlink ref="I107" r:id="rId207" display="mailto:eduardo.kawamura@gruposinal.com" xr:uid="{A6246F20-0DC3-45A4-B9CF-BCE5161FDCA2}"/>
    <hyperlink ref="I106" r:id="rId208" xr:uid="{F0BAA9F7-54B7-4551-B404-C5EC12D33743}"/>
    <hyperlink ref="H110" r:id="rId209" xr:uid="{4562B30C-9218-4679-8CC6-AFF2C77974ED}"/>
    <hyperlink ref="F106:F108" r:id="rId210" display="msilva@rpoint.com.br" xr:uid="{71D5C9F7-EE3E-43F2-9EDC-7AC785FAC659}"/>
    <hyperlink ref="G109" r:id="rId211" display="wb@gruposinal.com;graziella@gruposinal.com;penna@gruposinal.com" xr:uid="{D295EE2D-A64A-431E-9D1D-C30873E7A0E4}"/>
    <hyperlink ref="I105" r:id="rId212" display="marcello.bruno@gruposinal.com;alexandre.tarin@gruposinal.com" xr:uid="{8E0BEDD6-6369-4E13-83F6-FF75612C2210}"/>
    <hyperlink ref="F109" r:id="rId213" display="robson.vieira@gruposinal.com" xr:uid="{51EA99FB-5F6E-40FF-9B08-AAB1637AB2A9}"/>
    <hyperlink ref="H106" r:id="rId214" xr:uid="{6EA13D76-EDF6-49A0-B93F-A561EB5CE6C3}"/>
    <hyperlink ref="G187" r:id="rId215" xr:uid="{C3F4CFAC-3C80-4BF4-BA5A-134173BE0042}"/>
    <hyperlink ref="K187" r:id="rId216" xr:uid="{27351021-9E08-4242-B498-BA9C3DAD2A82}"/>
    <hyperlink ref="H85" r:id="rId217" xr:uid="{2A88C4D9-6B08-4D5F-B059-952F6878ACE6}"/>
    <hyperlink ref="H86" r:id="rId218" xr:uid="{DDE6CE49-7FFC-4E2F-A49C-F2EF78DF6070}"/>
    <hyperlink ref="I90" r:id="rId219" xr:uid="{619BEC2E-7A30-4417-AF6F-DBF4D87F78A7}"/>
    <hyperlink ref="F245" r:id="rId220" xr:uid="{2955CFBE-4669-489C-B9D3-B03F8DEF7325}"/>
    <hyperlink ref="G245" r:id="rId221" xr:uid="{4A629583-4FDF-4105-942A-0E06B9AC604C}"/>
    <hyperlink ref="I245" r:id="rId222" xr:uid="{8DCCB4FA-98C6-4904-87AA-67A056E2E2EA}"/>
    <hyperlink ref="K245" r:id="rId223" xr:uid="{180E7B31-04D3-42B6-8E01-C4B87779E354}"/>
    <hyperlink ref="K246" r:id="rId224" xr:uid="{300BEBAC-689E-4E4F-8A2D-E2A39FEBF861}"/>
    <hyperlink ref="I246" r:id="rId225" xr:uid="{66B84B39-DCEA-4398-905D-F88BEB81921C}"/>
    <hyperlink ref="H246" r:id="rId226" xr:uid="{A2012BD6-9B4B-474A-9847-449F6372806F}"/>
    <hyperlink ref="G246" r:id="rId227" xr:uid="{2DC0781A-571E-4C42-BF15-FA31CE792AD7}"/>
    <hyperlink ref="F246" r:id="rId228" xr:uid="{01B5943E-172E-4FEE-B333-A55CDCFECDF5}"/>
    <hyperlink ref="G150" r:id="rId229" xr:uid="{770D2945-66C0-43C2-9561-5B00342AAC4A}"/>
    <hyperlink ref="H150" r:id="rId230" xr:uid="{189A204A-E9AA-459E-9C46-A46B022D062F}"/>
    <hyperlink ref="I150" r:id="rId231" xr:uid="{3BDD7C63-2DFF-4CA5-8739-EB699DD93E78}"/>
    <hyperlink ref="K150" r:id="rId232" xr:uid="{FC3DE17E-FDC1-45C6-A988-298BDE7CF24D}"/>
    <hyperlink ref="G151" r:id="rId233" xr:uid="{9B99F305-9CD1-4629-B781-F101CA48BD83}"/>
    <hyperlink ref="K151" r:id="rId234" xr:uid="{F44739CE-0D5D-49D0-81BA-05267C7FF316}"/>
    <hyperlink ref="G152" r:id="rId235" xr:uid="{27280529-87F0-4CDF-92C5-451AE64FBC19}"/>
    <hyperlink ref="I152" r:id="rId236" xr:uid="{B93C3352-FB65-4A33-859D-7546F246F86B}"/>
    <hyperlink ref="K152" r:id="rId237" xr:uid="{FAF525AF-5102-455B-8CFC-445D2DBC765B}"/>
    <hyperlink ref="G153" r:id="rId238" xr:uid="{BD401298-BD13-433C-8ACE-1554FEDA4A7D}"/>
    <hyperlink ref="I153" r:id="rId239" xr:uid="{7000A760-6AF0-4E3F-AA68-1615E01B611A}"/>
    <hyperlink ref="K153" r:id="rId240" xr:uid="{DCD32DCD-0EA3-4BE0-9294-3E8E2087A7DE}"/>
  </hyperlinks>
  <pageMargins left="0.511811024" right="0.511811024" top="0.78740157499999996" bottom="0.78740157499999996" header="0.31496062000000002" footer="0.31496062000000002"/>
  <pageSetup paperSize="9" orientation="portrait" r:id="rId241"/>
  <headerFooter>
    <oddFooter>&amp;R&amp;"Calibri"&amp;11&amp;K000000_x000D_&amp;1#&amp;"Arial"&amp;10&amp;K000000 Confidential 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E3A9-FEBD-461D-BFDF-A6010942DD86}">
  <sheetPr codeName="Plan14">
    <tabColor theme="3" tint="0.89999084444715716"/>
  </sheetPr>
  <dimension ref="B2:O260"/>
  <sheetViews>
    <sheetView showGridLines="0" zoomScale="55" zoomScaleNormal="55" workbookViewId="0">
      <selection activeCell="G8" sqref="G8"/>
    </sheetView>
  </sheetViews>
  <sheetFormatPr defaultRowHeight="14.45"/>
  <cols>
    <col min="1" max="1" width="10" bestFit="1" customWidth="1"/>
    <col min="2" max="2" width="13.42578125" style="2" bestFit="1" customWidth="1"/>
    <col min="3" max="3" width="42.5703125" style="4" bestFit="1" customWidth="1"/>
    <col min="4" max="4" width="9.5703125" bestFit="1" customWidth="1"/>
    <col min="5" max="5" width="7.85546875" bestFit="1" customWidth="1"/>
    <col min="6" max="6" width="29.140625" customWidth="1"/>
    <col min="7" max="7" width="10" style="2" customWidth="1"/>
    <col min="8" max="8" width="34" customWidth="1"/>
    <col min="9" max="9" width="28" style="2" customWidth="1"/>
    <col min="10" max="10" width="33.42578125" customWidth="1"/>
    <col min="11" max="11" width="10" style="2" customWidth="1"/>
    <col min="12" max="12" width="38.140625" customWidth="1"/>
    <col min="13" max="13" width="33" style="2" customWidth="1"/>
    <col min="14" max="14" width="81.140625" customWidth="1"/>
    <col min="15" max="15" width="143.140625" bestFit="1" customWidth="1"/>
  </cols>
  <sheetData>
    <row r="2" spans="2:15" ht="18.600000000000001">
      <c r="F2" s="376" t="s">
        <v>1</v>
      </c>
      <c r="G2" s="376"/>
      <c r="H2" s="376"/>
      <c r="I2" s="376"/>
      <c r="J2" s="376"/>
      <c r="K2" s="376"/>
      <c r="L2" s="376"/>
      <c r="M2" s="376"/>
      <c r="N2" s="26"/>
      <c r="O2" s="8"/>
    </row>
    <row r="3" spans="2:15" ht="18.600000000000001">
      <c r="B3" s="9" t="s">
        <v>3</v>
      </c>
      <c r="C3" s="10" t="s">
        <v>4</v>
      </c>
      <c r="D3" s="11" t="s">
        <v>1117</v>
      </c>
      <c r="E3" s="11" t="s">
        <v>1118</v>
      </c>
      <c r="F3" s="27" t="s">
        <v>1119</v>
      </c>
      <c r="G3" s="27" t="s">
        <v>1120</v>
      </c>
      <c r="H3" s="27" t="s">
        <v>1121</v>
      </c>
      <c r="I3" s="27" t="s">
        <v>1120</v>
      </c>
      <c r="J3" s="27" t="s">
        <v>1122</v>
      </c>
      <c r="K3" s="27" t="s">
        <v>1120</v>
      </c>
      <c r="L3" s="27" t="s">
        <v>1123</v>
      </c>
      <c r="M3" s="27" t="s">
        <v>1124</v>
      </c>
      <c r="N3" s="28" t="s">
        <v>1125</v>
      </c>
      <c r="O3" s="29" t="s">
        <v>2</v>
      </c>
    </row>
    <row r="4" spans="2:15">
      <c r="B4" s="2">
        <v>7600453</v>
      </c>
      <c r="C4" s="4" t="s">
        <v>65</v>
      </c>
      <c r="D4" s="3">
        <v>1</v>
      </c>
      <c r="E4" s="3">
        <v>1</v>
      </c>
      <c r="F4" t="s">
        <v>1126</v>
      </c>
      <c r="G4"/>
      <c r="H4" t="s">
        <v>1127</v>
      </c>
      <c r="I4"/>
      <c r="J4" t="s">
        <v>1128</v>
      </c>
      <c r="K4"/>
      <c r="L4" t="s">
        <v>1129</v>
      </c>
      <c r="M4"/>
      <c r="N4" s="1" t="s">
        <v>1130</v>
      </c>
      <c r="O4" s="30" t="str">
        <f t="shared" ref="O4:O67" si="0">F4&amp;";"&amp;G4&amp;";"&amp;H4&amp;";"&amp;I4&amp;";"&amp;J4&amp;";"&amp;K4&amp;";"&amp;L4&amp;";"&amp;M4&amp;";"&amp;N4</f>
        <v>ana.neiva@renault.com;;anderson.fabiani@renault.com ; douglas.da-silva@renault.com;;kelvin.ferrari@renault.com;;daniel.rodilha@renault.com;;felipe.santos@renault.com</v>
      </c>
    </row>
    <row r="5" spans="2:15">
      <c r="B5" s="2">
        <v>7601222</v>
      </c>
      <c r="C5" s="4" t="s">
        <v>77</v>
      </c>
      <c r="D5" s="3">
        <v>1</v>
      </c>
      <c r="E5" s="3">
        <v>1</v>
      </c>
      <c r="F5" t="s">
        <v>1126</v>
      </c>
      <c r="G5"/>
      <c r="H5" t="s">
        <v>1127</v>
      </c>
      <c r="I5"/>
      <c r="J5" t="s">
        <v>1128</v>
      </c>
      <c r="K5"/>
      <c r="L5" t="s">
        <v>1129</v>
      </c>
      <c r="M5"/>
      <c r="N5" s="1" t="s">
        <v>1130</v>
      </c>
      <c r="O5" s="30" t="str">
        <f t="shared" si="0"/>
        <v>ana.neiva@renault.com;;anderson.fabiani@renault.com ; douglas.da-silva@renault.com;;kelvin.ferrari@renault.com;;daniel.rodilha@renault.com;;felipe.santos@renault.com</v>
      </c>
    </row>
    <row r="6" spans="2:15">
      <c r="B6" s="2">
        <v>7601220</v>
      </c>
      <c r="C6" s="4" t="s">
        <v>92</v>
      </c>
      <c r="D6" s="3">
        <v>1</v>
      </c>
      <c r="E6" s="3">
        <v>1</v>
      </c>
      <c r="F6" t="s">
        <v>1126</v>
      </c>
      <c r="G6"/>
      <c r="H6" t="s">
        <v>1127</v>
      </c>
      <c r="I6"/>
      <c r="J6" t="s">
        <v>1128</v>
      </c>
      <c r="K6"/>
      <c r="L6" t="s">
        <v>1129</v>
      </c>
      <c r="M6"/>
      <c r="N6" s="1" t="s">
        <v>1130</v>
      </c>
      <c r="O6" s="30" t="str">
        <f t="shared" si="0"/>
        <v>ana.neiva@renault.com;;anderson.fabiani@renault.com ; douglas.da-silva@renault.com;;kelvin.ferrari@renault.com;;daniel.rodilha@renault.com;;felipe.santos@renault.com</v>
      </c>
    </row>
    <row r="7" spans="2:15">
      <c r="B7" s="2">
        <v>7601221</v>
      </c>
      <c r="C7" s="4" t="s">
        <v>96</v>
      </c>
      <c r="D7" s="3">
        <v>1</v>
      </c>
      <c r="E7" s="3">
        <v>1</v>
      </c>
      <c r="F7" t="s">
        <v>1126</v>
      </c>
      <c r="G7"/>
      <c r="H7" t="s">
        <v>1127</v>
      </c>
      <c r="I7"/>
      <c r="J7" t="s">
        <v>1128</v>
      </c>
      <c r="K7"/>
      <c r="L7" t="s">
        <v>1129</v>
      </c>
      <c r="M7"/>
      <c r="N7" s="1" t="s">
        <v>1130</v>
      </c>
      <c r="O7" s="30" t="str">
        <f t="shared" si="0"/>
        <v>ana.neiva@renault.com;;anderson.fabiani@renault.com ; douglas.da-silva@renault.com;;kelvin.ferrari@renault.com;;daniel.rodilha@renault.com;;felipe.santos@renault.com</v>
      </c>
    </row>
    <row r="8" spans="2:15">
      <c r="B8" s="2">
        <v>7600391</v>
      </c>
      <c r="C8" s="4" t="s">
        <v>72</v>
      </c>
      <c r="D8" s="3">
        <v>1</v>
      </c>
      <c r="E8" s="3">
        <v>1</v>
      </c>
      <c r="F8" t="s">
        <v>1126</v>
      </c>
      <c r="G8"/>
      <c r="H8" t="s">
        <v>1127</v>
      </c>
      <c r="I8"/>
      <c r="J8" t="s">
        <v>1128</v>
      </c>
      <c r="K8"/>
      <c r="L8" t="s">
        <v>1129</v>
      </c>
      <c r="M8"/>
      <c r="N8" s="1" t="s">
        <v>1130</v>
      </c>
      <c r="O8" s="30" t="str">
        <f t="shared" si="0"/>
        <v>ana.neiva@renault.com;;anderson.fabiani@renault.com ; douglas.da-silva@renault.com;;kelvin.ferrari@renault.com;;daniel.rodilha@renault.com;;felipe.santos@renault.com</v>
      </c>
    </row>
    <row r="9" spans="2:15">
      <c r="B9" s="2">
        <v>7600569</v>
      </c>
      <c r="C9" s="4" t="s">
        <v>82</v>
      </c>
      <c r="D9" s="3">
        <v>1</v>
      </c>
      <c r="E9" s="3">
        <v>1</v>
      </c>
      <c r="F9" t="s">
        <v>1126</v>
      </c>
      <c r="G9"/>
      <c r="H9" t="s">
        <v>1127</v>
      </c>
      <c r="I9"/>
      <c r="J9" t="s">
        <v>1128</v>
      </c>
      <c r="K9"/>
      <c r="L9" t="s">
        <v>1129</v>
      </c>
      <c r="M9"/>
      <c r="N9" s="1" t="s">
        <v>1130</v>
      </c>
      <c r="O9" s="30" t="str">
        <f t="shared" si="0"/>
        <v>ana.neiva@renault.com;;anderson.fabiani@renault.com ; douglas.da-silva@renault.com;;kelvin.ferrari@renault.com;;daniel.rodilha@renault.com;;felipe.santos@renault.com</v>
      </c>
    </row>
    <row r="10" spans="2:15">
      <c r="B10" s="2">
        <v>7600474</v>
      </c>
      <c r="C10" s="4" t="s">
        <v>86</v>
      </c>
      <c r="D10" s="3">
        <v>1</v>
      </c>
      <c r="E10" s="3">
        <v>1</v>
      </c>
      <c r="F10" t="s">
        <v>1126</v>
      </c>
      <c r="G10"/>
      <c r="H10" t="s">
        <v>1127</v>
      </c>
      <c r="I10"/>
      <c r="J10" t="s">
        <v>1128</v>
      </c>
      <c r="K10"/>
      <c r="L10" t="s">
        <v>1129</v>
      </c>
      <c r="M10"/>
      <c r="N10" s="1" t="s">
        <v>1130</v>
      </c>
      <c r="O10" s="30" t="str">
        <f t="shared" si="0"/>
        <v>ana.neiva@renault.com;;anderson.fabiani@renault.com ; douglas.da-silva@renault.com;;kelvin.ferrari@renault.com;;daniel.rodilha@renault.com;;felipe.santos@renault.com</v>
      </c>
    </row>
    <row r="11" spans="2:15">
      <c r="B11" s="2">
        <v>7601108</v>
      </c>
      <c r="C11" s="4" t="s">
        <v>58</v>
      </c>
      <c r="D11" s="3">
        <v>1</v>
      </c>
      <c r="E11" s="3">
        <v>1</v>
      </c>
      <c r="F11" t="s">
        <v>1126</v>
      </c>
      <c r="G11"/>
      <c r="H11" t="s">
        <v>1127</v>
      </c>
      <c r="I11"/>
      <c r="J11" t="s">
        <v>1128</v>
      </c>
      <c r="K11"/>
      <c r="L11" t="s">
        <v>1129</v>
      </c>
      <c r="M11"/>
      <c r="N11" s="1" t="s">
        <v>1130</v>
      </c>
      <c r="O11" s="30" t="str">
        <f t="shared" si="0"/>
        <v>ana.neiva@renault.com;;anderson.fabiani@renault.com ; douglas.da-silva@renault.com;;kelvin.ferrari@renault.com;;daniel.rodilha@renault.com;;felipe.santos@renault.com</v>
      </c>
    </row>
    <row r="12" spans="2:15">
      <c r="B12" s="2">
        <v>7600913</v>
      </c>
      <c r="C12" s="4" t="s">
        <v>13</v>
      </c>
      <c r="D12" s="3">
        <v>1</v>
      </c>
      <c r="E12" s="3">
        <v>2</v>
      </c>
      <c r="F12" t="s">
        <v>1126</v>
      </c>
      <c r="G12"/>
      <c r="H12" t="s">
        <v>1131</v>
      </c>
      <c r="I12"/>
      <c r="J12" t="s">
        <v>1128</v>
      </c>
      <c r="K12"/>
      <c r="L12" t="s">
        <v>1129</v>
      </c>
      <c r="M12"/>
      <c r="N12" s="1" t="s">
        <v>1130</v>
      </c>
      <c r="O12" s="30" t="str">
        <f t="shared" si="0"/>
        <v>ana.neiva@renault.com;;poliana.cochito@renault.com; douglas.da-silva@renault.com;;kelvin.ferrari@renault.com;;daniel.rodilha@renault.com;;felipe.santos@renault.com</v>
      </c>
    </row>
    <row r="13" spans="2:15">
      <c r="B13" s="2">
        <v>7600358</v>
      </c>
      <c r="C13" s="4" t="s">
        <v>20</v>
      </c>
      <c r="D13" s="3">
        <v>1</v>
      </c>
      <c r="E13" s="3">
        <v>2</v>
      </c>
      <c r="F13" t="s">
        <v>1126</v>
      </c>
      <c r="G13"/>
      <c r="H13" t="s">
        <v>1131</v>
      </c>
      <c r="I13"/>
      <c r="J13" t="s">
        <v>1128</v>
      </c>
      <c r="K13"/>
      <c r="L13" t="s">
        <v>1129</v>
      </c>
      <c r="M13"/>
      <c r="N13" s="1" t="s">
        <v>1130</v>
      </c>
      <c r="O13" s="30" t="str">
        <f t="shared" si="0"/>
        <v>ana.neiva@renault.com;;poliana.cochito@renault.com; douglas.da-silva@renault.com;;kelvin.ferrari@renault.com;;daniel.rodilha@renault.com;;felipe.santos@renault.com</v>
      </c>
    </row>
    <row r="14" spans="2:15">
      <c r="B14" s="2">
        <v>7600361</v>
      </c>
      <c r="C14" s="4" t="s">
        <v>26</v>
      </c>
      <c r="D14" s="3">
        <v>1</v>
      </c>
      <c r="E14" s="3">
        <v>2</v>
      </c>
      <c r="F14" t="s">
        <v>1126</v>
      </c>
      <c r="G14"/>
      <c r="H14" t="s">
        <v>1131</v>
      </c>
      <c r="I14"/>
      <c r="J14" t="s">
        <v>1128</v>
      </c>
      <c r="K14"/>
      <c r="L14" t="s">
        <v>1129</v>
      </c>
      <c r="M14"/>
      <c r="N14" s="1" t="s">
        <v>1130</v>
      </c>
      <c r="O14" s="30" t="str">
        <f t="shared" si="0"/>
        <v>ana.neiva@renault.com;;poliana.cochito@renault.com; douglas.da-silva@renault.com;;kelvin.ferrari@renault.com;;daniel.rodilha@renault.com;;felipe.santos@renault.com</v>
      </c>
    </row>
    <row r="15" spans="2:15">
      <c r="B15" s="2">
        <v>7600100</v>
      </c>
      <c r="C15" s="4" t="s">
        <v>31</v>
      </c>
      <c r="D15" s="3">
        <v>1</v>
      </c>
      <c r="E15" s="3">
        <v>2</v>
      </c>
      <c r="F15" t="s">
        <v>1126</v>
      </c>
      <c r="G15"/>
      <c r="H15" t="s">
        <v>1131</v>
      </c>
      <c r="I15"/>
      <c r="J15" t="s">
        <v>1128</v>
      </c>
      <c r="K15"/>
      <c r="L15" t="s">
        <v>1129</v>
      </c>
      <c r="M15"/>
      <c r="N15" s="1" t="s">
        <v>1130</v>
      </c>
      <c r="O15" s="30" t="str">
        <f t="shared" si="0"/>
        <v>ana.neiva@renault.com;;poliana.cochito@renault.com; douglas.da-silva@renault.com;;kelvin.ferrari@renault.com;;daniel.rodilha@renault.com;;felipe.santos@renault.com</v>
      </c>
    </row>
    <row r="16" spans="2:15">
      <c r="B16" s="2">
        <v>7600728</v>
      </c>
      <c r="C16" s="4" t="s">
        <v>40</v>
      </c>
      <c r="D16" s="3">
        <v>1</v>
      </c>
      <c r="E16" s="3">
        <v>2</v>
      </c>
      <c r="F16" t="s">
        <v>1126</v>
      </c>
      <c r="G16"/>
      <c r="H16" t="s">
        <v>1131</v>
      </c>
      <c r="I16"/>
      <c r="J16" t="s">
        <v>1128</v>
      </c>
      <c r="K16"/>
      <c r="L16" t="s">
        <v>1129</v>
      </c>
      <c r="M16"/>
      <c r="N16" s="1" t="s">
        <v>1130</v>
      </c>
      <c r="O16" s="30" t="str">
        <f t="shared" si="0"/>
        <v>ana.neiva@renault.com;;poliana.cochito@renault.com; douglas.da-silva@renault.com;;kelvin.ferrari@renault.com;;daniel.rodilha@renault.com;;felipe.santos@renault.com</v>
      </c>
    </row>
    <row r="17" spans="2:15">
      <c r="B17" s="2">
        <v>7600595</v>
      </c>
      <c r="C17" s="4" t="s">
        <v>45</v>
      </c>
      <c r="D17" s="3">
        <v>1</v>
      </c>
      <c r="E17" s="3">
        <v>2</v>
      </c>
      <c r="F17" t="s">
        <v>1126</v>
      </c>
      <c r="G17"/>
      <c r="H17" t="s">
        <v>1131</v>
      </c>
      <c r="I17"/>
      <c r="J17" t="s">
        <v>1128</v>
      </c>
      <c r="K17"/>
      <c r="L17" t="s">
        <v>1129</v>
      </c>
      <c r="M17"/>
      <c r="N17" s="1" t="s">
        <v>1130</v>
      </c>
      <c r="O17" s="30" t="str">
        <f t="shared" si="0"/>
        <v>ana.neiva@renault.com;;poliana.cochito@renault.com; douglas.da-silva@renault.com;;kelvin.ferrari@renault.com;;daniel.rodilha@renault.com;;felipe.santos@renault.com</v>
      </c>
    </row>
    <row r="18" spans="2:15">
      <c r="B18" s="2">
        <v>7600331</v>
      </c>
      <c r="C18" s="4" t="s">
        <v>49</v>
      </c>
      <c r="D18" s="3">
        <v>1</v>
      </c>
      <c r="E18" s="3">
        <v>2</v>
      </c>
      <c r="F18" t="s">
        <v>1126</v>
      </c>
      <c r="G18"/>
      <c r="H18" t="s">
        <v>1131</v>
      </c>
      <c r="I18"/>
      <c r="J18" t="s">
        <v>1128</v>
      </c>
      <c r="K18"/>
      <c r="L18" t="s">
        <v>1129</v>
      </c>
      <c r="M18"/>
      <c r="N18" s="1" t="s">
        <v>1130</v>
      </c>
      <c r="O18" s="30" t="str">
        <f t="shared" si="0"/>
        <v>ana.neiva@renault.com;;poliana.cochito@renault.com; douglas.da-silva@renault.com;;kelvin.ferrari@renault.com;;daniel.rodilha@renault.com;;felipe.santos@renault.com</v>
      </c>
    </row>
    <row r="19" spans="2:15">
      <c r="B19" s="2">
        <v>7601214</v>
      </c>
      <c r="C19" s="4" t="s">
        <v>36</v>
      </c>
      <c r="D19" s="3">
        <v>1</v>
      </c>
      <c r="E19" s="3">
        <v>2</v>
      </c>
      <c r="F19" t="s">
        <v>1126</v>
      </c>
      <c r="G19"/>
      <c r="H19" t="s">
        <v>1131</v>
      </c>
      <c r="I19"/>
      <c r="J19" t="s">
        <v>1128</v>
      </c>
      <c r="K19"/>
      <c r="L19" t="s">
        <v>1129</v>
      </c>
      <c r="M19"/>
      <c r="N19" s="1" t="s">
        <v>1130</v>
      </c>
      <c r="O19" s="30" t="str">
        <f t="shared" si="0"/>
        <v>ana.neiva@renault.com;;poliana.cochito@renault.com; douglas.da-silva@renault.com;;kelvin.ferrari@renault.com;;daniel.rodilha@renault.com;;felipe.santos@renault.com</v>
      </c>
    </row>
    <row r="20" spans="2:15">
      <c r="B20" s="2">
        <v>7600360</v>
      </c>
      <c r="C20" s="4" t="s">
        <v>53</v>
      </c>
      <c r="D20" s="3">
        <v>1</v>
      </c>
      <c r="E20" s="3">
        <v>2</v>
      </c>
      <c r="F20" t="s">
        <v>1126</v>
      </c>
      <c r="G20"/>
      <c r="H20" t="s">
        <v>1131</v>
      </c>
      <c r="I20"/>
      <c r="J20" t="s">
        <v>1128</v>
      </c>
      <c r="K20"/>
      <c r="L20" t="s">
        <v>1129</v>
      </c>
      <c r="M20"/>
      <c r="N20" s="1" t="s">
        <v>1130</v>
      </c>
      <c r="O20" s="30" t="str">
        <f t="shared" si="0"/>
        <v>ana.neiva@renault.com;;poliana.cochito@renault.com; douglas.da-silva@renault.com;;kelvin.ferrari@renault.com;;daniel.rodilha@renault.com;;felipe.santos@renault.com</v>
      </c>
    </row>
    <row r="21" spans="2:15">
      <c r="B21" s="2">
        <v>7600991</v>
      </c>
      <c r="C21" s="4" t="s">
        <v>127</v>
      </c>
      <c r="D21" s="3">
        <v>1</v>
      </c>
      <c r="E21" s="3">
        <v>3</v>
      </c>
      <c r="F21" t="s">
        <v>1126</v>
      </c>
      <c r="G21"/>
      <c r="H21" t="s">
        <v>1132</v>
      </c>
      <c r="I21"/>
      <c r="J21" t="s">
        <v>1128</v>
      </c>
      <c r="K21"/>
      <c r="L21" t="s">
        <v>1129</v>
      </c>
      <c r="M21"/>
      <c r="N21" s="1" t="s">
        <v>1130</v>
      </c>
      <c r="O21" s="30" t="str">
        <f t="shared" si="0"/>
        <v>ana.neiva@renault.com;;glauder.tasso@renault.com; eduardo.yochi@renault.com;;kelvin.ferrari@renault.com;;daniel.rodilha@renault.com;;felipe.santos@renault.com</v>
      </c>
    </row>
    <row r="22" spans="2:15">
      <c r="B22" s="2">
        <v>7601142</v>
      </c>
      <c r="C22" s="4" t="s">
        <v>1133</v>
      </c>
      <c r="D22" s="3">
        <v>1</v>
      </c>
      <c r="E22" s="3">
        <v>3</v>
      </c>
      <c r="F22" t="s">
        <v>1126</v>
      </c>
      <c r="G22"/>
      <c r="H22" t="s">
        <v>1132</v>
      </c>
      <c r="I22"/>
      <c r="J22" t="s">
        <v>1128</v>
      </c>
      <c r="K22"/>
      <c r="L22" t="s">
        <v>1129</v>
      </c>
      <c r="M22"/>
      <c r="N22" s="1" t="s">
        <v>1130</v>
      </c>
      <c r="O22" s="30" t="str">
        <f t="shared" si="0"/>
        <v>ana.neiva@renault.com;;glauder.tasso@renault.com; eduardo.yochi@renault.com;;kelvin.ferrari@renault.com;;daniel.rodilha@renault.com;;felipe.santos@renault.com</v>
      </c>
    </row>
    <row r="23" spans="2:15">
      <c r="B23" s="2">
        <v>7601047</v>
      </c>
      <c r="C23" s="4" t="s">
        <v>134</v>
      </c>
      <c r="D23" s="3">
        <v>1</v>
      </c>
      <c r="E23" s="3">
        <v>3</v>
      </c>
      <c r="F23" t="s">
        <v>1126</v>
      </c>
      <c r="G23"/>
      <c r="H23" t="s">
        <v>1132</v>
      </c>
      <c r="I23"/>
      <c r="J23" t="s">
        <v>1128</v>
      </c>
      <c r="K23"/>
      <c r="L23" t="s">
        <v>1129</v>
      </c>
      <c r="M23"/>
      <c r="N23" s="1" t="s">
        <v>1130</v>
      </c>
      <c r="O23" s="30" t="str">
        <f t="shared" si="0"/>
        <v>ana.neiva@renault.com;;glauder.tasso@renault.com; eduardo.yochi@renault.com;;kelvin.ferrari@renault.com;;daniel.rodilha@renault.com;;felipe.santos@renault.com</v>
      </c>
    </row>
    <row r="24" spans="2:15">
      <c r="B24" s="2">
        <v>7600777</v>
      </c>
      <c r="C24" s="4" t="s">
        <v>148</v>
      </c>
      <c r="D24" s="3">
        <v>1</v>
      </c>
      <c r="E24" s="3">
        <v>1</v>
      </c>
      <c r="F24" t="s">
        <v>1126</v>
      </c>
      <c r="G24"/>
      <c r="H24" t="s">
        <v>1127</v>
      </c>
      <c r="I24"/>
      <c r="J24" t="s">
        <v>1128</v>
      </c>
      <c r="K24"/>
      <c r="L24" t="s">
        <v>1129</v>
      </c>
      <c r="M24"/>
      <c r="N24" s="1" t="s">
        <v>1130</v>
      </c>
      <c r="O24" s="30" t="str">
        <f t="shared" si="0"/>
        <v>ana.neiva@renault.com;;anderson.fabiani@renault.com ; douglas.da-silva@renault.com;;kelvin.ferrari@renault.com;;daniel.rodilha@renault.com;;felipe.santos@renault.com</v>
      </c>
    </row>
    <row r="25" spans="2:15">
      <c r="B25" s="2">
        <v>7600742</v>
      </c>
      <c r="C25" s="4" t="s">
        <v>151</v>
      </c>
      <c r="D25" s="3">
        <v>1</v>
      </c>
      <c r="E25" s="3">
        <v>1</v>
      </c>
      <c r="F25" t="s">
        <v>1126</v>
      </c>
      <c r="G25"/>
      <c r="H25" t="s">
        <v>1127</v>
      </c>
      <c r="I25"/>
      <c r="J25" t="s">
        <v>1128</v>
      </c>
      <c r="K25"/>
      <c r="L25" t="s">
        <v>1129</v>
      </c>
      <c r="M25"/>
      <c r="N25" s="1" t="s">
        <v>1130</v>
      </c>
      <c r="O25" s="30" t="str">
        <f t="shared" si="0"/>
        <v>ana.neiva@renault.com;;anderson.fabiani@renault.com ; douglas.da-silva@renault.com;;kelvin.ferrari@renault.com;;daniel.rodilha@renault.com;;felipe.santos@renault.com</v>
      </c>
    </row>
    <row r="26" spans="2:15">
      <c r="B26" s="2">
        <v>7600873</v>
      </c>
      <c r="C26" s="4" t="s">
        <v>154</v>
      </c>
      <c r="D26" s="3">
        <v>1</v>
      </c>
      <c r="E26" s="3">
        <v>1</v>
      </c>
      <c r="F26" t="s">
        <v>1126</v>
      </c>
      <c r="G26"/>
      <c r="H26" t="s">
        <v>1127</v>
      </c>
      <c r="I26"/>
      <c r="J26" t="s">
        <v>1128</v>
      </c>
      <c r="K26"/>
      <c r="L26" t="s">
        <v>1129</v>
      </c>
      <c r="M26"/>
      <c r="N26" s="1" t="s">
        <v>1130</v>
      </c>
      <c r="O26" s="30" t="str">
        <f t="shared" si="0"/>
        <v>ana.neiva@renault.com;;anderson.fabiani@renault.com ; douglas.da-silva@renault.com;;kelvin.ferrari@renault.com;;daniel.rodilha@renault.com;;felipe.santos@renault.com</v>
      </c>
    </row>
    <row r="27" spans="2:15">
      <c r="B27" s="2">
        <v>7601210</v>
      </c>
      <c r="C27" s="4" t="s">
        <v>142</v>
      </c>
      <c r="D27" s="3">
        <v>1</v>
      </c>
      <c r="E27" s="3">
        <v>1</v>
      </c>
      <c r="F27" t="s">
        <v>1126</v>
      </c>
      <c r="G27"/>
      <c r="H27" t="s">
        <v>1127</v>
      </c>
      <c r="I27"/>
      <c r="J27" t="s">
        <v>1128</v>
      </c>
      <c r="K27"/>
      <c r="L27" t="s">
        <v>1129</v>
      </c>
      <c r="M27"/>
      <c r="N27" s="1" t="s">
        <v>1130</v>
      </c>
      <c r="O27" s="30" t="str">
        <f t="shared" si="0"/>
        <v>ana.neiva@renault.com;;anderson.fabiani@renault.com ; douglas.da-silva@renault.com;;kelvin.ferrari@renault.com;;daniel.rodilha@renault.com;;felipe.santos@renault.com</v>
      </c>
    </row>
    <row r="28" spans="2:15">
      <c r="B28" s="2">
        <v>7601216</v>
      </c>
      <c r="C28" s="4" t="s">
        <v>137</v>
      </c>
      <c r="D28" s="3">
        <v>1</v>
      </c>
      <c r="E28" s="3">
        <v>1</v>
      </c>
      <c r="F28" t="s">
        <v>1126</v>
      </c>
      <c r="G28"/>
      <c r="H28" t="s">
        <v>1127</v>
      </c>
      <c r="I28"/>
      <c r="J28" t="s">
        <v>1128</v>
      </c>
      <c r="K28"/>
      <c r="L28" t="s">
        <v>1129</v>
      </c>
      <c r="M28"/>
      <c r="N28" s="1" t="s">
        <v>1130</v>
      </c>
      <c r="O28" s="30" t="str">
        <f t="shared" si="0"/>
        <v>ana.neiva@renault.com;;anderson.fabiani@renault.com ; douglas.da-silva@renault.com;;kelvin.ferrari@renault.com;;daniel.rodilha@renault.com;;felipe.santos@renault.com</v>
      </c>
    </row>
    <row r="29" spans="2:15">
      <c r="B29" s="2">
        <v>7601224</v>
      </c>
      <c r="C29" s="4" t="s">
        <v>145</v>
      </c>
      <c r="D29" s="3">
        <v>1</v>
      </c>
      <c r="E29" s="3">
        <v>1</v>
      </c>
      <c r="F29" t="s">
        <v>1126</v>
      </c>
      <c r="G29"/>
      <c r="H29" t="s">
        <v>1127</v>
      </c>
      <c r="I29"/>
      <c r="J29" t="s">
        <v>1128</v>
      </c>
      <c r="K29"/>
      <c r="L29" t="s">
        <v>1129</v>
      </c>
      <c r="M29"/>
      <c r="N29" s="1" t="s">
        <v>1130</v>
      </c>
      <c r="O29" s="30" t="str">
        <f t="shared" si="0"/>
        <v>ana.neiva@renault.com;;anderson.fabiani@renault.com ; douglas.da-silva@renault.com;;kelvin.ferrari@renault.com;;daniel.rodilha@renault.com;;felipe.santos@renault.com</v>
      </c>
    </row>
    <row r="30" spans="2:15">
      <c r="B30" s="2">
        <v>7600373</v>
      </c>
      <c r="C30" s="4" t="s">
        <v>252</v>
      </c>
      <c r="D30" s="3">
        <v>1</v>
      </c>
      <c r="E30" s="3">
        <v>4</v>
      </c>
      <c r="F30" t="s">
        <v>1126</v>
      </c>
      <c r="G30"/>
      <c r="H30" t="s">
        <v>1134</v>
      </c>
      <c r="I30"/>
      <c r="J30" t="s">
        <v>1128</v>
      </c>
      <c r="K30"/>
      <c r="L30" t="s">
        <v>1129</v>
      </c>
      <c r="M30"/>
      <c r="N30" s="1" t="s">
        <v>1130</v>
      </c>
      <c r="O30" s="30" t="str">
        <f t="shared" si="0"/>
        <v>ana.neiva@renault.com;;andre.lorenzo@renault.com; eduardo.yochi@renault.com;;kelvin.ferrari@renault.com;;daniel.rodilha@renault.com;;felipe.santos@renault.com</v>
      </c>
    </row>
    <row r="31" spans="2:15">
      <c r="B31" s="2">
        <v>7600701</v>
      </c>
      <c r="C31" s="4" t="s">
        <v>257</v>
      </c>
      <c r="D31" s="3">
        <v>1</v>
      </c>
      <c r="E31" s="3">
        <v>4</v>
      </c>
      <c r="F31" t="s">
        <v>1126</v>
      </c>
      <c r="G31"/>
      <c r="H31" t="s">
        <v>1134</v>
      </c>
      <c r="I31"/>
      <c r="J31" t="s">
        <v>1128</v>
      </c>
      <c r="K31"/>
      <c r="L31" t="s">
        <v>1129</v>
      </c>
      <c r="M31"/>
      <c r="N31" s="1" t="s">
        <v>1130</v>
      </c>
      <c r="O31" s="30" t="str">
        <f t="shared" si="0"/>
        <v>ana.neiva@renault.com;;andre.lorenzo@renault.com; eduardo.yochi@renault.com;;kelvin.ferrari@renault.com;;daniel.rodilha@renault.com;;felipe.santos@renault.com</v>
      </c>
    </row>
    <row r="32" spans="2:15">
      <c r="B32" s="2">
        <v>7600756</v>
      </c>
      <c r="C32" s="4" t="s">
        <v>260</v>
      </c>
      <c r="D32" s="3">
        <v>1</v>
      </c>
      <c r="E32" s="3">
        <v>4</v>
      </c>
      <c r="F32" t="s">
        <v>1126</v>
      </c>
      <c r="G32"/>
      <c r="H32" t="s">
        <v>1134</v>
      </c>
      <c r="I32"/>
      <c r="J32" t="s">
        <v>1128</v>
      </c>
      <c r="K32"/>
      <c r="L32" t="s">
        <v>1129</v>
      </c>
      <c r="M32"/>
      <c r="N32" s="1" t="s">
        <v>1130</v>
      </c>
      <c r="O32" s="30" t="str">
        <f t="shared" si="0"/>
        <v>ana.neiva@renault.com;;andre.lorenzo@renault.com; eduardo.yochi@renault.com;;kelvin.ferrari@renault.com;;daniel.rodilha@renault.com;;felipe.santos@renault.com</v>
      </c>
    </row>
    <row r="33" spans="2:15">
      <c r="B33" s="2">
        <v>7600023</v>
      </c>
      <c r="C33" s="4" t="s">
        <v>264</v>
      </c>
      <c r="D33" s="3">
        <v>1</v>
      </c>
      <c r="E33" s="3">
        <v>4</v>
      </c>
      <c r="F33" t="s">
        <v>1126</v>
      </c>
      <c r="G33"/>
      <c r="H33" t="s">
        <v>1134</v>
      </c>
      <c r="I33"/>
      <c r="J33" t="s">
        <v>1128</v>
      </c>
      <c r="K33"/>
      <c r="L33" t="s">
        <v>1129</v>
      </c>
      <c r="M33"/>
      <c r="N33" s="1" t="s">
        <v>1130</v>
      </c>
      <c r="O33" s="30" t="str">
        <f t="shared" si="0"/>
        <v>ana.neiva@renault.com;;andre.lorenzo@renault.com; eduardo.yochi@renault.com;;kelvin.ferrari@renault.com;;daniel.rodilha@renault.com;;felipe.santos@renault.com</v>
      </c>
    </row>
    <row r="34" spans="2:15">
      <c r="B34" s="2">
        <v>7600271</v>
      </c>
      <c r="C34" s="4" t="s">
        <v>266</v>
      </c>
      <c r="D34" s="3">
        <v>1</v>
      </c>
      <c r="E34" s="3">
        <v>4</v>
      </c>
      <c r="F34" t="s">
        <v>1126</v>
      </c>
      <c r="G34"/>
      <c r="H34" t="s">
        <v>1134</v>
      </c>
      <c r="I34"/>
      <c r="J34" t="s">
        <v>1128</v>
      </c>
      <c r="K34"/>
      <c r="L34" t="s">
        <v>1129</v>
      </c>
      <c r="M34"/>
      <c r="N34" s="1" t="s">
        <v>1130</v>
      </c>
      <c r="O34" s="30" t="str">
        <f t="shared" si="0"/>
        <v>ana.neiva@renault.com;;andre.lorenzo@renault.com; eduardo.yochi@renault.com;;kelvin.ferrari@renault.com;;daniel.rodilha@renault.com;;felipe.santos@renault.com</v>
      </c>
    </row>
    <row r="35" spans="2:15">
      <c r="B35" s="2">
        <v>7601148</v>
      </c>
      <c r="C35" s="4" t="s">
        <v>119</v>
      </c>
      <c r="D35" s="3">
        <v>1</v>
      </c>
      <c r="E35" s="3">
        <v>2</v>
      </c>
      <c r="F35" t="s">
        <v>1126</v>
      </c>
      <c r="G35"/>
      <c r="H35" t="s">
        <v>1131</v>
      </c>
      <c r="I35"/>
      <c r="J35" t="s">
        <v>1128</v>
      </c>
      <c r="K35"/>
      <c r="L35" t="s">
        <v>1129</v>
      </c>
      <c r="M35"/>
      <c r="N35" s="1" t="s">
        <v>1130</v>
      </c>
      <c r="O35" s="30" t="str">
        <f t="shared" si="0"/>
        <v>ana.neiva@renault.com;;poliana.cochito@renault.com; douglas.da-silva@renault.com;;kelvin.ferrari@renault.com;;daniel.rodilha@renault.com;;felipe.santos@renault.com</v>
      </c>
    </row>
    <row r="36" spans="2:15">
      <c r="B36" s="2">
        <v>7600990</v>
      </c>
      <c r="C36" s="4" t="s">
        <v>125</v>
      </c>
      <c r="D36" s="3">
        <v>1</v>
      </c>
      <c r="E36" s="3">
        <v>2</v>
      </c>
      <c r="F36" t="s">
        <v>1126</v>
      </c>
      <c r="G36"/>
      <c r="H36" t="s">
        <v>1131</v>
      </c>
      <c r="I36"/>
      <c r="J36" t="s">
        <v>1128</v>
      </c>
      <c r="K36"/>
      <c r="L36" t="s">
        <v>1129</v>
      </c>
      <c r="M36"/>
      <c r="N36" s="1" t="s">
        <v>1130</v>
      </c>
      <c r="O36" s="30" t="str">
        <f t="shared" si="0"/>
        <v>ana.neiva@renault.com;;poliana.cochito@renault.com; douglas.da-silva@renault.com;;kelvin.ferrari@renault.com;;daniel.rodilha@renault.com;;felipe.santos@renault.com</v>
      </c>
    </row>
    <row r="37" spans="2:15">
      <c r="B37" s="2">
        <v>7600746</v>
      </c>
      <c r="C37" s="4" t="s">
        <v>163</v>
      </c>
      <c r="D37" s="3">
        <v>1</v>
      </c>
      <c r="E37" s="3">
        <v>3</v>
      </c>
      <c r="F37" t="s">
        <v>1126</v>
      </c>
      <c r="G37"/>
      <c r="H37" t="s">
        <v>1132</v>
      </c>
      <c r="I37"/>
      <c r="J37" t="s">
        <v>1128</v>
      </c>
      <c r="K37"/>
      <c r="L37" t="s">
        <v>1129</v>
      </c>
      <c r="M37"/>
      <c r="N37" s="1" t="s">
        <v>1130</v>
      </c>
      <c r="O37" s="30" t="str">
        <f t="shared" si="0"/>
        <v>ana.neiva@renault.com;;glauder.tasso@renault.com; eduardo.yochi@renault.com;;kelvin.ferrari@renault.com;;daniel.rodilha@renault.com;;felipe.santos@renault.com</v>
      </c>
    </row>
    <row r="38" spans="2:15">
      <c r="B38" s="2">
        <v>7600943</v>
      </c>
      <c r="C38" s="4" t="s">
        <v>167</v>
      </c>
      <c r="D38" s="3">
        <v>1</v>
      </c>
      <c r="E38" s="3">
        <v>3</v>
      </c>
      <c r="F38" t="s">
        <v>1126</v>
      </c>
      <c r="G38"/>
      <c r="H38" t="s">
        <v>1132</v>
      </c>
      <c r="I38"/>
      <c r="J38" t="s">
        <v>1128</v>
      </c>
      <c r="K38"/>
      <c r="L38" t="s">
        <v>1129</v>
      </c>
      <c r="M38"/>
      <c r="N38" s="1" t="s">
        <v>1130</v>
      </c>
      <c r="O38" s="30" t="str">
        <f t="shared" si="0"/>
        <v>ana.neiva@renault.com;;glauder.tasso@renault.com; eduardo.yochi@renault.com;;kelvin.ferrari@renault.com;;daniel.rodilha@renault.com;;felipe.santos@renault.com</v>
      </c>
    </row>
    <row r="39" spans="2:15">
      <c r="B39" s="2">
        <v>7600633</v>
      </c>
      <c r="C39" s="4" t="s">
        <v>170</v>
      </c>
      <c r="D39" s="3">
        <v>1</v>
      </c>
      <c r="E39" s="3">
        <v>3</v>
      </c>
      <c r="F39" t="s">
        <v>1126</v>
      </c>
      <c r="G39"/>
      <c r="H39" t="s">
        <v>1132</v>
      </c>
      <c r="I39"/>
      <c r="J39" t="s">
        <v>1128</v>
      </c>
      <c r="K39"/>
      <c r="L39" t="s">
        <v>1129</v>
      </c>
      <c r="M39"/>
      <c r="N39" s="1" t="s">
        <v>1130</v>
      </c>
      <c r="O39" s="30" t="str">
        <f t="shared" si="0"/>
        <v>ana.neiva@renault.com;;glauder.tasso@renault.com; eduardo.yochi@renault.com;;kelvin.ferrari@renault.com;;daniel.rodilha@renault.com;;felipe.santos@renault.com</v>
      </c>
    </row>
    <row r="40" spans="2:15">
      <c r="B40" s="2">
        <v>7600167</v>
      </c>
      <c r="C40" s="4" t="s">
        <v>173</v>
      </c>
      <c r="D40" s="3">
        <v>1</v>
      </c>
      <c r="E40" s="3">
        <v>3</v>
      </c>
      <c r="F40" t="s">
        <v>1126</v>
      </c>
      <c r="G40"/>
      <c r="H40" t="s">
        <v>1132</v>
      </c>
      <c r="I40"/>
      <c r="J40" t="s">
        <v>1128</v>
      </c>
      <c r="K40"/>
      <c r="L40" t="s">
        <v>1129</v>
      </c>
      <c r="M40"/>
      <c r="N40" s="1" t="s">
        <v>1130</v>
      </c>
      <c r="O40" s="30" t="str">
        <f t="shared" si="0"/>
        <v>ana.neiva@renault.com;;glauder.tasso@renault.com; eduardo.yochi@renault.com;;kelvin.ferrari@renault.com;;daniel.rodilha@renault.com;;felipe.santos@renault.com</v>
      </c>
    </row>
    <row r="41" spans="2:15">
      <c r="B41" s="2">
        <v>7600776</v>
      </c>
      <c r="C41" s="4" t="s">
        <v>176</v>
      </c>
      <c r="D41" s="3">
        <v>1</v>
      </c>
      <c r="E41" s="3">
        <v>3</v>
      </c>
      <c r="F41" t="s">
        <v>1126</v>
      </c>
      <c r="G41"/>
      <c r="H41" t="s">
        <v>1132</v>
      </c>
      <c r="I41"/>
      <c r="J41" t="s">
        <v>1128</v>
      </c>
      <c r="K41"/>
      <c r="L41" t="s">
        <v>1129</v>
      </c>
      <c r="M41"/>
      <c r="N41" s="1" t="s">
        <v>1130</v>
      </c>
      <c r="O41" s="30" t="str">
        <f t="shared" si="0"/>
        <v>ana.neiva@renault.com;;glauder.tasso@renault.com; eduardo.yochi@renault.com;;kelvin.ferrari@renault.com;;daniel.rodilha@renault.com;;felipe.santos@renault.com</v>
      </c>
    </row>
    <row r="42" spans="2:15">
      <c r="B42" s="2">
        <v>7601213</v>
      </c>
      <c r="C42" s="4" t="s">
        <v>157</v>
      </c>
      <c r="D42" s="3">
        <v>1</v>
      </c>
      <c r="E42" s="3">
        <v>3</v>
      </c>
      <c r="F42" t="s">
        <v>1126</v>
      </c>
      <c r="G42"/>
      <c r="H42" t="s">
        <v>1132</v>
      </c>
      <c r="I42"/>
      <c r="J42" t="s">
        <v>1128</v>
      </c>
      <c r="K42"/>
      <c r="L42" t="s">
        <v>1129</v>
      </c>
      <c r="M42"/>
      <c r="N42" s="1" t="s">
        <v>1130</v>
      </c>
      <c r="O42" s="30" t="str">
        <f t="shared" si="0"/>
        <v>ana.neiva@renault.com;;glauder.tasso@renault.com; eduardo.yochi@renault.com;;kelvin.ferrari@renault.com;;daniel.rodilha@renault.com;;felipe.santos@renault.com</v>
      </c>
    </row>
    <row r="43" spans="2:15">
      <c r="B43" s="2">
        <v>7601126</v>
      </c>
      <c r="C43" s="4" t="s">
        <v>178</v>
      </c>
      <c r="D43" s="3">
        <v>1</v>
      </c>
      <c r="E43" s="3">
        <v>3</v>
      </c>
      <c r="F43" t="s">
        <v>1126</v>
      </c>
      <c r="G43"/>
      <c r="H43" t="s">
        <v>1132</v>
      </c>
      <c r="I43"/>
      <c r="J43" t="s">
        <v>1128</v>
      </c>
      <c r="K43"/>
      <c r="L43" t="s">
        <v>1129</v>
      </c>
      <c r="M43"/>
      <c r="N43" s="1" t="s">
        <v>1130</v>
      </c>
      <c r="O43" s="30" t="str">
        <f t="shared" si="0"/>
        <v>ana.neiva@renault.com;;glauder.tasso@renault.com; eduardo.yochi@renault.com;;kelvin.ferrari@renault.com;;daniel.rodilha@renault.com;;felipe.santos@renault.com</v>
      </c>
    </row>
    <row r="44" spans="2:15">
      <c r="B44" s="2">
        <v>7600641</v>
      </c>
      <c r="C44" s="4" t="s">
        <v>179</v>
      </c>
      <c r="D44" s="3">
        <v>1</v>
      </c>
      <c r="E44" s="3">
        <v>3</v>
      </c>
      <c r="F44" t="s">
        <v>1126</v>
      </c>
      <c r="G44"/>
      <c r="H44" t="s">
        <v>1132</v>
      </c>
      <c r="I44"/>
      <c r="J44" t="s">
        <v>1128</v>
      </c>
      <c r="K44"/>
      <c r="L44" t="s">
        <v>1129</v>
      </c>
      <c r="M44"/>
      <c r="N44" s="1" t="s">
        <v>1130</v>
      </c>
      <c r="O44" s="30" t="str">
        <f t="shared" si="0"/>
        <v>ana.neiva@renault.com;;glauder.tasso@renault.com; eduardo.yochi@renault.com;;kelvin.ferrari@renault.com;;daniel.rodilha@renault.com;;felipe.santos@renault.com</v>
      </c>
    </row>
    <row r="45" spans="2:15">
      <c r="B45" s="2">
        <v>7600888</v>
      </c>
      <c r="C45" s="4" t="s">
        <v>181</v>
      </c>
      <c r="D45" s="3">
        <v>1</v>
      </c>
      <c r="E45" s="3">
        <v>3</v>
      </c>
      <c r="F45" t="s">
        <v>1126</v>
      </c>
      <c r="G45"/>
      <c r="H45" t="s">
        <v>1132</v>
      </c>
      <c r="I45"/>
      <c r="J45" t="s">
        <v>1128</v>
      </c>
      <c r="K45"/>
      <c r="L45" t="s">
        <v>1129</v>
      </c>
      <c r="M45"/>
      <c r="N45" s="1" t="s">
        <v>1130</v>
      </c>
      <c r="O45" s="30" t="str">
        <f t="shared" si="0"/>
        <v>ana.neiva@renault.com;;glauder.tasso@renault.com; eduardo.yochi@renault.com;;kelvin.ferrari@renault.com;;daniel.rodilha@renault.com;;felipe.santos@renault.com</v>
      </c>
    </row>
    <row r="46" spans="2:15">
      <c r="B46" s="2">
        <v>7600671</v>
      </c>
      <c r="C46" s="4" t="s">
        <v>297</v>
      </c>
      <c r="D46" s="3">
        <v>1</v>
      </c>
      <c r="E46" s="3">
        <v>2</v>
      </c>
      <c r="F46" t="s">
        <v>1126</v>
      </c>
      <c r="G46"/>
      <c r="H46" t="s">
        <v>1131</v>
      </c>
      <c r="I46"/>
      <c r="J46" t="s">
        <v>1128</v>
      </c>
      <c r="K46"/>
      <c r="L46" t="s">
        <v>1129</v>
      </c>
      <c r="M46"/>
      <c r="N46" s="1" t="s">
        <v>1130</v>
      </c>
      <c r="O46" s="30" t="str">
        <f t="shared" si="0"/>
        <v>ana.neiva@renault.com;;poliana.cochito@renault.com; douglas.da-silva@renault.com;;kelvin.ferrari@renault.com;;daniel.rodilha@renault.com;;felipe.santos@renault.com</v>
      </c>
    </row>
    <row r="47" spans="2:15">
      <c r="B47" s="2">
        <v>7600993</v>
      </c>
      <c r="C47" s="4" t="s">
        <v>208</v>
      </c>
      <c r="D47" s="3">
        <v>1</v>
      </c>
      <c r="E47" s="3">
        <v>4</v>
      </c>
      <c r="F47" t="s">
        <v>1126</v>
      </c>
      <c r="G47"/>
      <c r="H47" t="s">
        <v>1134</v>
      </c>
      <c r="I47"/>
      <c r="J47" t="s">
        <v>1128</v>
      </c>
      <c r="K47"/>
      <c r="L47" t="s">
        <v>1129</v>
      </c>
      <c r="M47"/>
      <c r="N47" s="1" t="s">
        <v>1130</v>
      </c>
      <c r="O47" s="30" t="str">
        <f t="shared" si="0"/>
        <v>ana.neiva@renault.com;;andre.lorenzo@renault.com; eduardo.yochi@renault.com;;kelvin.ferrari@renault.com;;daniel.rodilha@renault.com;;felipe.santos@renault.com</v>
      </c>
    </row>
    <row r="48" spans="2:15">
      <c r="B48" s="2">
        <v>7600983</v>
      </c>
      <c r="C48" s="4" t="s">
        <v>214</v>
      </c>
      <c r="D48" s="3">
        <v>1</v>
      </c>
      <c r="E48" s="3">
        <v>4</v>
      </c>
      <c r="F48" t="s">
        <v>1126</v>
      </c>
      <c r="G48"/>
      <c r="H48" t="s">
        <v>1134</v>
      </c>
      <c r="I48"/>
      <c r="J48" t="s">
        <v>1128</v>
      </c>
      <c r="K48"/>
      <c r="L48" t="s">
        <v>1129</v>
      </c>
      <c r="M48"/>
      <c r="N48" s="1" t="s">
        <v>1130</v>
      </c>
      <c r="O48" s="30" t="str">
        <f t="shared" si="0"/>
        <v>ana.neiva@renault.com;;andre.lorenzo@renault.com; eduardo.yochi@renault.com;;kelvin.ferrari@renault.com;;daniel.rodilha@renault.com;;felipe.santos@renault.com</v>
      </c>
    </row>
    <row r="49" spans="2:15">
      <c r="B49" s="2">
        <v>7600816</v>
      </c>
      <c r="C49" s="4" t="s">
        <v>216</v>
      </c>
      <c r="D49" s="3">
        <v>1</v>
      </c>
      <c r="E49" s="3">
        <v>4</v>
      </c>
      <c r="F49" t="s">
        <v>1126</v>
      </c>
      <c r="G49"/>
      <c r="H49" t="s">
        <v>1134</v>
      </c>
      <c r="I49"/>
      <c r="J49" t="s">
        <v>1128</v>
      </c>
      <c r="K49"/>
      <c r="L49" t="s">
        <v>1129</v>
      </c>
      <c r="M49"/>
      <c r="N49" s="1" t="s">
        <v>1130</v>
      </c>
      <c r="O49" s="30" t="str">
        <f t="shared" si="0"/>
        <v>ana.neiva@renault.com;;andre.lorenzo@renault.com; eduardo.yochi@renault.com;;kelvin.ferrari@renault.com;;daniel.rodilha@renault.com;;felipe.santos@renault.com</v>
      </c>
    </row>
    <row r="50" spans="2:15">
      <c r="B50" s="2">
        <v>7600442</v>
      </c>
      <c r="C50" s="4" t="s">
        <v>218</v>
      </c>
      <c r="D50" s="3">
        <v>1</v>
      </c>
      <c r="E50" s="3">
        <v>4</v>
      </c>
      <c r="F50" t="s">
        <v>1126</v>
      </c>
      <c r="G50"/>
      <c r="H50" t="s">
        <v>1134</v>
      </c>
      <c r="I50"/>
      <c r="J50" t="s">
        <v>1128</v>
      </c>
      <c r="K50"/>
      <c r="L50" t="s">
        <v>1129</v>
      </c>
      <c r="M50"/>
      <c r="N50" s="1" t="s">
        <v>1130</v>
      </c>
      <c r="O50" s="30" t="str">
        <f t="shared" si="0"/>
        <v>ana.neiva@renault.com;;andre.lorenzo@renault.com; eduardo.yochi@renault.com;;kelvin.ferrari@renault.com;;daniel.rodilha@renault.com;;felipe.santos@renault.com</v>
      </c>
    </row>
    <row r="51" spans="2:15">
      <c r="B51" s="2">
        <v>7600601</v>
      </c>
      <c r="C51" s="4" t="s">
        <v>221</v>
      </c>
      <c r="D51" s="3">
        <v>1</v>
      </c>
      <c r="E51" s="3">
        <v>4</v>
      </c>
      <c r="F51" t="s">
        <v>1126</v>
      </c>
      <c r="G51"/>
      <c r="H51" t="s">
        <v>1134</v>
      </c>
      <c r="I51"/>
      <c r="J51" t="s">
        <v>1128</v>
      </c>
      <c r="K51"/>
      <c r="L51" t="s">
        <v>1129</v>
      </c>
      <c r="M51"/>
      <c r="N51" s="1" t="s">
        <v>1130</v>
      </c>
      <c r="O51" s="30" t="str">
        <f t="shared" si="0"/>
        <v>ana.neiva@renault.com;;andre.lorenzo@renault.com; eduardo.yochi@renault.com;;kelvin.ferrari@renault.com;;daniel.rodilha@renault.com;;felipe.santos@renault.com</v>
      </c>
    </row>
    <row r="52" spans="2:15">
      <c r="B52" s="2">
        <v>7600154</v>
      </c>
      <c r="C52" s="4" t="s">
        <v>224</v>
      </c>
      <c r="D52" s="3">
        <v>1</v>
      </c>
      <c r="E52" s="3">
        <v>3</v>
      </c>
      <c r="F52" t="s">
        <v>1126</v>
      </c>
      <c r="G52"/>
      <c r="H52" t="s">
        <v>1132</v>
      </c>
      <c r="I52"/>
      <c r="J52" t="s">
        <v>1128</v>
      </c>
      <c r="K52"/>
      <c r="L52" t="s">
        <v>1129</v>
      </c>
      <c r="M52"/>
      <c r="N52" s="1" t="s">
        <v>1130</v>
      </c>
      <c r="O52" s="30" t="str">
        <f t="shared" si="0"/>
        <v>ana.neiva@renault.com;;glauder.tasso@renault.com; eduardo.yochi@renault.com;;kelvin.ferrari@renault.com;;daniel.rodilha@renault.com;;felipe.santos@renault.com</v>
      </c>
    </row>
    <row r="53" spans="2:15">
      <c r="B53" s="2">
        <v>7600860</v>
      </c>
      <c r="C53" s="4" t="s">
        <v>231</v>
      </c>
      <c r="D53" s="3">
        <v>1</v>
      </c>
      <c r="E53" s="3">
        <v>3</v>
      </c>
      <c r="F53" t="s">
        <v>1126</v>
      </c>
      <c r="G53"/>
      <c r="H53" t="s">
        <v>1132</v>
      </c>
      <c r="I53"/>
      <c r="J53" t="s">
        <v>1128</v>
      </c>
      <c r="K53"/>
      <c r="L53" t="s">
        <v>1129</v>
      </c>
      <c r="M53"/>
      <c r="N53" s="1" t="s">
        <v>1130</v>
      </c>
      <c r="O53" s="30" t="str">
        <f t="shared" si="0"/>
        <v>ana.neiva@renault.com;;glauder.tasso@renault.com; eduardo.yochi@renault.com;;kelvin.ferrari@renault.com;;daniel.rodilha@renault.com;;felipe.santos@renault.com</v>
      </c>
    </row>
    <row r="54" spans="2:15">
      <c r="B54" s="2">
        <v>7600887</v>
      </c>
      <c r="C54" s="4" t="s">
        <v>235</v>
      </c>
      <c r="D54" s="3">
        <v>1</v>
      </c>
      <c r="E54" s="3">
        <v>3</v>
      </c>
      <c r="F54" t="s">
        <v>1126</v>
      </c>
      <c r="G54"/>
      <c r="H54" t="s">
        <v>1132</v>
      </c>
      <c r="I54"/>
      <c r="J54" t="s">
        <v>1128</v>
      </c>
      <c r="K54"/>
      <c r="L54" t="s">
        <v>1129</v>
      </c>
      <c r="M54"/>
      <c r="N54" s="1" t="s">
        <v>1130</v>
      </c>
      <c r="O54" s="30" t="str">
        <f t="shared" si="0"/>
        <v>ana.neiva@renault.com;;glauder.tasso@renault.com; eduardo.yochi@renault.com;;kelvin.ferrari@renault.com;;daniel.rodilha@renault.com;;felipe.santos@renault.com</v>
      </c>
    </row>
    <row r="55" spans="2:15">
      <c r="B55" s="2">
        <v>7601199</v>
      </c>
      <c r="C55" s="4" t="s">
        <v>237</v>
      </c>
      <c r="D55" s="3">
        <v>1</v>
      </c>
      <c r="E55" s="3">
        <v>3</v>
      </c>
      <c r="F55" t="s">
        <v>1126</v>
      </c>
      <c r="G55"/>
      <c r="H55" t="s">
        <v>1132</v>
      </c>
      <c r="I55"/>
      <c r="J55" t="s">
        <v>1128</v>
      </c>
      <c r="K55"/>
      <c r="L55" t="s">
        <v>1129</v>
      </c>
      <c r="M55"/>
      <c r="N55" s="1" t="s">
        <v>1130</v>
      </c>
      <c r="O55" s="30" t="str">
        <f t="shared" si="0"/>
        <v>ana.neiva@renault.com;;glauder.tasso@renault.com; eduardo.yochi@renault.com;;kelvin.ferrari@renault.com;;daniel.rodilha@renault.com;;felipe.santos@renault.com</v>
      </c>
    </row>
    <row r="56" spans="2:15">
      <c r="B56" s="2">
        <v>7600602</v>
      </c>
      <c r="C56" s="4" t="s">
        <v>240</v>
      </c>
      <c r="D56" s="3">
        <v>1</v>
      </c>
      <c r="E56" s="3">
        <v>3</v>
      </c>
      <c r="F56" t="s">
        <v>1126</v>
      </c>
      <c r="G56"/>
      <c r="H56" t="s">
        <v>1132</v>
      </c>
      <c r="I56"/>
      <c r="J56" t="s">
        <v>1128</v>
      </c>
      <c r="K56"/>
      <c r="L56" t="s">
        <v>1129</v>
      </c>
      <c r="M56"/>
      <c r="N56" s="1" t="s">
        <v>1130</v>
      </c>
      <c r="O56" s="30" t="str">
        <f t="shared" si="0"/>
        <v>ana.neiva@renault.com;;glauder.tasso@renault.com; eduardo.yochi@renault.com;;kelvin.ferrari@renault.com;;daniel.rodilha@renault.com;;felipe.santos@renault.com</v>
      </c>
    </row>
    <row r="57" spans="2:15">
      <c r="B57" s="2">
        <v>7600854</v>
      </c>
      <c r="C57" s="4" t="s">
        <v>243</v>
      </c>
      <c r="D57" s="3">
        <v>1</v>
      </c>
      <c r="E57" s="3">
        <v>3</v>
      </c>
      <c r="F57" t="s">
        <v>1126</v>
      </c>
      <c r="G57"/>
      <c r="H57" t="s">
        <v>1132</v>
      </c>
      <c r="I57"/>
      <c r="J57" t="s">
        <v>1128</v>
      </c>
      <c r="K57"/>
      <c r="L57" t="s">
        <v>1129</v>
      </c>
      <c r="M57"/>
      <c r="N57" s="1" t="s">
        <v>1130</v>
      </c>
      <c r="O57" s="30" t="str">
        <f t="shared" si="0"/>
        <v>ana.neiva@renault.com;;glauder.tasso@renault.com; eduardo.yochi@renault.com;;kelvin.ferrari@renault.com;;daniel.rodilha@renault.com;;felipe.santos@renault.com</v>
      </c>
    </row>
    <row r="58" spans="2:15">
      <c r="B58" s="2">
        <v>7601197</v>
      </c>
      <c r="C58" s="4" t="s">
        <v>246</v>
      </c>
      <c r="D58" s="3">
        <v>1</v>
      </c>
      <c r="E58" s="3">
        <v>3</v>
      </c>
      <c r="F58" t="s">
        <v>1126</v>
      </c>
      <c r="G58"/>
      <c r="H58" t="s">
        <v>1132</v>
      </c>
      <c r="I58"/>
      <c r="J58" t="s">
        <v>1128</v>
      </c>
      <c r="K58"/>
      <c r="L58" t="s">
        <v>1129</v>
      </c>
      <c r="M58"/>
      <c r="N58" s="1" t="s">
        <v>1130</v>
      </c>
      <c r="O58" s="30" t="str">
        <f t="shared" si="0"/>
        <v>ana.neiva@renault.com;;glauder.tasso@renault.com; eduardo.yochi@renault.com;;kelvin.ferrari@renault.com;;daniel.rodilha@renault.com;;felipe.santos@renault.com</v>
      </c>
    </row>
    <row r="59" spans="2:15">
      <c r="B59" s="2">
        <v>7600012</v>
      </c>
      <c r="C59" s="4" t="s">
        <v>249</v>
      </c>
      <c r="D59" s="3">
        <v>1</v>
      </c>
      <c r="E59" s="3">
        <v>3</v>
      </c>
      <c r="F59" t="s">
        <v>1126</v>
      </c>
      <c r="G59"/>
      <c r="H59" t="s">
        <v>1132</v>
      </c>
      <c r="I59"/>
      <c r="J59" t="s">
        <v>1128</v>
      </c>
      <c r="K59"/>
      <c r="L59" t="s">
        <v>1129</v>
      </c>
      <c r="M59"/>
      <c r="N59" s="1" t="s">
        <v>1130</v>
      </c>
      <c r="O59" s="30" t="str">
        <f t="shared" si="0"/>
        <v>ana.neiva@renault.com;;glauder.tasso@renault.com; eduardo.yochi@renault.com;;kelvin.ferrari@renault.com;;daniel.rodilha@renault.com;;felipe.santos@renault.com</v>
      </c>
    </row>
    <row r="60" spans="2:15">
      <c r="B60" s="2">
        <v>7600192</v>
      </c>
      <c r="C60" s="4" t="s">
        <v>183</v>
      </c>
      <c r="D60" s="3">
        <v>1</v>
      </c>
      <c r="E60" s="3">
        <v>4</v>
      </c>
      <c r="F60" t="s">
        <v>1126</v>
      </c>
      <c r="G60"/>
      <c r="H60" t="s">
        <v>1134</v>
      </c>
      <c r="I60"/>
      <c r="J60" t="s">
        <v>1128</v>
      </c>
      <c r="K60"/>
      <c r="L60" t="s">
        <v>1129</v>
      </c>
      <c r="M60"/>
      <c r="N60" s="1" t="s">
        <v>1130</v>
      </c>
      <c r="O60" s="30" t="str">
        <f t="shared" si="0"/>
        <v>ana.neiva@renault.com;;andre.lorenzo@renault.com; eduardo.yochi@renault.com;;kelvin.ferrari@renault.com;;daniel.rodilha@renault.com;;felipe.santos@renault.com</v>
      </c>
    </row>
    <row r="61" spans="2:15">
      <c r="B61" s="2">
        <v>7600692</v>
      </c>
      <c r="C61" s="4" t="s">
        <v>189</v>
      </c>
      <c r="D61" s="3">
        <v>1</v>
      </c>
      <c r="E61" s="3">
        <v>4</v>
      </c>
      <c r="F61" t="s">
        <v>1126</v>
      </c>
      <c r="G61"/>
      <c r="H61" t="s">
        <v>1134</v>
      </c>
      <c r="I61"/>
      <c r="J61" t="s">
        <v>1128</v>
      </c>
      <c r="K61"/>
      <c r="L61" t="s">
        <v>1129</v>
      </c>
      <c r="M61"/>
      <c r="N61" s="1" t="s">
        <v>1130</v>
      </c>
      <c r="O61" s="30" t="str">
        <f t="shared" si="0"/>
        <v>ana.neiva@renault.com;;andre.lorenzo@renault.com; eduardo.yochi@renault.com;;kelvin.ferrari@renault.com;;daniel.rodilha@renault.com;;felipe.santos@renault.com</v>
      </c>
    </row>
    <row r="62" spans="2:15">
      <c r="B62" s="2">
        <v>7600762</v>
      </c>
      <c r="C62" s="4" t="s">
        <v>192</v>
      </c>
      <c r="D62" s="3">
        <v>1</v>
      </c>
      <c r="E62" s="3">
        <v>4</v>
      </c>
      <c r="F62" t="s">
        <v>1126</v>
      </c>
      <c r="G62"/>
      <c r="H62" t="s">
        <v>1134</v>
      </c>
      <c r="I62"/>
      <c r="J62" t="s">
        <v>1128</v>
      </c>
      <c r="K62"/>
      <c r="L62" t="s">
        <v>1129</v>
      </c>
      <c r="M62"/>
      <c r="N62" s="1" t="s">
        <v>1130</v>
      </c>
      <c r="O62" s="30" t="str">
        <f t="shared" si="0"/>
        <v>ana.neiva@renault.com;;andre.lorenzo@renault.com; eduardo.yochi@renault.com;;kelvin.ferrari@renault.com;;daniel.rodilha@renault.com;;felipe.santos@renault.com</v>
      </c>
    </row>
    <row r="63" spans="2:15">
      <c r="B63" s="2">
        <v>7600109</v>
      </c>
      <c r="C63" s="4" t="s">
        <v>195</v>
      </c>
      <c r="D63" s="3">
        <v>1</v>
      </c>
      <c r="E63" s="3">
        <v>4</v>
      </c>
      <c r="F63" t="s">
        <v>1126</v>
      </c>
      <c r="G63"/>
      <c r="H63" t="s">
        <v>1134</v>
      </c>
      <c r="I63"/>
      <c r="J63" t="s">
        <v>1128</v>
      </c>
      <c r="K63"/>
      <c r="L63" t="s">
        <v>1129</v>
      </c>
      <c r="M63"/>
      <c r="N63" s="1" t="s">
        <v>1130</v>
      </c>
      <c r="O63" s="30" t="str">
        <f t="shared" si="0"/>
        <v>ana.neiva@renault.com;;andre.lorenzo@renault.com; eduardo.yochi@renault.com;;kelvin.ferrari@renault.com;;daniel.rodilha@renault.com;;felipe.santos@renault.com</v>
      </c>
    </row>
    <row r="64" spans="2:15">
      <c r="B64" s="2">
        <v>7601198</v>
      </c>
      <c r="C64" s="4" t="s">
        <v>197</v>
      </c>
      <c r="D64" s="3">
        <v>1</v>
      </c>
      <c r="E64" s="3">
        <v>4</v>
      </c>
      <c r="F64" t="s">
        <v>1126</v>
      </c>
      <c r="G64"/>
      <c r="H64" t="s">
        <v>1134</v>
      </c>
      <c r="I64"/>
      <c r="J64" t="s">
        <v>1128</v>
      </c>
      <c r="K64"/>
      <c r="L64" t="s">
        <v>1129</v>
      </c>
      <c r="M64"/>
      <c r="N64" s="1" t="s">
        <v>1130</v>
      </c>
      <c r="O64" s="30" t="str">
        <f t="shared" si="0"/>
        <v>ana.neiva@renault.com;;andre.lorenzo@renault.com; eduardo.yochi@renault.com;;kelvin.ferrari@renault.com;;daniel.rodilha@renault.com;;felipe.santos@renault.com</v>
      </c>
    </row>
    <row r="65" spans="2:15">
      <c r="B65" s="2">
        <v>7600871</v>
      </c>
      <c r="C65" s="4" t="s">
        <v>200</v>
      </c>
      <c r="D65" s="3">
        <v>1</v>
      </c>
      <c r="E65" s="3">
        <v>4</v>
      </c>
      <c r="F65" t="s">
        <v>1126</v>
      </c>
      <c r="G65"/>
      <c r="H65" t="s">
        <v>1134</v>
      </c>
      <c r="I65"/>
      <c r="J65" t="s">
        <v>1128</v>
      </c>
      <c r="K65"/>
      <c r="L65" t="s">
        <v>1129</v>
      </c>
      <c r="M65"/>
      <c r="N65" s="1" t="s">
        <v>1130</v>
      </c>
      <c r="O65" s="30" t="str">
        <f t="shared" si="0"/>
        <v>ana.neiva@renault.com;;andre.lorenzo@renault.com; eduardo.yochi@renault.com;;kelvin.ferrari@renault.com;;daniel.rodilha@renault.com;;felipe.santos@renault.com</v>
      </c>
    </row>
    <row r="66" spans="2:15">
      <c r="B66" s="2">
        <v>7600963</v>
      </c>
      <c r="C66" s="4" t="s">
        <v>203</v>
      </c>
      <c r="D66" s="3">
        <v>1</v>
      </c>
      <c r="E66" s="3">
        <v>4</v>
      </c>
      <c r="F66" t="s">
        <v>1126</v>
      </c>
      <c r="G66"/>
      <c r="H66" t="s">
        <v>1134</v>
      </c>
      <c r="I66"/>
      <c r="J66" t="s">
        <v>1128</v>
      </c>
      <c r="K66"/>
      <c r="L66" t="s">
        <v>1129</v>
      </c>
      <c r="M66"/>
      <c r="N66" s="1" t="s">
        <v>1130</v>
      </c>
      <c r="O66" s="30" t="str">
        <f t="shared" si="0"/>
        <v>ana.neiva@renault.com;;andre.lorenzo@renault.com; eduardo.yochi@renault.com;;kelvin.ferrari@renault.com;;daniel.rodilha@renault.com;;felipe.santos@renault.com</v>
      </c>
    </row>
    <row r="67" spans="2:15">
      <c r="B67" s="2">
        <v>7600808</v>
      </c>
      <c r="C67" s="4" t="s">
        <v>204</v>
      </c>
      <c r="D67" s="3">
        <v>1</v>
      </c>
      <c r="E67" s="3">
        <v>4</v>
      </c>
      <c r="F67" t="s">
        <v>1126</v>
      </c>
      <c r="G67"/>
      <c r="H67" t="s">
        <v>1134</v>
      </c>
      <c r="I67"/>
      <c r="J67" t="s">
        <v>1128</v>
      </c>
      <c r="K67"/>
      <c r="L67" t="s">
        <v>1129</v>
      </c>
      <c r="M67"/>
      <c r="N67" s="1" t="s">
        <v>1130</v>
      </c>
      <c r="O67" s="30" t="str">
        <f t="shared" si="0"/>
        <v>ana.neiva@renault.com;;andre.lorenzo@renault.com; eduardo.yochi@renault.com;;kelvin.ferrari@renault.com;;daniel.rodilha@renault.com;;felipe.santos@renault.com</v>
      </c>
    </row>
    <row r="68" spans="2:15">
      <c r="B68" s="2">
        <v>7600560</v>
      </c>
      <c r="C68" s="4" t="s">
        <v>101</v>
      </c>
      <c r="D68" s="3">
        <v>1</v>
      </c>
      <c r="E68" s="3">
        <v>3</v>
      </c>
      <c r="F68" t="s">
        <v>1126</v>
      </c>
      <c r="G68"/>
      <c r="H68" t="s">
        <v>1132</v>
      </c>
      <c r="I68"/>
      <c r="J68" t="s">
        <v>1128</v>
      </c>
      <c r="K68"/>
      <c r="L68" t="s">
        <v>1129</v>
      </c>
      <c r="M68"/>
      <c r="N68" s="1" t="s">
        <v>1130</v>
      </c>
      <c r="O68" s="30" t="str">
        <f t="shared" ref="O68:O124" si="1">F68&amp;";"&amp;G68&amp;";"&amp;H68&amp;";"&amp;I68&amp;";"&amp;J68&amp;";"&amp;K68&amp;";"&amp;L68&amp;";"&amp;M68&amp;";"&amp;N68</f>
        <v>ana.neiva@renault.com;;glauder.tasso@renault.com; eduardo.yochi@renault.com;;kelvin.ferrari@renault.com;;daniel.rodilha@renault.com;;felipe.santos@renault.com</v>
      </c>
    </row>
    <row r="69" spans="2:15">
      <c r="B69" s="2">
        <v>7600219</v>
      </c>
      <c r="C69" s="4" t="s">
        <v>108</v>
      </c>
      <c r="D69" s="3">
        <v>1</v>
      </c>
      <c r="E69" s="3">
        <v>3</v>
      </c>
      <c r="F69" t="s">
        <v>1126</v>
      </c>
      <c r="G69"/>
      <c r="H69" t="s">
        <v>1132</v>
      </c>
      <c r="I69"/>
      <c r="J69" t="s">
        <v>1128</v>
      </c>
      <c r="K69"/>
      <c r="L69" t="s">
        <v>1129</v>
      </c>
      <c r="M69"/>
      <c r="N69" s="1" t="s">
        <v>1130</v>
      </c>
      <c r="O69" s="30" t="str">
        <f t="shared" si="1"/>
        <v>ana.neiva@renault.com;;glauder.tasso@renault.com; eduardo.yochi@renault.com;;kelvin.ferrari@renault.com;;daniel.rodilha@renault.com;;felipe.santos@renault.com</v>
      </c>
    </row>
    <row r="70" spans="2:15">
      <c r="B70" s="2">
        <v>7600007</v>
      </c>
      <c r="C70" s="4" t="s">
        <v>111</v>
      </c>
      <c r="D70" s="3">
        <v>1</v>
      </c>
      <c r="E70" s="3">
        <v>3</v>
      </c>
      <c r="F70" t="s">
        <v>1126</v>
      </c>
      <c r="G70"/>
      <c r="H70" t="s">
        <v>1132</v>
      </c>
      <c r="I70"/>
      <c r="J70" t="s">
        <v>1128</v>
      </c>
      <c r="K70"/>
      <c r="L70" t="s">
        <v>1129</v>
      </c>
      <c r="M70"/>
      <c r="N70" s="1" t="s">
        <v>1130</v>
      </c>
      <c r="O70" s="30" t="str">
        <f t="shared" si="1"/>
        <v>ana.neiva@renault.com;;glauder.tasso@renault.com; eduardo.yochi@renault.com;;kelvin.ferrari@renault.com;;daniel.rodilha@renault.com;;felipe.santos@renault.com</v>
      </c>
    </row>
    <row r="71" spans="2:15">
      <c r="B71" s="2">
        <v>7600642</v>
      </c>
      <c r="C71" s="4" t="s">
        <v>114</v>
      </c>
      <c r="D71" s="3">
        <v>1</v>
      </c>
      <c r="E71" s="3">
        <v>3</v>
      </c>
      <c r="F71" t="s">
        <v>1126</v>
      </c>
      <c r="G71"/>
      <c r="H71" t="s">
        <v>1132</v>
      </c>
      <c r="I71"/>
      <c r="J71" t="s">
        <v>1128</v>
      </c>
      <c r="K71"/>
      <c r="L71" t="s">
        <v>1129</v>
      </c>
      <c r="M71"/>
      <c r="N71" s="1" t="s">
        <v>1130</v>
      </c>
      <c r="O71" s="30" t="str">
        <f t="shared" si="1"/>
        <v>ana.neiva@renault.com;;glauder.tasso@renault.com; eduardo.yochi@renault.com;;kelvin.ferrari@renault.com;;daniel.rodilha@renault.com;;felipe.santos@renault.com</v>
      </c>
    </row>
    <row r="72" spans="2:15">
      <c r="B72" s="2">
        <v>7600778</v>
      </c>
      <c r="C72" s="4" t="s">
        <v>117</v>
      </c>
      <c r="D72" s="3">
        <v>1</v>
      </c>
      <c r="E72" s="3">
        <v>3</v>
      </c>
      <c r="F72" t="s">
        <v>1126</v>
      </c>
      <c r="G72"/>
      <c r="H72" t="s">
        <v>1132</v>
      </c>
      <c r="I72"/>
      <c r="J72" t="s">
        <v>1128</v>
      </c>
      <c r="K72"/>
      <c r="L72" t="s">
        <v>1129</v>
      </c>
      <c r="M72"/>
      <c r="N72" s="1" t="s">
        <v>1130</v>
      </c>
      <c r="O72" s="30" t="str">
        <f t="shared" si="1"/>
        <v>ana.neiva@renault.com;;glauder.tasso@renault.com; eduardo.yochi@renault.com;;kelvin.ferrari@renault.com;;daniel.rodilha@renault.com;;felipe.santos@renault.com</v>
      </c>
    </row>
    <row r="73" spans="2:15">
      <c r="B73" s="2">
        <v>7601105</v>
      </c>
      <c r="C73" s="4" t="s">
        <v>294</v>
      </c>
      <c r="D73" s="3">
        <v>1</v>
      </c>
      <c r="E73" s="3">
        <v>1</v>
      </c>
      <c r="F73" t="s">
        <v>1126</v>
      </c>
      <c r="G73"/>
      <c r="H73" t="s">
        <v>1127</v>
      </c>
      <c r="I73"/>
      <c r="J73" t="s">
        <v>1128</v>
      </c>
      <c r="K73"/>
      <c r="L73" t="s">
        <v>1129</v>
      </c>
      <c r="M73"/>
      <c r="N73" s="1" t="s">
        <v>1130</v>
      </c>
      <c r="O73" s="30" t="str">
        <f t="shared" si="1"/>
        <v>ana.neiva@renault.com;;anderson.fabiani@renault.com ; douglas.da-silva@renault.com;;kelvin.ferrari@renault.com;;daniel.rodilha@renault.com;;felipe.santos@renault.com</v>
      </c>
    </row>
    <row r="74" spans="2:15">
      <c r="B74" s="2">
        <v>7601234</v>
      </c>
      <c r="C74" s="4" t="s">
        <v>287</v>
      </c>
      <c r="D74" s="3">
        <v>1</v>
      </c>
      <c r="E74" s="3">
        <v>1</v>
      </c>
      <c r="F74" t="s">
        <v>1126</v>
      </c>
      <c r="G74"/>
      <c r="H74" t="s">
        <v>1127</v>
      </c>
      <c r="I74"/>
      <c r="J74" t="s">
        <v>1128</v>
      </c>
      <c r="K74"/>
      <c r="L74" t="s">
        <v>1129</v>
      </c>
      <c r="M74"/>
      <c r="N74" s="1" t="s">
        <v>1130</v>
      </c>
      <c r="O74" s="30" t="str">
        <f t="shared" si="1"/>
        <v>ana.neiva@renault.com;;anderson.fabiani@renault.com ; douglas.da-silva@renault.com;;kelvin.ferrari@renault.com;;daniel.rodilha@renault.com;;felipe.santos@renault.com</v>
      </c>
    </row>
    <row r="75" spans="2:15">
      <c r="B75" s="2">
        <v>7600258</v>
      </c>
      <c r="C75" s="4" t="s">
        <v>303</v>
      </c>
      <c r="D75" s="3">
        <v>1</v>
      </c>
      <c r="E75" s="3">
        <v>2</v>
      </c>
      <c r="F75" t="s">
        <v>1126</v>
      </c>
      <c r="G75"/>
      <c r="H75" t="s">
        <v>1131</v>
      </c>
      <c r="I75"/>
      <c r="J75" t="s">
        <v>1128</v>
      </c>
      <c r="K75"/>
      <c r="L75" t="s">
        <v>1129</v>
      </c>
      <c r="M75"/>
      <c r="N75" s="1" t="s">
        <v>1130</v>
      </c>
      <c r="O75" s="30" t="str">
        <f t="shared" si="1"/>
        <v>ana.neiva@renault.com;;poliana.cochito@renault.com; douglas.da-silva@renault.com;;kelvin.ferrari@renault.com;;daniel.rodilha@renault.com;;felipe.santos@renault.com</v>
      </c>
    </row>
    <row r="76" spans="2:15">
      <c r="B76" s="2">
        <v>7600277</v>
      </c>
      <c r="C76" s="4" t="s">
        <v>310</v>
      </c>
      <c r="D76" s="3">
        <v>1</v>
      </c>
      <c r="E76" s="3">
        <v>2</v>
      </c>
      <c r="F76" t="s">
        <v>1126</v>
      </c>
      <c r="G76"/>
      <c r="H76" t="s">
        <v>1131</v>
      </c>
      <c r="I76"/>
      <c r="J76" t="s">
        <v>1128</v>
      </c>
      <c r="K76"/>
      <c r="L76" t="s">
        <v>1129</v>
      </c>
      <c r="M76"/>
      <c r="N76" s="1" t="s">
        <v>1130</v>
      </c>
      <c r="O76" s="30" t="str">
        <f t="shared" si="1"/>
        <v>ana.neiva@renault.com;;poliana.cochito@renault.com; douglas.da-silva@renault.com;;kelvin.ferrari@renault.com;;daniel.rodilha@renault.com;;felipe.santos@renault.com</v>
      </c>
    </row>
    <row r="77" spans="2:15">
      <c r="B77" s="2">
        <v>7600263</v>
      </c>
      <c r="C77" s="4" t="s">
        <v>313</v>
      </c>
      <c r="D77" s="3">
        <v>1</v>
      </c>
      <c r="E77" s="3">
        <v>2</v>
      </c>
      <c r="F77" t="s">
        <v>1126</v>
      </c>
      <c r="G77"/>
      <c r="H77" t="s">
        <v>1131</v>
      </c>
      <c r="I77"/>
      <c r="J77" t="s">
        <v>1128</v>
      </c>
      <c r="K77"/>
      <c r="L77" t="s">
        <v>1129</v>
      </c>
      <c r="M77"/>
      <c r="N77" s="1" t="s">
        <v>1130</v>
      </c>
      <c r="O77" s="30" t="str">
        <f t="shared" si="1"/>
        <v>ana.neiva@renault.com;;poliana.cochito@renault.com; douglas.da-silva@renault.com;;kelvin.ferrari@renault.com;;daniel.rodilha@renault.com;;felipe.santos@renault.com</v>
      </c>
    </row>
    <row r="78" spans="2:15">
      <c r="B78" s="2">
        <v>7600187</v>
      </c>
      <c r="C78" s="4" t="s">
        <v>507</v>
      </c>
      <c r="D78" s="3">
        <v>2</v>
      </c>
      <c r="E78" s="3">
        <v>4</v>
      </c>
      <c r="F78" t="s">
        <v>1135</v>
      </c>
      <c r="G78"/>
      <c r="H78" t="s">
        <v>1136</v>
      </c>
      <c r="I78"/>
      <c r="J78" s="1" t="s">
        <v>1137</v>
      </c>
      <c r="K78"/>
      <c r="L78" t="s">
        <v>1138</v>
      </c>
      <c r="M78"/>
      <c r="N78" s="1" t="s">
        <v>1130</v>
      </c>
      <c r="O78" s="30" t="str">
        <f t="shared" si="1"/>
        <v>rui.borcath@renault.com;;suzana.muller@renault.com; karine.k.dinardi@renault.com ;;luiz.pereira@renault.com ;;lourenco.back-brito@renault.com;;felipe.santos@renault.com</v>
      </c>
    </row>
    <row r="79" spans="2:15">
      <c r="B79" s="2">
        <v>7600152</v>
      </c>
      <c r="C79" s="4" t="s">
        <v>514</v>
      </c>
      <c r="D79" s="3">
        <v>2</v>
      </c>
      <c r="E79" s="3">
        <v>4</v>
      </c>
      <c r="F79" t="s">
        <v>1135</v>
      </c>
      <c r="G79"/>
      <c r="H79" t="s">
        <v>1136</v>
      </c>
      <c r="I79"/>
      <c r="J79" s="1" t="s">
        <v>1137</v>
      </c>
      <c r="K79"/>
      <c r="L79" t="s">
        <v>1138</v>
      </c>
      <c r="M79"/>
      <c r="N79" s="1" t="s">
        <v>1130</v>
      </c>
      <c r="O79" s="30" t="str">
        <f t="shared" si="1"/>
        <v>rui.borcath@renault.com;;suzana.muller@renault.com; karine.k.dinardi@renault.com ;;luiz.pereira@renault.com ;;lourenco.back-brito@renault.com;;felipe.santos@renault.com</v>
      </c>
    </row>
    <row r="80" spans="2:15">
      <c r="B80" s="2">
        <v>7600566</v>
      </c>
      <c r="C80" s="4" t="s">
        <v>521</v>
      </c>
      <c r="D80" s="3">
        <v>2</v>
      </c>
      <c r="E80" s="3">
        <v>4</v>
      </c>
      <c r="F80" t="s">
        <v>1135</v>
      </c>
      <c r="G80"/>
      <c r="H80" t="s">
        <v>1136</v>
      </c>
      <c r="I80"/>
      <c r="J80" s="1" t="s">
        <v>1137</v>
      </c>
      <c r="K80"/>
      <c r="L80" t="s">
        <v>1138</v>
      </c>
      <c r="M80"/>
      <c r="N80" s="1" t="s">
        <v>1130</v>
      </c>
      <c r="O80" s="30" t="str">
        <f t="shared" si="1"/>
        <v>rui.borcath@renault.com;;suzana.muller@renault.com; karine.k.dinardi@renault.com ;;luiz.pereira@renault.com ;;lourenco.back-brito@renault.com;;felipe.santos@renault.com</v>
      </c>
    </row>
    <row r="81" spans="2:15">
      <c r="B81" s="2">
        <v>7600353</v>
      </c>
      <c r="C81" s="4" t="s">
        <v>526</v>
      </c>
      <c r="D81" s="3">
        <v>2</v>
      </c>
      <c r="E81" s="3">
        <v>4</v>
      </c>
      <c r="F81" t="s">
        <v>1135</v>
      </c>
      <c r="G81"/>
      <c r="H81" t="s">
        <v>1136</v>
      </c>
      <c r="I81"/>
      <c r="J81" s="1" t="s">
        <v>1137</v>
      </c>
      <c r="K81"/>
      <c r="L81" t="s">
        <v>1138</v>
      </c>
      <c r="M81"/>
      <c r="N81" s="1" t="s">
        <v>1130</v>
      </c>
      <c r="O81" s="30" t="str">
        <f t="shared" si="1"/>
        <v>rui.borcath@renault.com;;suzana.muller@renault.com; karine.k.dinardi@renault.com ;;luiz.pereira@renault.com ;;lourenco.back-brito@renault.com;;felipe.santos@renault.com</v>
      </c>
    </row>
    <row r="82" spans="2:15">
      <c r="B82" s="2">
        <v>7600604</v>
      </c>
      <c r="C82" s="4" t="s">
        <v>530</v>
      </c>
      <c r="D82" s="3">
        <v>2</v>
      </c>
      <c r="E82" s="3">
        <v>1</v>
      </c>
      <c r="F82" t="s">
        <v>1135</v>
      </c>
      <c r="G82"/>
      <c r="H82" t="s">
        <v>1139</v>
      </c>
      <c r="I82"/>
      <c r="J82" s="1" t="s">
        <v>1137</v>
      </c>
      <c r="K82"/>
      <c r="L82" t="s">
        <v>1138</v>
      </c>
      <c r="M82"/>
      <c r="N82" s="1" t="s">
        <v>1130</v>
      </c>
      <c r="O82" s="30" t="str">
        <f t="shared" si="1"/>
        <v>rui.borcath@renault.com;;hebert.lourenco@renault.com; karine.k.dinardi@renault.com ;;luiz.pereira@renault.com ;;lourenco.back-brito@renault.com;;felipe.santos@renault.com</v>
      </c>
    </row>
    <row r="83" spans="2:15">
      <c r="B83" s="2">
        <v>7600108</v>
      </c>
      <c r="C83" s="4" t="s">
        <v>535</v>
      </c>
      <c r="D83" s="3">
        <v>2</v>
      </c>
      <c r="E83" s="3">
        <v>1</v>
      </c>
      <c r="F83" t="s">
        <v>1135</v>
      </c>
      <c r="G83"/>
      <c r="H83" t="s">
        <v>1139</v>
      </c>
      <c r="I83"/>
      <c r="J83" s="1" t="s">
        <v>1137</v>
      </c>
      <c r="K83"/>
      <c r="L83" t="s">
        <v>1138</v>
      </c>
      <c r="M83"/>
      <c r="N83" s="1" t="s">
        <v>1130</v>
      </c>
      <c r="O83" s="30" t="str">
        <f t="shared" si="1"/>
        <v>rui.borcath@renault.com;;hebert.lourenco@renault.com; karine.k.dinardi@renault.com ;;luiz.pereira@renault.com ;;lourenco.back-brito@renault.com;;felipe.santos@renault.com</v>
      </c>
    </row>
    <row r="84" spans="2:15">
      <c r="B84" s="2">
        <v>7601097</v>
      </c>
      <c r="C84" s="4" t="s">
        <v>579</v>
      </c>
      <c r="D84" s="3">
        <v>2</v>
      </c>
      <c r="E84" s="3">
        <v>1</v>
      </c>
      <c r="F84" t="s">
        <v>1135</v>
      </c>
      <c r="G84"/>
      <c r="H84" t="s">
        <v>1140</v>
      </c>
      <c r="I84"/>
      <c r="J84" s="1" t="s">
        <v>1137</v>
      </c>
      <c r="K84"/>
      <c r="L84" t="s">
        <v>1138</v>
      </c>
      <c r="M84"/>
      <c r="N84" s="1" t="s">
        <v>1130</v>
      </c>
      <c r="O84" s="30" t="str">
        <f t="shared" si="1"/>
        <v>rui.borcath@renault.com;;rafael.anselmo-extern@renault.com; rafael.anselmo-extern@renault.com;;luiz.pereira@renault.com ;;lourenco.back-brito@renault.com;;felipe.santos@renault.com</v>
      </c>
    </row>
    <row r="85" spans="2:15">
      <c r="B85" s="2">
        <v>7600992</v>
      </c>
      <c r="C85" s="4" t="s">
        <v>568</v>
      </c>
      <c r="D85" s="3">
        <v>2</v>
      </c>
      <c r="E85" s="3">
        <v>1</v>
      </c>
      <c r="F85" t="s">
        <v>1135</v>
      </c>
      <c r="G85"/>
      <c r="H85" t="s">
        <v>1141</v>
      </c>
      <c r="I85"/>
      <c r="J85" s="1" t="s">
        <v>1137</v>
      </c>
      <c r="K85"/>
      <c r="L85" t="s">
        <v>1138</v>
      </c>
      <c r="M85"/>
      <c r="N85" s="1" t="s">
        <v>1130</v>
      </c>
      <c r="O85" s="30" t="str">
        <f t="shared" si="1"/>
        <v>rui.borcath@renault.com;;hebert.lourenco@renault.com; carolina.santos@renault.com;;luiz.pereira@renault.com ;;lourenco.back-brito@renault.com;;felipe.santos@renault.com</v>
      </c>
    </row>
    <row r="86" spans="2:15">
      <c r="B86" s="2">
        <v>7600973</v>
      </c>
      <c r="C86" s="4" t="s">
        <v>574</v>
      </c>
      <c r="D86" s="3">
        <v>2</v>
      </c>
      <c r="E86" s="3">
        <v>1</v>
      </c>
      <c r="F86" t="s">
        <v>1135</v>
      </c>
      <c r="G86"/>
      <c r="H86" t="s">
        <v>1141</v>
      </c>
      <c r="I86"/>
      <c r="J86" s="1" t="s">
        <v>1137</v>
      </c>
      <c r="K86"/>
      <c r="L86" t="s">
        <v>1138</v>
      </c>
      <c r="M86"/>
      <c r="N86" s="1" t="s">
        <v>1130</v>
      </c>
      <c r="O86" s="30" t="str">
        <f t="shared" si="1"/>
        <v>rui.borcath@renault.com;;hebert.lourenco@renault.com; carolina.santos@renault.com;;luiz.pereira@renault.com ;;lourenco.back-brito@renault.com;;felipe.santos@renault.com</v>
      </c>
    </row>
    <row r="87" spans="2:15">
      <c r="B87" s="2">
        <v>7601165</v>
      </c>
      <c r="C87" s="4" t="s">
        <v>316</v>
      </c>
      <c r="D87" s="3">
        <v>2</v>
      </c>
      <c r="E87" s="3">
        <v>2</v>
      </c>
      <c r="F87" t="s">
        <v>1135</v>
      </c>
      <c r="G87"/>
      <c r="H87" t="s">
        <v>1142</v>
      </c>
      <c r="I87"/>
      <c r="J87" s="1" t="s">
        <v>1137</v>
      </c>
      <c r="K87"/>
      <c r="L87" t="s">
        <v>1138</v>
      </c>
      <c r="M87"/>
      <c r="N87" s="1" t="s">
        <v>1130</v>
      </c>
      <c r="O87" s="30" t="str">
        <f t="shared" si="1"/>
        <v>rui.borcath@renault.com;; mariana.fonseca@renault.com ; carolina.santos@renault.com;;luiz.pereira@renault.com ;;lourenco.back-brito@renault.com;;felipe.santos@renault.com</v>
      </c>
    </row>
    <row r="88" spans="2:15">
      <c r="B88" s="2">
        <v>7601062</v>
      </c>
      <c r="C88" s="4" t="s">
        <v>322</v>
      </c>
      <c r="D88" s="3">
        <v>2</v>
      </c>
      <c r="E88" s="3">
        <v>2</v>
      </c>
      <c r="F88" t="s">
        <v>1135</v>
      </c>
      <c r="G88"/>
      <c r="H88" t="s">
        <v>1142</v>
      </c>
      <c r="I88"/>
      <c r="J88" s="1" t="s">
        <v>1137</v>
      </c>
      <c r="K88"/>
      <c r="L88" t="s">
        <v>1138</v>
      </c>
      <c r="M88"/>
      <c r="N88" s="1" t="s">
        <v>1130</v>
      </c>
      <c r="O88" s="30" t="str">
        <f t="shared" si="1"/>
        <v>rui.borcath@renault.com;; mariana.fonseca@renault.com ; carolina.santos@renault.com;;luiz.pereira@renault.com ;;lourenco.back-brito@renault.com;;felipe.santos@renault.com</v>
      </c>
    </row>
    <row r="89" spans="2:15">
      <c r="B89" s="2">
        <v>7600449</v>
      </c>
      <c r="C89" s="4" t="s">
        <v>325</v>
      </c>
      <c r="D89" s="3">
        <v>2</v>
      </c>
      <c r="E89" s="3">
        <v>3</v>
      </c>
      <c r="F89" t="s">
        <v>1135</v>
      </c>
      <c r="G89"/>
      <c r="H89" t="s">
        <v>1143</v>
      </c>
      <c r="I89"/>
      <c r="J89" s="1" t="s">
        <v>1137</v>
      </c>
      <c r="K89"/>
      <c r="L89" t="s">
        <v>1138</v>
      </c>
      <c r="M89"/>
      <c r="N89" s="1" t="s">
        <v>1130</v>
      </c>
      <c r="O89" s="30" t="str">
        <f t="shared" si="1"/>
        <v>rui.borcath@renault.com;;rennan.alves@renault.com; carolina.santos@renault.com;;luiz.pereira@renault.com ;;lourenco.back-brito@renault.com;;felipe.santos@renault.com</v>
      </c>
    </row>
    <row r="90" spans="2:15">
      <c r="B90" s="2">
        <v>7601112</v>
      </c>
      <c r="C90" s="4" t="s">
        <v>339</v>
      </c>
      <c r="D90" s="3">
        <v>2</v>
      </c>
      <c r="E90" s="3">
        <v>3</v>
      </c>
      <c r="F90" t="s">
        <v>1135</v>
      </c>
      <c r="G90"/>
      <c r="H90" t="s">
        <v>1143</v>
      </c>
      <c r="I90"/>
      <c r="J90" s="1" t="s">
        <v>1137</v>
      </c>
      <c r="K90"/>
      <c r="L90" t="s">
        <v>1138</v>
      </c>
      <c r="M90"/>
      <c r="N90" s="1" t="s">
        <v>1130</v>
      </c>
      <c r="O90" s="30" t="str">
        <f t="shared" si="1"/>
        <v>rui.borcath@renault.com;;rennan.alves@renault.com; carolina.santos@renault.com;;luiz.pereira@renault.com ;;lourenco.back-brito@renault.com;;felipe.santos@renault.com</v>
      </c>
    </row>
    <row r="91" spans="2:15">
      <c r="B91" s="2">
        <v>7600550</v>
      </c>
      <c r="C91" s="4" t="s">
        <v>342</v>
      </c>
      <c r="D91" s="3">
        <v>2</v>
      </c>
      <c r="E91" s="3">
        <v>3</v>
      </c>
      <c r="F91" t="s">
        <v>1135</v>
      </c>
      <c r="G91"/>
      <c r="H91" t="s">
        <v>1143</v>
      </c>
      <c r="I91"/>
      <c r="J91" s="1" t="s">
        <v>1137</v>
      </c>
      <c r="K91"/>
      <c r="L91" t="s">
        <v>1138</v>
      </c>
      <c r="M91"/>
      <c r="N91" s="1" t="s">
        <v>1130</v>
      </c>
      <c r="O91" s="30" t="str">
        <f t="shared" si="1"/>
        <v>rui.borcath@renault.com;;rennan.alves@renault.com; carolina.santos@renault.com;;luiz.pereira@renault.com ;;lourenco.back-brito@renault.com;;felipe.santos@renault.com</v>
      </c>
    </row>
    <row r="92" spans="2:15">
      <c r="B92" s="2">
        <v>7600610</v>
      </c>
      <c r="C92" s="4" t="s">
        <v>345</v>
      </c>
      <c r="D92" s="3">
        <v>2</v>
      </c>
      <c r="E92" s="3">
        <v>3</v>
      </c>
      <c r="F92" t="s">
        <v>1135</v>
      </c>
      <c r="G92"/>
      <c r="H92" t="s">
        <v>1143</v>
      </c>
      <c r="I92"/>
      <c r="J92" s="1" t="s">
        <v>1137</v>
      </c>
      <c r="K92"/>
      <c r="L92" t="s">
        <v>1138</v>
      </c>
      <c r="M92"/>
      <c r="N92" s="1" t="s">
        <v>1130</v>
      </c>
      <c r="O92" s="30" t="str">
        <f t="shared" si="1"/>
        <v>rui.borcath@renault.com;;rennan.alves@renault.com; carolina.santos@renault.com;;luiz.pereira@renault.com ;;lourenco.back-brito@renault.com;;felipe.santos@renault.com</v>
      </c>
    </row>
    <row r="93" spans="2:15">
      <c r="B93" s="2">
        <v>7600382</v>
      </c>
      <c r="C93" s="4" t="s">
        <v>348</v>
      </c>
      <c r="D93" s="3">
        <v>2</v>
      </c>
      <c r="E93" s="3">
        <v>3</v>
      </c>
      <c r="F93" t="s">
        <v>1135</v>
      </c>
      <c r="G93"/>
      <c r="H93" t="s">
        <v>1143</v>
      </c>
      <c r="I93"/>
      <c r="J93" s="1" t="s">
        <v>1137</v>
      </c>
      <c r="K93"/>
      <c r="L93" t="s">
        <v>1138</v>
      </c>
      <c r="M93"/>
      <c r="N93" s="1" t="s">
        <v>1130</v>
      </c>
      <c r="O93" s="30" t="str">
        <f t="shared" si="1"/>
        <v>rui.borcath@renault.com;;rennan.alves@renault.com; carolina.santos@renault.com;;luiz.pereira@renault.com ;;lourenco.back-brito@renault.com;;felipe.santos@renault.com</v>
      </c>
    </row>
    <row r="94" spans="2:15">
      <c r="B94" s="2">
        <v>7601235</v>
      </c>
      <c r="C94" s="4" t="s">
        <v>335</v>
      </c>
      <c r="D94" s="3">
        <v>2</v>
      </c>
      <c r="E94" s="3">
        <v>3</v>
      </c>
      <c r="F94" t="s">
        <v>1135</v>
      </c>
      <c r="G94"/>
      <c r="H94" t="s">
        <v>1143</v>
      </c>
      <c r="I94"/>
      <c r="J94" s="1" t="s">
        <v>1137</v>
      </c>
      <c r="K94"/>
      <c r="L94" t="s">
        <v>1138</v>
      </c>
      <c r="M94"/>
      <c r="N94" s="1" t="s">
        <v>1130</v>
      </c>
      <c r="O94" s="30" t="str">
        <f t="shared" si="1"/>
        <v>rui.borcath@renault.com;;rennan.alves@renault.com; carolina.santos@renault.com;;luiz.pereira@renault.com ;;lourenco.back-brito@renault.com;;felipe.santos@renault.com</v>
      </c>
    </row>
    <row r="95" spans="2:15">
      <c r="B95" s="2">
        <v>7601236</v>
      </c>
      <c r="C95" s="4" t="s">
        <v>331</v>
      </c>
      <c r="D95" s="3">
        <v>2</v>
      </c>
      <c r="E95" s="3">
        <v>3</v>
      </c>
      <c r="F95" t="s">
        <v>1135</v>
      </c>
      <c r="G95"/>
      <c r="H95" t="s">
        <v>1143</v>
      </c>
      <c r="I95"/>
      <c r="J95" s="1" t="s">
        <v>1137</v>
      </c>
      <c r="K95"/>
      <c r="L95" t="s">
        <v>1138</v>
      </c>
      <c r="M95"/>
      <c r="N95" s="1" t="s">
        <v>1130</v>
      </c>
      <c r="O95" s="30" t="str">
        <f t="shared" si="1"/>
        <v>rui.borcath@renault.com;;rennan.alves@renault.com; carolina.santos@renault.com;;luiz.pereira@renault.com ;;lourenco.back-brito@renault.com;;felipe.santos@renault.com</v>
      </c>
    </row>
    <row r="96" spans="2:15">
      <c r="B96" s="2">
        <v>7600446</v>
      </c>
      <c r="C96" s="4" t="s">
        <v>352</v>
      </c>
      <c r="D96" s="3">
        <v>2</v>
      </c>
      <c r="E96" s="3">
        <v>3</v>
      </c>
      <c r="F96" t="s">
        <v>1135</v>
      </c>
      <c r="G96"/>
      <c r="H96" t="s">
        <v>1144</v>
      </c>
      <c r="I96"/>
      <c r="J96" s="1" t="s">
        <v>1137</v>
      </c>
      <c r="K96"/>
      <c r="L96" t="s">
        <v>1138</v>
      </c>
      <c r="M96"/>
      <c r="N96" s="1" t="s">
        <v>1130</v>
      </c>
      <c r="O96" s="30" t="str">
        <f t="shared" si="1"/>
        <v>rui.borcath@renault.com;;rennan.alves@renault.com; karine.k.dinardi@renault.com ;;luiz.pereira@renault.com ;;lourenco.back-brito@renault.com;;felipe.santos@renault.com</v>
      </c>
    </row>
    <row r="97" spans="2:15">
      <c r="B97" s="2">
        <v>7600691</v>
      </c>
      <c r="C97" s="4" t="s">
        <v>359</v>
      </c>
      <c r="D97" s="3">
        <v>2</v>
      </c>
      <c r="E97" s="3">
        <v>3</v>
      </c>
      <c r="F97" t="s">
        <v>1135</v>
      </c>
      <c r="G97"/>
      <c r="H97" t="s">
        <v>1144</v>
      </c>
      <c r="I97"/>
      <c r="J97" s="1" t="s">
        <v>1137</v>
      </c>
      <c r="K97"/>
      <c r="L97" t="s">
        <v>1138</v>
      </c>
      <c r="M97"/>
      <c r="N97" s="1" t="s">
        <v>1130</v>
      </c>
      <c r="O97" s="30" t="str">
        <f t="shared" si="1"/>
        <v>rui.borcath@renault.com;;rennan.alves@renault.com; karine.k.dinardi@renault.com ;;luiz.pereira@renault.com ;;lourenco.back-brito@renault.com;;felipe.santos@renault.com</v>
      </c>
    </row>
    <row r="98" spans="2:15">
      <c r="B98" s="2">
        <v>7600440</v>
      </c>
      <c r="C98" s="4" t="s">
        <v>363</v>
      </c>
      <c r="D98" s="3">
        <v>2</v>
      </c>
      <c r="E98" s="3">
        <v>3</v>
      </c>
      <c r="F98" t="s">
        <v>1135</v>
      </c>
      <c r="G98"/>
      <c r="H98" t="s">
        <v>1144</v>
      </c>
      <c r="I98"/>
      <c r="J98" s="1" t="s">
        <v>1137</v>
      </c>
      <c r="K98"/>
      <c r="L98" t="s">
        <v>1138</v>
      </c>
      <c r="M98"/>
      <c r="N98" s="1" t="s">
        <v>1130</v>
      </c>
      <c r="O98" s="30" t="str">
        <f t="shared" si="1"/>
        <v>rui.borcath@renault.com;;rennan.alves@renault.com; karine.k.dinardi@renault.com ;;luiz.pereira@renault.com ;;lourenco.back-brito@renault.com;;felipe.santos@renault.com</v>
      </c>
    </row>
    <row r="99" spans="2:15">
      <c r="B99" s="2">
        <v>7600598</v>
      </c>
      <c r="C99" s="4" t="s">
        <v>367</v>
      </c>
      <c r="D99" s="3">
        <v>2</v>
      </c>
      <c r="E99" s="3">
        <v>3</v>
      </c>
      <c r="F99" t="s">
        <v>1135</v>
      </c>
      <c r="G99"/>
      <c r="H99" t="s">
        <v>1144</v>
      </c>
      <c r="I99"/>
      <c r="J99" s="1" t="s">
        <v>1137</v>
      </c>
      <c r="K99"/>
      <c r="L99" t="s">
        <v>1138</v>
      </c>
      <c r="M99"/>
      <c r="N99" s="1" t="s">
        <v>1130</v>
      </c>
      <c r="O99" s="30" t="str">
        <f t="shared" si="1"/>
        <v>rui.borcath@renault.com;;rennan.alves@renault.com; karine.k.dinardi@renault.com ;;luiz.pereira@renault.com ;;lourenco.back-brito@renault.com;;felipe.santos@renault.com</v>
      </c>
    </row>
    <row r="100" spans="2:15">
      <c r="B100" s="2">
        <v>7600824</v>
      </c>
      <c r="C100" s="4" t="s">
        <v>475</v>
      </c>
      <c r="D100" s="3">
        <v>2</v>
      </c>
      <c r="E100" s="3">
        <v>1</v>
      </c>
      <c r="F100" t="s">
        <v>1135</v>
      </c>
      <c r="G100"/>
      <c r="H100" t="s">
        <v>1140</v>
      </c>
      <c r="I100"/>
      <c r="J100" s="1" t="s">
        <v>1137</v>
      </c>
      <c r="K100"/>
      <c r="L100" t="s">
        <v>1138</v>
      </c>
      <c r="M100"/>
      <c r="N100" s="1" t="s">
        <v>1130</v>
      </c>
      <c r="O100" s="30" t="str">
        <f t="shared" si="1"/>
        <v>rui.borcath@renault.com;;rafael.anselmo-extern@renault.com; rafael.anselmo-extern@renault.com;;luiz.pereira@renault.com ;;lourenco.back-brito@renault.com;;felipe.santos@renault.com</v>
      </c>
    </row>
    <row r="101" spans="2:15">
      <c r="B101" s="2">
        <v>7601151</v>
      </c>
      <c r="C101" s="4" t="s">
        <v>487</v>
      </c>
      <c r="D101" s="3">
        <v>2</v>
      </c>
      <c r="E101" s="3">
        <v>1</v>
      </c>
      <c r="F101" t="s">
        <v>1135</v>
      </c>
      <c r="G101"/>
      <c r="H101" t="s">
        <v>1140</v>
      </c>
      <c r="I101"/>
      <c r="J101" s="1" t="s">
        <v>1137</v>
      </c>
      <c r="K101"/>
      <c r="L101" t="s">
        <v>1138</v>
      </c>
      <c r="M101"/>
      <c r="N101" s="1" t="s">
        <v>1130</v>
      </c>
      <c r="O101" s="30" t="str">
        <f t="shared" si="1"/>
        <v>rui.borcath@renault.com;;rafael.anselmo-extern@renault.com; rafael.anselmo-extern@renault.com;;luiz.pereira@renault.com ;;lourenco.back-brito@renault.com;;felipe.santos@renault.com</v>
      </c>
    </row>
    <row r="102" spans="2:15">
      <c r="B102" s="2">
        <v>7600932</v>
      </c>
      <c r="C102" s="4" t="s">
        <v>494</v>
      </c>
      <c r="D102" s="3">
        <v>2</v>
      </c>
      <c r="E102" s="3">
        <v>1</v>
      </c>
      <c r="F102" t="s">
        <v>1135</v>
      </c>
      <c r="G102"/>
      <c r="H102" t="s">
        <v>1140</v>
      </c>
      <c r="I102"/>
      <c r="J102" s="1" t="s">
        <v>1137</v>
      </c>
      <c r="K102"/>
      <c r="L102" t="s">
        <v>1138</v>
      </c>
      <c r="M102"/>
      <c r="N102" s="1" t="s">
        <v>1130</v>
      </c>
      <c r="O102" s="30" t="str">
        <f t="shared" si="1"/>
        <v>rui.borcath@renault.com;;rafael.anselmo-extern@renault.com; rafael.anselmo-extern@renault.com;;luiz.pereira@renault.com ;;lourenco.back-brito@renault.com;;felipe.santos@renault.com</v>
      </c>
    </row>
    <row r="103" spans="2:15">
      <c r="B103" s="2">
        <v>7601219</v>
      </c>
      <c r="C103" s="4" t="s">
        <v>497</v>
      </c>
      <c r="D103" s="3">
        <v>2</v>
      </c>
      <c r="E103" s="3">
        <v>1</v>
      </c>
      <c r="F103" t="s">
        <v>1135</v>
      </c>
      <c r="G103"/>
      <c r="H103" t="s">
        <v>1140</v>
      </c>
      <c r="I103"/>
      <c r="J103" s="1" t="s">
        <v>1137</v>
      </c>
      <c r="K103"/>
      <c r="L103" t="s">
        <v>1138</v>
      </c>
      <c r="M103"/>
      <c r="N103" s="1" t="s">
        <v>1130</v>
      </c>
      <c r="O103" s="30" t="str">
        <f t="shared" si="1"/>
        <v>rui.borcath@renault.com;;rafael.anselmo-extern@renault.com; rafael.anselmo-extern@renault.com;;luiz.pereira@renault.com ;;lourenco.back-brito@renault.com;;felipe.santos@renault.com</v>
      </c>
    </row>
    <row r="104" spans="2:15">
      <c r="B104" s="2">
        <v>7601087</v>
      </c>
      <c r="C104" s="4" t="s">
        <v>538</v>
      </c>
      <c r="D104" s="3">
        <v>2</v>
      </c>
      <c r="E104" s="3">
        <v>1</v>
      </c>
      <c r="F104" t="s">
        <v>1135</v>
      </c>
      <c r="G104"/>
      <c r="H104" t="s">
        <v>1140</v>
      </c>
      <c r="I104"/>
      <c r="J104" s="1" t="s">
        <v>1137</v>
      </c>
      <c r="K104"/>
      <c r="L104" t="s">
        <v>1138</v>
      </c>
      <c r="M104"/>
      <c r="N104" s="1" t="s">
        <v>1130</v>
      </c>
      <c r="O104" s="30" t="str">
        <f t="shared" si="1"/>
        <v>rui.borcath@renault.com;;rafael.anselmo-extern@renault.com; rafael.anselmo-extern@renault.com;;luiz.pereira@renault.com ;;lourenco.back-brito@renault.com;;felipe.santos@renault.com</v>
      </c>
    </row>
    <row r="105" spans="2:15">
      <c r="B105" s="2">
        <v>7601141</v>
      </c>
      <c r="C105" s="4" t="s">
        <v>549</v>
      </c>
      <c r="D105" s="3">
        <v>2</v>
      </c>
      <c r="E105" s="3">
        <v>2</v>
      </c>
      <c r="F105" t="s">
        <v>1135</v>
      </c>
      <c r="G105"/>
      <c r="H105" t="s">
        <v>1145</v>
      </c>
      <c r="I105"/>
      <c r="J105" s="1" t="s">
        <v>1137</v>
      </c>
      <c r="K105"/>
      <c r="L105" t="s">
        <v>1138</v>
      </c>
      <c r="M105"/>
      <c r="N105" s="1" t="s">
        <v>1130</v>
      </c>
      <c r="O105" s="30" t="str">
        <f t="shared" si="1"/>
        <v>rui.borcath@renault.com;; mariana.fonseca@renault.com ; karine.k.dinardi@renault.com ;;luiz.pereira@renault.com ;;lourenco.back-brito@renault.com;;felipe.santos@renault.com</v>
      </c>
    </row>
    <row r="106" spans="2:15">
      <c r="B106" s="2">
        <v>7600075</v>
      </c>
      <c r="C106" s="4" t="s">
        <v>556</v>
      </c>
      <c r="D106" s="3">
        <v>2</v>
      </c>
      <c r="E106" s="3">
        <v>2</v>
      </c>
      <c r="F106" t="s">
        <v>1135</v>
      </c>
      <c r="G106"/>
      <c r="H106" t="s">
        <v>1145</v>
      </c>
      <c r="I106"/>
      <c r="J106" s="1" t="s">
        <v>1137</v>
      </c>
      <c r="K106"/>
      <c r="L106" t="s">
        <v>1138</v>
      </c>
      <c r="M106"/>
      <c r="N106" s="1" t="s">
        <v>1130</v>
      </c>
      <c r="O106" s="30" t="str">
        <f t="shared" si="1"/>
        <v>rui.borcath@renault.com;; mariana.fonseca@renault.com ; karine.k.dinardi@renault.com ;;luiz.pereira@renault.com ;;lourenco.back-brito@renault.com;;felipe.santos@renault.com</v>
      </c>
    </row>
    <row r="107" spans="2:15">
      <c r="B107" s="2">
        <v>7600383</v>
      </c>
      <c r="C107" s="4" t="s">
        <v>559</v>
      </c>
      <c r="D107" s="3">
        <v>2</v>
      </c>
      <c r="E107" s="3">
        <v>2</v>
      </c>
      <c r="F107" t="s">
        <v>1135</v>
      </c>
      <c r="G107"/>
      <c r="H107" t="s">
        <v>1145</v>
      </c>
      <c r="I107"/>
      <c r="J107" s="1" t="s">
        <v>1137</v>
      </c>
      <c r="K107"/>
      <c r="L107" t="s">
        <v>1138</v>
      </c>
      <c r="M107"/>
      <c r="N107" s="1" t="s">
        <v>1130</v>
      </c>
      <c r="O107" s="30" t="str">
        <f t="shared" si="1"/>
        <v>rui.borcath@renault.com;; mariana.fonseca@renault.com ; karine.k.dinardi@renault.com ;;luiz.pereira@renault.com ;;lourenco.back-brito@renault.com;;felipe.santos@renault.com</v>
      </c>
    </row>
    <row r="108" spans="2:15">
      <c r="B108" s="2">
        <v>7600156</v>
      </c>
      <c r="C108" s="4" t="s">
        <v>562</v>
      </c>
      <c r="D108" s="3">
        <v>2</v>
      </c>
      <c r="E108" s="3">
        <v>2</v>
      </c>
      <c r="F108" t="s">
        <v>1135</v>
      </c>
      <c r="G108"/>
      <c r="H108" t="s">
        <v>1145</v>
      </c>
      <c r="I108"/>
      <c r="J108" s="1" t="s">
        <v>1137</v>
      </c>
      <c r="K108"/>
      <c r="L108" t="s">
        <v>1138</v>
      </c>
      <c r="M108"/>
      <c r="N108" s="1" t="s">
        <v>1130</v>
      </c>
      <c r="O108" s="30" t="str">
        <f t="shared" si="1"/>
        <v>rui.borcath@renault.com;; mariana.fonseca@renault.com ; karine.k.dinardi@renault.com ;;luiz.pereira@renault.com ;;lourenco.back-brito@renault.com;;felipe.santos@renault.com</v>
      </c>
    </row>
    <row r="109" spans="2:15">
      <c r="B109" s="2">
        <v>7600608</v>
      </c>
      <c r="C109" s="4" t="s">
        <v>565</v>
      </c>
      <c r="D109" s="3">
        <v>2</v>
      </c>
      <c r="E109" s="3">
        <v>2</v>
      </c>
      <c r="F109" t="s">
        <v>1135</v>
      </c>
      <c r="G109"/>
      <c r="H109" t="s">
        <v>1145</v>
      </c>
      <c r="I109"/>
      <c r="J109" s="1" t="s">
        <v>1137</v>
      </c>
      <c r="K109"/>
      <c r="L109" t="s">
        <v>1138</v>
      </c>
      <c r="M109"/>
      <c r="N109" s="1" t="s">
        <v>1130</v>
      </c>
      <c r="O109" s="30" t="str">
        <f t="shared" si="1"/>
        <v>rui.borcath@renault.com;; mariana.fonseca@renault.com ; karine.k.dinardi@renault.com ;;luiz.pereira@renault.com ;;lourenco.back-brito@renault.com;;felipe.santos@renault.com</v>
      </c>
    </row>
    <row r="110" spans="2:15">
      <c r="B110" s="2">
        <v>7601110</v>
      </c>
      <c r="C110" s="4" t="s">
        <v>376</v>
      </c>
      <c r="D110" s="3">
        <v>2</v>
      </c>
      <c r="E110" s="3">
        <v>4</v>
      </c>
      <c r="F110" t="s">
        <v>1135</v>
      </c>
      <c r="G110"/>
      <c r="H110" t="s">
        <v>1136</v>
      </c>
      <c r="I110"/>
      <c r="J110" s="1" t="s">
        <v>1137</v>
      </c>
      <c r="K110"/>
      <c r="L110" t="s">
        <v>1138</v>
      </c>
      <c r="M110"/>
      <c r="N110" s="1" t="s">
        <v>1130</v>
      </c>
      <c r="O110" s="30" t="str">
        <f t="shared" si="1"/>
        <v>rui.borcath@renault.com;;suzana.muller@renault.com; karine.k.dinardi@renault.com ;;luiz.pereira@renault.com ;;lourenco.back-brito@renault.com;;felipe.santos@renault.com</v>
      </c>
    </row>
    <row r="111" spans="2:15">
      <c r="B111" s="2">
        <v>7600895</v>
      </c>
      <c r="C111" s="4" t="s">
        <v>383</v>
      </c>
      <c r="D111" s="3">
        <v>2</v>
      </c>
      <c r="E111" s="3">
        <v>4</v>
      </c>
      <c r="F111" t="s">
        <v>1135</v>
      </c>
      <c r="G111"/>
      <c r="H111" t="s">
        <v>1136</v>
      </c>
      <c r="I111"/>
      <c r="J111" s="1" t="s">
        <v>1137</v>
      </c>
      <c r="K111"/>
      <c r="L111" t="s">
        <v>1138</v>
      </c>
      <c r="M111"/>
      <c r="N111" s="1" t="s">
        <v>1130</v>
      </c>
      <c r="O111" s="30" t="str">
        <f t="shared" si="1"/>
        <v>rui.borcath@renault.com;;suzana.muller@renault.com; karine.k.dinardi@renault.com ;;luiz.pereira@renault.com ;;lourenco.back-brito@renault.com;;felipe.santos@renault.com</v>
      </c>
    </row>
    <row r="112" spans="2:15">
      <c r="B112" s="2">
        <v>7600920</v>
      </c>
      <c r="C112" s="4" t="s">
        <v>387</v>
      </c>
      <c r="D112" s="3">
        <v>2</v>
      </c>
      <c r="E112" s="3">
        <v>4</v>
      </c>
      <c r="F112" t="s">
        <v>1135</v>
      </c>
      <c r="G112"/>
      <c r="H112" t="s">
        <v>1136</v>
      </c>
      <c r="I112"/>
      <c r="J112" s="1" t="s">
        <v>1137</v>
      </c>
      <c r="K112"/>
      <c r="L112" t="s">
        <v>1138</v>
      </c>
      <c r="M112"/>
      <c r="N112" s="1" t="s">
        <v>1130</v>
      </c>
      <c r="O112" s="30" t="str">
        <f t="shared" si="1"/>
        <v>rui.borcath@renault.com;;suzana.muller@renault.com; karine.k.dinardi@renault.com ;;luiz.pereira@renault.com ;;lourenco.back-brito@renault.com;;felipe.santos@renault.com</v>
      </c>
    </row>
    <row r="113" spans="2:15">
      <c r="B113" s="2">
        <v>7600918</v>
      </c>
      <c r="C113" s="4" t="s">
        <v>389</v>
      </c>
      <c r="D113" s="3">
        <v>2</v>
      </c>
      <c r="E113" s="3">
        <v>4</v>
      </c>
      <c r="F113" t="s">
        <v>1135</v>
      </c>
      <c r="G113"/>
      <c r="H113" t="s">
        <v>1136</v>
      </c>
      <c r="I113"/>
      <c r="J113" s="1" t="s">
        <v>1137</v>
      </c>
      <c r="K113"/>
      <c r="L113" t="s">
        <v>1138</v>
      </c>
      <c r="M113"/>
      <c r="N113" s="1" t="s">
        <v>1130</v>
      </c>
      <c r="O113" s="30" t="str">
        <f t="shared" si="1"/>
        <v>rui.borcath@renault.com;;suzana.muller@renault.com; karine.k.dinardi@renault.com ;;luiz.pereira@renault.com ;;lourenco.back-brito@renault.com;;felipe.santos@renault.com</v>
      </c>
    </row>
    <row r="114" spans="2:15">
      <c r="B114" s="2">
        <v>7600921</v>
      </c>
      <c r="C114" s="4" t="s">
        <v>392</v>
      </c>
      <c r="D114" s="3">
        <v>2</v>
      </c>
      <c r="E114" s="3">
        <v>4</v>
      </c>
      <c r="F114" t="s">
        <v>1135</v>
      </c>
      <c r="G114"/>
      <c r="H114" t="s">
        <v>1136</v>
      </c>
      <c r="I114"/>
      <c r="J114" s="1" t="s">
        <v>1137</v>
      </c>
      <c r="K114"/>
      <c r="L114" t="s">
        <v>1138</v>
      </c>
      <c r="M114"/>
      <c r="N114" s="1" t="s">
        <v>1130</v>
      </c>
      <c r="O114" s="30" t="str">
        <f t="shared" si="1"/>
        <v>rui.borcath@renault.com;;suzana.muller@renault.com; karine.k.dinardi@renault.com ;;luiz.pereira@renault.com ;;lourenco.back-brito@renault.com;;felipe.santos@renault.com</v>
      </c>
    </row>
    <row r="115" spans="2:15">
      <c r="B115" s="2">
        <v>7600954</v>
      </c>
      <c r="C115" s="4" t="s">
        <v>401</v>
      </c>
      <c r="D115" s="3">
        <v>2</v>
      </c>
      <c r="E115" s="3">
        <v>4</v>
      </c>
      <c r="F115" t="s">
        <v>1135</v>
      </c>
      <c r="G115"/>
      <c r="H115" t="s">
        <v>1146</v>
      </c>
      <c r="I115"/>
      <c r="J115" s="1" t="s">
        <v>1137</v>
      </c>
      <c r="K115"/>
      <c r="L115" t="s">
        <v>1138</v>
      </c>
      <c r="M115"/>
      <c r="N115" s="1" t="s">
        <v>1130</v>
      </c>
      <c r="O115" s="30" t="str">
        <f t="shared" si="1"/>
        <v>rui.borcath@renault.com;;suzana.muller@renault.com; carolina.santos@renault.com;;luiz.pereira@renault.com ;;lourenco.back-brito@renault.com;;felipe.santos@renault.com</v>
      </c>
    </row>
    <row r="116" spans="2:15">
      <c r="B116" s="2">
        <v>7600953</v>
      </c>
      <c r="C116" s="4" t="s">
        <v>407</v>
      </c>
      <c r="D116" s="3">
        <v>2</v>
      </c>
      <c r="E116" s="3">
        <v>4</v>
      </c>
      <c r="F116" t="s">
        <v>1135</v>
      </c>
      <c r="G116"/>
      <c r="H116" t="s">
        <v>1146</v>
      </c>
      <c r="I116"/>
      <c r="J116" s="1" t="s">
        <v>1137</v>
      </c>
      <c r="K116"/>
      <c r="L116" t="s">
        <v>1138</v>
      </c>
      <c r="M116"/>
      <c r="N116" s="1" t="s">
        <v>1130</v>
      </c>
      <c r="O116" s="30" t="str">
        <f t="shared" si="1"/>
        <v>rui.borcath@renault.com;;suzana.muller@renault.com; carolina.santos@renault.com;;luiz.pereira@renault.com ;;lourenco.back-brito@renault.com;;felipe.santos@renault.com</v>
      </c>
    </row>
    <row r="117" spans="2:15">
      <c r="B117" s="2">
        <v>7601123</v>
      </c>
      <c r="C117" t="s">
        <v>394</v>
      </c>
      <c r="D117" s="3">
        <v>2</v>
      </c>
      <c r="E117" s="3">
        <v>1</v>
      </c>
      <c r="F117" t="s">
        <v>1135</v>
      </c>
      <c r="G117"/>
      <c r="H117" t="s">
        <v>1140</v>
      </c>
      <c r="I117"/>
      <c r="J117" s="1" t="s">
        <v>1137</v>
      </c>
      <c r="K117"/>
      <c r="L117" t="s">
        <v>1138</v>
      </c>
      <c r="M117"/>
      <c r="N117" s="1" t="s">
        <v>1130</v>
      </c>
      <c r="O117" s="30" t="str">
        <f t="shared" si="1"/>
        <v>rui.borcath@renault.com;;rafael.anselmo-extern@renault.com; rafael.anselmo-extern@renault.com;;luiz.pereira@renault.com ;;lourenco.back-brito@renault.com;;felipe.santos@renault.com</v>
      </c>
    </row>
    <row r="118" spans="2:15">
      <c r="B118" s="2">
        <v>7600519</v>
      </c>
      <c r="C118" s="4" t="s">
        <v>425</v>
      </c>
      <c r="D118" s="3">
        <v>2</v>
      </c>
      <c r="E118" s="3">
        <v>1</v>
      </c>
      <c r="F118" t="s">
        <v>1135</v>
      </c>
      <c r="G118"/>
      <c r="H118" t="s">
        <v>1139</v>
      </c>
      <c r="I118"/>
      <c r="J118" s="1" t="s">
        <v>1137</v>
      </c>
      <c r="K118"/>
      <c r="L118" t="s">
        <v>1138</v>
      </c>
      <c r="M118"/>
      <c r="N118" s="1" t="s">
        <v>1130</v>
      </c>
      <c r="O118" s="30" t="str">
        <f t="shared" si="1"/>
        <v>rui.borcath@renault.com;;hebert.lourenco@renault.com; karine.k.dinardi@renault.com ;;luiz.pereira@renault.com ;;lourenco.back-brito@renault.com;;felipe.santos@renault.com</v>
      </c>
    </row>
    <row r="119" spans="2:15">
      <c r="B119" s="2">
        <v>7600332</v>
      </c>
      <c r="C119" s="4" t="s">
        <v>440</v>
      </c>
      <c r="D119" s="3">
        <v>2</v>
      </c>
      <c r="E119" s="3">
        <v>4</v>
      </c>
      <c r="F119" t="s">
        <v>1135</v>
      </c>
      <c r="G119"/>
      <c r="H119" t="s">
        <v>1136</v>
      </c>
      <c r="I119"/>
      <c r="J119" s="1" t="s">
        <v>1137</v>
      </c>
      <c r="K119"/>
      <c r="L119" t="s">
        <v>1138</v>
      </c>
      <c r="M119"/>
      <c r="N119" s="1" t="s">
        <v>1130</v>
      </c>
      <c r="O119" s="30" t="str">
        <f t="shared" si="1"/>
        <v>rui.borcath@renault.com;;suzana.muller@renault.com; karine.k.dinardi@renault.com ;;luiz.pereira@renault.com ;;lourenco.back-brito@renault.com;;felipe.santos@renault.com</v>
      </c>
    </row>
    <row r="120" spans="2:15">
      <c r="B120" s="2">
        <v>7600845</v>
      </c>
      <c r="C120" s="4" t="s">
        <v>445</v>
      </c>
      <c r="D120" s="3">
        <v>2</v>
      </c>
      <c r="E120" s="3">
        <v>4</v>
      </c>
      <c r="F120" t="s">
        <v>1135</v>
      </c>
      <c r="G120"/>
      <c r="H120" t="s">
        <v>1136</v>
      </c>
      <c r="I120"/>
      <c r="J120" s="1" t="s">
        <v>1137</v>
      </c>
      <c r="K120"/>
      <c r="L120" t="s">
        <v>1138</v>
      </c>
      <c r="M120"/>
      <c r="N120" s="1" t="s">
        <v>1130</v>
      </c>
      <c r="O120" s="30" t="str">
        <f t="shared" si="1"/>
        <v>rui.borcath@renault.com;;suzana.muller@renault.com; karine.k.dinardi@renault.com ;;luiz.pereira@renault.com ;;lourenco.back-brito@renault.com;;felipe.santos@renault.com</v>
      </c>
    </row>
    <row r="121" spans="2:15">
      <c r="B121" s="2">
        <v>7600567</v>
      </c>
      <c r="C121" s="4" t="s">
        <v>466</v>
      </c>
      <c r="D121" s="3">
        <v>2</v>
      </c>
      <c r="E121" s="3">
        <v>1</v>
      </c>
      <c r="F121" t="s">
        <v>1135</v>
      </c>
      <c r="G121"/>
      <c r="H121" t="s">
        <v>1139</v>
      </c>
      <c r="I121"/>
      <c r="J121" s="1" t="s">
        <v>1137</v>
      </c>
      <c r="K121"/>
      <c r="L121" t="s">
        <v>1138</v>
      </c>
      <c r="M121"/>
      <c r="N121" s="1" t="s">
        <v>1130</v>
      </c>
      <c r="O121" s="30" t="str">
        <f t="shared" si="1"/>
        <v>rui.borcath@renault.com;;hebert.lourenco@renault.com; karine.k.dinardi@renault.com ;;luiz.pereira@renault.com ;;lourenco.back-brito@renault.com;;felipe.santos@renault.com</v>
      </c>
    </row>
    <row r="122" spans="2:15">
      <c r="B122" s="2">
        <v>7600614</v>
      </c>
      <c r="C122" s="4" t="s">
        <v>471</v>
      </c>
      <c r="D122" s="3">
        <v>2</v>
      </c>
      <c r="E122" s="3">
        <v>1</v>
      </c>
      <c r="F122" t="s">
        <v>1135</v>
      </c>
      <c r="G122"/>
      <c r="H122" t="s">
        <v>1139</v>
      </c>
      <c r="I122"/>
      <c r="J122" s="1" t="s">
        <v>1137</v>
      </c>
      <c r="K122"/>
      <c r="L122" t="s">
        <v>1138</v>
      </c>
      <c r="M122"/>
      <c r="N122" s="1" t="s">
        <v>1130</v>
      </c>
      <c r="O122" s="30" t="str">
        <f t="shared" si="1"/>
        <v>rui.borcath@renault.com;;hebert.lourenco@renault.com; karine.k.dinardi@renault.com ;;luiz.pereira@renault.com ;;lourenco.back-brito@renault.com;;felipe.santos@renault.com</v>
      </c>
    </row>
    <row r="123" spans="2:15">
      <c r="B123" s="2">
        <v>7600922</v>
      </c>
      <c r="C123" s="4" t="s">
        <v>430</v>
      </c>
      <c r="D123" s="3">
        <v>2</v>
      </c>
      <c r="E123" s="3">
        <v>1</v>
      </c>
      <c r="F123" t="s">
        <v>1135</v>
      </c>
      <c r="G123"/>
      <c r="H123" t="s">
        <v>1141</v>
      </c>
      <c r="I123"/>
      <c r="J123" s="1" t="s">
        <v>1137</v>
      </c>
      <c r="K123"/>
      <c r="L123" t="s">
        <v>1138</v>
      </c>
      <c r="M123"/>
      <c r="N123" s="1" t="s">
        <v>1130</v>
      </c>
      <c r="O123" s="30" t="str">
        <f t="shared" si="1"/>
        <v>rui.borcath@renault.com;;hebert.lourenco@renault.com; carolina.santos@renault.com;;luiz.pereira@renault.com ;;lourenco.back-brito@renault.com;;felipe.santos@renault.com</v>
      </c>
    </row>
    <row r="124" spans="2:15">
      <c r="B124" s="2">
        <v>7600549</v>
      </c>
      <c r="C124" s="4" t="s">
        <v>410</v>
      </c>
      <c r="D124" s="3">
        <v>2</v>
      </c>
      <c r="E124" s="3">
        <v>1</v>
      </c>
      <c r="F124" t="s">
        <v>1135</v>
      </c>
      <c r="G124"/>
      <c r="H124" t="s">
        <v>1141</v>
      </c>
      <c r="I124"/>
      <c r="J124" s="1" t="s">
        <v>1137</v>
      </c>
      <c r="K124"/>
      <c r="L124" t="s">
        <v>1138</v>
      </c>
      <c r="M124"/>
      <c r="N124" s="1" t="s">
        <v>1130</v>
      </c>
      <c r="O124" s="30" t="str">
        <f t="shared" si="1"/>
        <v>rui.borcath@renault.com;;hebert.lourenco@renault.com; carolina.santos@renault.com;;luiz.pereira@renault.com ;;lourenco.back-brito@renault.com;;felipe.santos@renault.com</v>
      </c>
    </row>
    <row r="125" spans="2:15">
      <c r="B125" s="2">
        <v>7600819</v>
      </c>
      <c r="C125" s="4" t="s">
        <v>1147</v>
      </c>
      <c r="D125" s="3">
        <v>2</v>
      </c>
      <c r="E125" s="3">
        <v>1</v>
      </c>
      <c r="F125" t="s">
        <v>1135</v>
      </c>
      <c r="G125"/>
      <c r="H125" t="s">
        <v>1141</v>
      </c>
      <c r="I125"/>
      <c r="J125" s="1" t="s">
        <v>1137</v>
      </c>
      <c r="K125"/>
      <c r="L125" t="s">
        <v>1138</v>
      </c>
      <c r="M125"/>
      <c r="N125" s="1" t="s">
        <v>1130</v>
      </c>
      <c r="O125" s="30" t="str">
        <f t="shared" ref="O125:O186" si="2">F125&amp;";"&amp;G125&amp;";"&amp;H125&amp;";"&amp;I125&amp;";"&amp;J125&amp;";"&amp;K125&amp;";"&amp;L125&amp;";"&amp;M125&amp;";"&amp;N125</f>
        <v>rui.borcath@renault.com;;hebert.lourenco@renault.com; carolina.santos@renault.com;;luiz.pereira@renault.com ;;lourenco.back-brito@renault.com;;felipe.santos@renault.com</v>
      </c>
    </row>
    <row r="126" spans="2:15">
      <c r="B126" s="2">
        <v>7600817</v>
      </c>
      <c r="C126" s="4" t="s">
        <v>419</v>
      </c>
      <c r="D126" s="3">
        <v>2</v>
      </c>
      <c r="E126" s="3">
        <v>1</v>
      </c>
      <c r="F126" t="s">
        <v>1135</v>
      </c>
      <c r="G126"/>
      <c r="H126" t="s">
        <v>1141</v>
      </c>
      <c r="I126"/>
      <c r="J126" s="1" t="s">
        <v>1137</v>
      </c>
      <c r="K126"/>
      <c r="L126" t="s">
        <v>1138</v>
      </c>
      <c r="M126"/>
      <c r="N126" s="1" t="s">
        <v>1130</v>
      </c>
      <c r="O126" s="30" t="str">
        <f t="shared" si="2"/>
        <v>rui.borcath@renault.com;;hebert.lourenco@renault.com; carolina.santos@renault.com;;luiz.pereira@renault.com ;;lourenco.back-brito@renault.com;;felipe.santos@renault.com</v>
      </c>
    </row>
    <row r="127" spans="2:15">
      <c r="B127" s="2">
        <v>7600618</v>
      </c>
      <c r="C127" s="4" t="s">
        <v>422</v>
      </c>
      <c r="D127" s="3">
        <v>2</v>
      </c>
      <c r="E127" s="3">
        <v>1</v>
      </c>
      <c r="F127" t="s">
        <v>1135</v>
      </c>
      <c r="G127"/>
      <c r="H127" t="s">
        <v>1141</v>
      </c>
      <c r="I127"/>
      <c r="J127" s="1" t="s">
        <v>1137</v>
      </c>
      <c r="K127"/>
      <c r="L127" t="s">
        <v>1138</v>
      </c>
      <c r="M127"/>
      <c r="N127" s="1" t="s">
        <v>1130</v>
      </c>
      <c r="O127" s="30" t="str">
        <f t="shared" si="2"/>
        <v>rui.borcath@renault.com;;hebert.lourenco@renault.com; carolina.santos@renault.com;;luiz.pereira@renault.com ;;lourenco.back-brito@renault.com;;felipe.santos@renault.com</v>
      </c>
    </row>
    <row r="128" spans="2:15">
      <c r="B128" s="2">
        <v>7600929</v>
      </c>
      <c r="C128" s="4" t="s">
        <v>433</v>
      </c>
      <c r="D128" s="3">
        <v>2</v>
      </c>
      <c r="E128" s="3">
        <v>1</v>
      </c>
      <c r="F128" t="s">
        <v>1135</v>
      </c>
      <c r="G128"/>
      <c r="H128" t="s">
        <v>1141</v>
      </c>
      <c r="I128"/>
      <c r="J128" s="1" t="s">
        <v>1137</v>
      </c>
      <c r="K128"/>
      <c r="L128" t="s">
        <v>1138</v>
      </c>
      <c r="M128"/>
      <c r="N128" s="1" t="s">
        <v>1130</v>
      </c>
      <c r="O128" s="30" t="str">
        <f t="shared" si="2"/>
        <v>rui.borcath@renault.com;;hebert.lourenco@renault.com; carolina.santos@renault.com;;luiz.pereira@renault.com ;;lourenco.back-brito@renault.com;;felipe.santos@renault.com</v>
      </c>
    </row>
    <row r="129" spans="2:15">
      <c r="B129" s="2">
        <v>7600939</v>
      </c>
      <c r="C129" s="4" t="s">
        <v>435</v>
      </c>
      <c r="D129" s="3">
        <v>2</v>
      </c>
      <c r="E129" s="3">
        <v>1</v>
      </c>
      <c r="F129" t="s">
        <v>1135</v>
      </c>
      <c r="G129"/>
      <c r="H129" t="s">
        <v>1141</v>
      </c>
      <c r="I129"/>
      <c r="J129" s="1" t="s">
        <v>1137</v>
      </c>
      <c r="K129"/>
      <c r="L129" t="s">
        <v>1138</v>
      </c>
      <c r="M129"/>
      <c r="N129" s="1" t="s">
        <v>1130</v>
      </c>
      <c r="O129" s="30" t="str">
        <f t="shared" si="2"/>
        <v>rui.borcath@renault.com;;hebert.lourenco@renault.com; carolina.santos@renault.com;;luiz.pereira@renault.com ;;lourenco.back-brito@renault.com;;felipe.santos@renault.com</v>
      </c>
    </row>
    <row r="130" spans="2:15">
      <c r="B130" s="2">
        <v>7600931</v>
      </c>
      <c r="C130" s="4" t="s">
        <v>438</v>
      </c>
      <c r="D130" s="3">
        <v>2</v>
      </c>
      <c r="E130" s="3">
        <v>1</v>
      </c>
      <c r="F130" t="s">
        <v>1135</v>
      </c>
      <c r="G130"/>
      <c r="H130" t="s">
        <v>1141</v>
      </c>
      <c r="I130"/>
      <c r="J130" s="1" t="s">
        <v>1137</v>
      </c>
      <c r="K130"/>
      <c r="L130" t="s">
        <v>1138</v>
      </c>
      <c r="M130"/>
      <c r="N130" s="1" t="s">
        <v>1130</v>
      </c>
      <c r="O130" s="30" t="str">
        <f t="shared" si="2"/>
        <v>rui.borcath@renault.com;;hebert.lourenco@renault.com; carolina.santos@renault.com;;luiz.pereira@renault.com ;;lourenco.back-brito@renault.com;;felipe.santos@renault.com</v>
      </c>
    </row>
    <row r="131" spans="2:15">
      <c r="B131" s="2">
        <v>7600093</v>
      </c>
      <c r="C131" s="4" t="s">
        <v>454</v>
      </c>
      <c r="D131" s="3">
        <v>2</v>
      </c>
      <c r="E131" s="3">
        <v>3</v>
      </c>
      <c r="F131" t="s">
        <v>1135</v>
      </c>
      <c r="G131"/>
      <c r="H131" t="s">
        <v>1144</v>
      </c>
      <c r="I131"/>
      <c r="J131" s="1" t="s">
        <v>1137</v>
      </c>
      <c r="K131"/>
      <c r="L131" t="s">
        <v>1138</v>
      </c>
      <c r="M131"/>
      <c r="N131" s="1" t="s">
        <v>1130</v>
      </c>
      <c r="O131" s="30" t="str">
        <f t="shared" si="2"/>
        <v>rui.borcath@renault.com;;rennan.alves@renault.com; karine.k.dinardi@renault.com ;;luiz.pereira@renault.com ;;lourenco.back-brito@renault.com;;felipe.santos@renault.com</v>
      </c>
    </row>
    <row r="132" spans="2:15">
      <c r="B132" s="2">
        <v>7600713</v>
      </c>
      <c r="C132" s="4" t="s">
        <v>1148</v>
      </c>
      <c r="D132" s="3">
        <v>2</v>
      </c>
      <c r="E132" s="3">
        <v>3</v>
      </c>
      <c r="F132" t="s">
        <v>1135</v>
      </c>
      <c r="G132"/>
      <c r="H132" t="s">
        <v>1144</v>
      </c>
      <c r="I132"/>
      <c r="J132" s="1" t="s">
        <v>1137</v>
      </c>
      <c r="K132"/>
      <c r="L132" t="s">
        <v>1138</v>
      </c>
      <c r="M132"/>
      <c r="N132" s="1" t="s">
        <v>1130</v>
      </c>
      <c r="O132" s="30" t="str">
        <f t="shared" si="2"/>
        <v>rui.borcath@renault.com;;rennan.alves@renault.com; karine.k.dinardi@renault.com ;;luiz.pereira@renault.com ;;lourenco.back-brito@renault.com;;felipe.santos@renault.com</v>
      </c>
    </row>
    <row r="133" spans="2:15">
      <c r="B133" s="2">
        <v>7600033</v>
      </c>
      <c r="C133" s="4" t="s">
        <v>1149</v>
      </c>
      <c r="D133" s="3">
        <v>2</v>
      </c>
      <c r="E133" s="3">
        <v>3</v>
      </c>
      <c r="F133" t="s">
        <v>1135</v>
      </c>
      <c r="G133"/>
      <c r="H133" t="s">
        <v>1144</v>
      </c>
      <c r="I133"/>
      <c r="J133" s="1" t="s">
        <v>1137</v>
      </c>
      <c r="K133"/>
      <c r="L133" t="s">
        <v>1138</v>
      </c>
      <c r="M133"/>
      <c r="N133" s="1" t="s">
        <v>1130</v>
      </c>
      <c r="O133" s="30" t="str">
        <f t="shared" si="2"/>
        <v>rui.borcath@renault.com;;rennan.alves@renault.com; karine.k.dinardi@renault.com ;;luiz.pereira@renault.com ;;lourenco.back-brito@renault.com;;felipe.santos@renault.com</v>
      </c>
    </row>
    <row r="134" spans="2:15">
      <c r="B134" s="2">
        <v>7600951</v>
      </c>
      <c r="C134" s="4" t="s">
        <v>464</v>
      </c>
      <c r="D134" s="3">
        <v>2</v>
      </c>
      <c r="E134" s="3">
        <v>3</v>
      </c>
      <c r="F134" t="s">
        <v>1135</v>
      </c>
      <c r="G134"/>
      <c r="H134" t="s">
        <v>1144</v>
      </c>
      <c r="I134"/>
      <c r="J134" s="1" t="s">
        <v>1137</v>
      </c>
      <c r="K134"/>
      <c r="L134" t="s">
        <v>1138</v>
      </c>
      <c r="M134"/>
      <c r="N134" s="1" t="s">
        <v>1130</v>
      </c>
      <c r="O134" s="30" t="str">
        <f t="shared" si="2"/>
        <v>rui.borcath@renault.com;;rennan.alves@renault.com; karine.k.dinardi@renault.com ;;luiz.pereira@renault.com ;;lourenco.back-brito@renault.com;;felipe.santos@renault.com</v>
      </c>
    </row>
    <row r="135" spans="2:15">
      <c r="B135" s="2">
        <v>7600528</v>
      </c>
      <c r="C135" s="4" t="s">
        <v>498</v>
      </c>
      <c r="D135" s="3">
        <v>2</v>
      </c>
      <c r="E135" s="3">
        <v>2</v>
      </c>
      <c r="F135" t="s">
        <v>1135</v>
      </c>
      <c r="G135"/>
      <c r="H135" t="s">
        <v>1145</v>
      </c>
      <c r="I135"/>
      <c r="J135" s="1" t="s">
        <v>1137</v>
      </c>
      <c r="K135"/>
      <c r="L135" t="s">
        <v>1138</v>
      </c>
      <c r="M135"/>
      <c r="N135" s="1" t="s">
        <v>1130</v>
      </c>
      <c r="O135" s="30" t="str">
        <f t="shared" si="2"/>
        <v>rui.borcath@renault.com;; mariana.fonseca@renault.com ; karine.k.dinardi@renault.com ;;luiz.pereira@renault.com ;;lourenco.back-brito@renault.com;;felipe.santos@renault.com</v>
      </c>
    </row>
    <row r="136" spans="2:15">
      <c r="B136" s="2">
        <v>7600584</v>
      </c>
      <c r="C136" s="4" t="s">
        <v>504</v>
      </c>
      <c r="D136" s="3">
        <v>2</v>
      </c>
      <c r="E136" s="3">
        <v>2</v>
      </c>
      <c r="F136" t="s">
        <v>1135</v>
      </c>
      <c r="G136"/>
      <c r="H136" t="s">
        <v>1145</v>
      </c>
      <c r="I136"/>
      <c r="J136" s="1" t="s">
        <v>1137</v>
      </c>
      <c r="K136"/>
      <c r="L136" t="s">
        <v>1138</v>
      </c>
      <c r="M136"/>
      <c r="N136" s="1" t="s">
        <v>1130</v>
      </c>
      <c r="O136" s="30" t="str">
        <f t="shared" si="2"/>
        <v>rui.borcath@renault.com;; mariana.fonseca@renault.com ; karine.k.dinardi@renault.com ;;luiz.pereira@renault.com ;;lourenco.back-brito@renault.com;;felipe.santos@renault.com</v>
      </c>
    </row>
    <row r="137" spans="2:15">
      <c r="B137" s="2">
        <v>7600917</v>
      </c>
      <c r="C137" s="4" t="s">
        <v>542</v>
      </c>
      <c r="D137" s="3">
        <v>2</v>
      </c>
      <c r="E137" s="3">
        <v>2</v>
      </c>
      <c r="F137" t="s">
        <v>1135</v>
      </c>
      <c r="G137"/>
      <c r="H137" t="s">
        <v>1145</v>
      </c>
      <c r="I137"/>
      <c r="J137" s="1" t="s">
        <v>1137</v>
      </c>
      <c r="K137"/>
      <c r="L137" t="s">
        <v>1138</v>
      </c>
      <c r="M137"/>
      <c r="N137" s="1" t="s">
        <v>1130</v>
      </c>
      <c r="O137" s="30" t="str">
        <f t="shared" si="2"/>
        <v>rui.borcath@renault.com;; mariana.fonseca@renault.com ; karine.k.dinardi@renault.com ;;luiz.pereira@renault.com ;;lourenco.back-brito@renault.com;;felipe.santos@renault.com</v>
      </c>
    </row>
    <row r="138" spans="2:15">
      <c r="B138" s="2">
        <v>7600916</v>
      </c>
      <c r="C138" s="4" t="s">
        <v>546</v>
      </c>
      <c r="D138" s="3">
        <v>2</v>
      </c>
      <c r="E138" s="3">
        <v>2</v>
      </c>
      <c r="F138" t="s">
        <v>1135</v>
      </c>
      <c r="G138"/>
      <c r="H138" t="s">
        <v>1145</v>
      </c>
      <c r="I138"/>
      <c r="J138" s="1" t="s">
        <v>1137</v>
      </c>
      <c r="K138"/>
      <c r="L138" t="s">
        <v>1138</v>
      </c>
      <c r="M138"/>
      <c r="N138" s="1" t="s">
        <v>1130</v>
      </c>
      <c r="O138" s="30" t="str">
        <f t="shared" si="2"/>
        <v>rui.borcath@renault.com;; mariana.fonseca@renault.com ; karine.k.dinardi@renault.com ;;luiz.pereira@renault.com ;;lourenco.back-brito@renault.com;;felipe.santos@renault.com</v>
      </c>
    </row>
    <row r="139" spans="2:15">
      <c r="B139" s="2">
        <v>7600839</v>
      </c>
      <c r="C139" s="4" t="s">
        <v>585</v>
      </c>
      <c r="D139" s="3">
        <v>3</v>
      </c>
      <c r="E139" s="3">
        <v>1</v>
      </c>
      <c r="F139" t="s">
        <v>1150</v>
      </c>
      <c r="G139"/>
      <c r="H139" t="s">
        <v>1151</v>
      </c>
      <c r="I139"/>
      <c r="J139" t="s">
        <v>1152</v>
      </c>
      <c r="K139"/>
      <c r="L139" t="s">
        <v>1153</v>
      </c>
      <c r="M139"/>
      <c r="N139" s="1" t="s">
        <v>1130</v>
      </c>
      <c r="O139" s="30" t="str">
        <f t="shared" si="2"/>
        <v>valter.canova@renault.com;;leonardo.l.candido@renault.com; eduardo.e.nogueira@renault.com;;thiago.braga@renault.com;;renato.tocantins@renault.com;;felipe.santos@renault.com</v>
      </c>
    </row>
    <row r="140" spans="2:15">
      <c r="B140" s="2">
        <v>7600832</v>
      </c>
      <c r="C140" s="4" t="s">
        <v>596</v>
      </c>
      <c r="D140" s="3">
        <v>3</v>
      </c>
      <c r="E140" s="3">
        <v>1</v>
      </c>
      <c r="F140" t="s">
        <v>1150</v>
      </c>
      <c r="G140"/>
      <c r="H140" t="s">
        <v>1151</v>
      </c>
      <c r="I140"/>
      <c r="J140" t="s">
        <v>1152</v>
      </c>
      <c r="K140"/>
      <c r="L140" t="s">
        <v>1153</v>
      </c>
      <c r="M140"/>
      <c r="N140" s="1" t="s">
        <v>1130</v>
      </c>
      <c r="O140" s="30" t="str">
        <f t="shared" si="2"/>
        <v>valter.canova@renault.com;;leonardo.l.candido@renault.com; eduardo.e.nogueira@renault.com;;thiago.braga@renault.com;;renato.tocantins@renault.com;;felipe.santos@renault.com</v>
      </c>
    </row>
    <row r="141" spans="2:15">
      <c r="B141" s="2">
        <v>7600520</v>
      </c>
      <c r="C141" s="4" t="s">
        <v>601</v>
      </c>
      <c r="D141" s="3">
        <v>3</v>
      </c>
      <c r="E141" s="3">
        <v>1</v>
      </c>
      <c r="F141" t="s">
        <v>1150</v>
      </c>
      <c r="G141"/>
      <c r="H141" t="s">
        <v>1151</v>
      </c>
      <c r="I141"/>
      <c r="J141" t="s">
        <v>1152</v>
      </c>
      <c r="K141"/>
      <c r="L141" t="s">
        <v>1153</v>
      </c>
      <c r="M141"/>
      <c r="N141" s="1" t="s">
        <v>1130</v>
      </c>
      <c r="O141" s="30" t="str">
        <f t="shared" si="2"/>
        <v>valter.canova@renault.com;;leonardo.l.candido@renault.com; eduardo.e.nogueira@renault.com;;thiago.braga@renault.com;;renato.tocantins@renault.com;;felipe.santos@renault.com</v>
      </c>
    </row>
    <row r="142" spans="2:15">
      <c r="B142" s="2">
        <v>7600249</v>
      </c>
      <c r="C142" s="4" t="s">
        <v>640</v>
      </c>
      <c r="D142" s="3">
        <v>3</v>
      </c>
      <c r="E142" s="3">
        <v>1</v>
      </c>
      <c r="F142" t="s">
        <v>1150</v>
      </c>
      <c r="G142"/>
      <c r="H142" t="s">
        <v>1151</v>
      </c>
      <c r="I142"/>
      <c r="J142" t="s">
        <v>1152</v>
      </c>
      <c r="K142"/>
      <c r="L142" t="s">
        <v>1153</v>
      </c>
      <c r="M142"/>
      <c r="N142" s="1" t="s">
        <v>1130</v>
      </c>
      <c r="O142" s="30" t="str">
        <f t="shared" si="2"/>
        <v>valter.canova@renault.com;;leonardo.l.candido@renault.com; eduardo.e.nogueira@renault.com;;thiago.braga@renault.com;;renato.tocantins@renault.com;;felipe.santos@renault.com</v>
      </c>
    </row>
    <row r="143" spans="2:15">
      <c r="B143" s="2">
        <v>7600312</v>
      </c>
      <c r="C143" s="4" t="s">
        <v>607</v>
      </c>
      <c r="D143" s="3">
        <v>3</v>
      </c>
      <c r="E143" s="3">
        <v>2</v>
      </c>
      <c r="F143" t="s">
        <v>1150</v>
      </c>
      <c r="G143"/>
      <c r="H143" t="s">
        <v>1154</v>
      </c>
      <c r="I143"/>
      <c r="J143" t="s">
        <v>1152</v>
      </c>
      <c r="K143"/>
      <c r="L143" t="s">
        <v>1153</v>
      </c>
      <c r="M143"/>
      <c r="N143" s="1" t="s">
        <v>1130</v>
      </c>
      <c r="O143" s="30" t="str">
        <f t="shared" si="2"/>
        <v>valter.canova@renault.com;;danyke.livramento@renault.com; alexander.serrano@renault.com;;thiago.braga@renault.com;;renato.tocantins@renault.com;;felipe.santos@renault.com</v>
      </c>
    </row>
    <row r="144" spans="2:15">
      <c r="B144" s="2">
        <v>7600013</v>
      </c>
      <c r="C144" s="4" t="s">
        <v>614</v>
      </c>
      <c r="D144" s="3">
        <v>3</v>
      </c>
      <c r="E144" s="3">
        <v>2</v>
      </c>
      <c r="F144" t="s">
        <v>1150</v>
      </c>
      <c r="G144"/>
      <c r="H144" t="s">
        <v>1154</v>
      </c>
      <c r="I144"/>
      <c r="J144" t="s">
        <v>1152</v>
      </c>
      <c r="K144"/>
      <c r="L144" t="s">
        <v>1153</v>
      </c>
      <c r="M144"/>
      <c r="N144" s="1" t="s">
        <v>1130</v>
      </c>
      <c r="O144" s="30" t="str">
        <f t="shared" si="2"/>
        <v>valter.canova@renault.com;;danyke.livramento@renault.com; alexander.serrano@renault.com;;thiago.braga@renault.com;;renato.tocantins@renault.com;;felipe.santos@renault.com</v>
      </c>
    </row>
    <row r="145" spans="2:15">
      <c r="B145" s="2">
        <v>7600526</v>
      </c>
      <c r="C145" s="4" t="s">
        <v>618</v>
      </c>
      <c r="D145" s="3">
        <v>3</v>
      </c>
      <c r="E145" s="3">
        <v>2</v>
      </c>
      <c r="F145" t="s">
        <v>1150</v>
      </c>
      <c r="G145"/>
      <c r="H145" t="s">
        <v>1154</v>
      </c>
      <c r="I145"/>
      <c r="J145" t="s">
        <v>1152</v>
      </c>
      <c r="K145"/>
      <c r="L145" t="s">
        <v>1153</v>
      </c>
      <c r="M145"/>
      <c r="N145" s="1" t="s">
        <v>1130</v>
      </c>
      <c r="O145" s="30" t="str">
        <f t="shared" si="2"/>
        <v>valter.canova@renault.com;;danyke.livramento@renault.com; alexander.serrano@renault.com;;thiago.braga@renault.com;;renato.tocantins@renault.com;;felipe.santos@renault.com</v>
      </c>
    </row>
    <row r="146" spans="2:15">
      <c r="B146" s="2">
        <v>7600213</v>
      </c>
      <c r="C146" s="4" t="s">
        <v>621</v>
      </c>
      <c r="D146" s="3">
        <v>3</v>
      </c>
      <c r="E146" s="3">
        <v>2</v>
      </c>
      <c r="F146" t="s">
        <v>1150</v>
      </c>
      <c r="G146"/>
      <c r="H146" t="s">
        <v>1154</v>
      </c>
      <c r="I146"/>
      <c r="J146" t="s">
        <v>1152</v>
      </c>
      <c r="K146"/>
      <c r="L146" t="s">
        <v>1153</v>
      </c>
      <c r="M146"/>
      <c r="N146" s="1" t="s">
        <v>1130</v>
      </c>
      <c r="O146" s="30" t="str">
        <f t="shared" si="2"/>
        <v>valter.canova@renault.com;;danyke.livramento@renault.com; alexander.serrano@renault.com;;thiago.braga@renault.com;;renato.tocantins@renault.com;;felipe.santos@renault.com</v>
      </c>
    </row>
    <row r="147" spans="2:15">
      <c r="B147" s="2">
        <v>7600592</v>
      </c>
      <c r="C147" s="4" t="s">
        <v>624</v>
      </c>
      <c r="D147" s="3">
        <v>3</v>
      </c>
      <c r="E147" s="3">
        <v>1</v>
      </c>
      <c r="F147" t="s">
        <v>1150</v>
      </c>
      <c r="G147"/>
      <c r="H147" t="s">
        <v>1151</v>
      </c>
      <c r="I147"/>
      <c r="J147" t="s">
        <v>1152</v>
      </c>
      <c r="K147"/>
      <c r="L147" t="s">
        <v>1153</v>
      </c>
      <c r="M147"/>
      <c r="N147" s="1" t="s">
        <v>1130</v>
      </c>
      <c r="O147" s="30" t="str">
        <f t="shared" si="2"/>
        <v>valter.canova@renault.com;;leonardo.l.candido@renault.com; eduardo.e.nogueira@renault.com;;thiago.braga@renault.com;;renato.tocantins@renault.com;;felipe.santos@renault.com</v>
      </c>
    </row>
    <row r="148" spans="2:15">
      <c r="B148" s="2">
        <v>7601201</v>
      </c>
      <c r="C148" s="4" t="s">
        <v>630</v>
      </c>
      <c r="D148" s="3">
        <v>3</v>
      </c>
      <c r="E148" s="3">
        <v>1</v>
      </c>
      <c r="F148" t="s">
        <v>1150</v>
      </c>
      <c r="G148"/>
      <c r="H148" t="s">
        <v>1151</v>
      </c>
      <c r="I148"/>
      <c r="J148" t="s">
        <v>1152</v>
      </c>
      <c r="K148"/>
      <c r="L148" t="s">
        <v>1153</v>
      </c>
      <c r="M148"/>
      <c r="N148" s="1" t="s">
        <v>1130</v>
      </c>
      <c r="O148" s="30" t="str">
        <f t="shared" si="2"/>
        <v>valter.canova@renault.com;;leonardo.l.candido@renault.com; eduardo.e.nogueira@renault.com;;thiago.braga@renault.com;;renato.tocantins@renault.com;;felipe.santos@renault.com</v>
      </c>
    </row>
    <row r="149" spans="2:15">
      <c r="B149" s="2">
        <v>7601104</v>
      </c>
      <c r="C149" s="4" t="s">
        <v>635</v>
      </c>
      <c r="D149" s="3">
        <v>3</v>
      </c>
      <c r="E149" s="3">
        <v>1</v>
      </c>
      <c r="F149" t="s">
        <v>1150</v>
      </c>
      <c r="G149"/>
      <c r="H149" t="s">
        <v>1140</v>
      </c>
      <c r="I149"/>
      <c r="J149" t="s">
        <v>1152</v>
      </c>
      <c r="K149"/>
      <c r="L149" t="s">
        <v>1153</v>
      </c>
      <c r="M149"/>
      <c r="N149" s="1" t="s">
        <v>1130</v>
      </c>
      <c r="O149" s="30" t="str">
        <f t="shared" si="2"/>
        <v>valter.canova@renault.com;;rafael.anselmo-extern@renault.com; rafael.anselmo-extern@renault.com;;thiago.braga@renault.com;;renato.tocantins@renault.com;;felipe.santos@renault.com</v>
      </c>
    </row>
    <row r="150" spans="2:15">
      <c r="B150" s="2">
        <v>7601188</v>
      </c>
      <c r="C150" s="4" t="s">
        <v>682</v>
      </c>
      <c r="D150" s="3">
        <v>3</v>
      </c>
      <c r="E150" s="3">
        <v>4</v>
      </c>
      <c r="F150" t="s">
        <v>1150</v>
      </c>
      <c r="G150"/>
      <c r="H150" t="s">
        <v>1155</v>
      </c>
      <c r="I150"/>
      <c r="J150" t="s">
        <v>1152</v>
      </c>
      <c r="K150"/>
      <c r="L150" t="s">
        <v>1153</v>
      </c>
      <c r="M150"/>
      <c r="N150" s="1" t="s">
        <v>1130</v>
      </c>
      <c r="O150" s="30" t="str">
        <f t="shared" si="2"/>
        <v>valter.canova@renault.com;;carlos.utrabo@renault.com; alexander.serrano@renault.com;;thiago.braga@renault.com;;renato.tocantins@renault.com;;felipe.santos@renault.com</v>
      </c>
    </row>
    <row r="151" spans="2:15">
      <c r="B151" s="2">
        <v>7600417</v>
      </c>
      <c r="C151" s="4" t="s">
        <v>687</v>
      </c>
      <c r="D151" s="3">
        <v>3</v>
      </c>
      <c r="E151" s="3">
        <v>4</v>
      </c>
      <c r="F151" t="s">
        <v>1150</v>
      </c>
      <c r="G151"/>
      <c r="H151" t="s">
        <v>1155</v>
      </c>
      <c r="I151"/>
      <c r="J151" t="s">
        <v>1152</v>
      </c>
      <c r="K151"/>
      <c r="L151" t="s">
        <v>1153</v>
      </c>
      <c r="M151"/>
      <c r="N151" s="1" t="s">
        <v>1130</v>
      </c>
      <c r="O151" s="30" t="str">
        <f t="shared" si="2"/>
        <v>valter.canova@renault.com;;carlos.utrabo@renault.com; alexander.serrano@renault.com;;thiago.braga@renault.com;;renato.tocantins@renault.com;;felipe.santos@renault.com</v>
      </c>
    </row>
    <row r="152" spans="2:15">
      <c r="B152" s="2">
        <v>7601109</v>
      </c>
      <c r="C152" s="4" t="s">
        <v>691</v>
      </c>
      <c r="D152" s="3">
        <v>3</v>
      </c>
      <c r="E152" s="3">
        <v>4</v>
      </c>
      <c r="F152" t="s">
        <v>1150</v>
      </c>
      <c r="G152"/>
      <c r="H152" t="s">
        <v>1155</v>
      </c>
      <c r="I152"/>
      <c r="J152" t="s">
        <v>1152</v>
      </c>
      <c r="K152"/>
      <c r="L152" t="s">
        <v>1153</v>
      </c>
      <c r="M152"/>
      <c r="N152" s="1" t="s">
        <v>1130</v>
      </c>
      <c r="O152" s="30" t="str">
        <f t="shared" si="2"/>
        <v>valter.canova@renault.com;;carlos.utrabo@renault.com; alexander.serrano@renault.com;;thiago.braga@renault.com;;renato.tocantins@renault.com;;felipe.santos@renault.com</v>
      </c>
    </row>
    <row r="153" spans="2:15">
      <c r="B153" s="2">
        <v>7600848</v>
      </c>
      <c r="C153" s="4" t="s">
        <v>694</v>
      </c>
      <c r="D153" s="3">
        <v>3</v>
      </c>
      <c r="E153" s="3">
        <v>1</v>
      </c>
      <c r="F153" t="s">
        <v>1150</v>
      </c>
      <c r="G153"/>
      <c r="H153" t="s">
        <v>1151</v>
      </c>
      <c r="I153"/>
      <c r="J153" t="s">
        <v>1152</v>
      </c>
      <c r="K153"/>
      <c r="L153" t="s">
        <v>1153</v>
      </c>
      <c r="M153"/>
      <c r="N153" s="1" t="s">
        <v>1130</v>
      </c>
      <c r="O153" s="30" t="str">
        <f t="shared" si="2"/>
        <v>valter.canova@renault.com;;leonardo.l.candido@renault.com; eduardo.e.nogueira@renault.com;;thiago.braga@renault.com;;renato.tocantins@renault.com;;felipe.santos@renault.com</v>
      </c>
    </row>
    <row r="154" spans="2:15">
      <c r="B154" s="2">
        <v>7601134</v>
      </c>
      <c r="C154" s="4" t="s">
        <v>666</v>
      </c>
      <c r="D154" s="3">
        <v>3</v>
      </c>
      <c r="E154" s="3">
        <v>2</v>
      </c>
      <c r="F154" t="s">
        <v>1150</v>
      </c>
      <c r="G154"/>
      <c r="H154" t="s">
        <v>1154</v>
      </c>
      <c r="I154"/>
      <c r="J154" t="s">
        <v>1152</v>
      </c>
      <c r="K154"/>
      <c r="L154" t="s">
        <v>1153</v>
      </c>
      <c r="M154"/>
      <c r="N154" s="1" t="s">
        <v>1130</v>
      </c>
      <c r="O154" s="30" t="str">
        <f t="shared" si="2"/>
        <v>valter.canova@renault.com;;danyke.livramento@renault.com; alexander.serrano@renault.com;;thiago.braga@renault.com;;renato.tocantins@renault.com;;felipe.santos@renault.com</v>
      </c>
    </row>
    <row r="155" spans="2:15">
      <c r="B155" s="2">
        <v>7600968</v>
      </c>
      <c r="C155" s="4" t="s">
        <v>673</v>
      </c>
      <c r="D155" s="3">
        <v>3</v>
      </c>
      <c r="E155" s="3">
        <v>2</v>
      </c>
      <c r="F155" t="s">
        <v>1150</v>
      </c>
      <c r="G155"/>
      <c r="H155" t="s">
        <v>1154</v>
      </c>
      <c r="I155"/>
      <c r="J155" t="s">
        <v>1152</v>
      </c>
      <c r="K155"/>
      <c r="L155" t="s">
        <v>1153</v>
      </c>
      <c r="M155"/>
      <c r="N155" s="1" t="s">
        <v>1130</v>
      </c>
      <c r="O155" s="30" t="str">
        <f t="shared" si="2"/>
        <v>valter.canova@renault.com;;danyke.livramento@renault.com; alexander.serrano@renault.com;;thiago.braga@renault.com;;renato.tocantins@renault.com;;felipe.santos@renault.com</v>
      </c>
    </row>
    <row r="156" spans="2:15">
      <c r="B156" s="2">
        <v>7600878</v>
      </c>
      <c r="C156" s="4" t="s">
        <v>1156</v>
      </c>
      <c r="D156" s="3">
        <v>3</v>
      </c>
      <c r="E156" s="3">
        <v>2</v>
      </c>
      <c r="F156" t="s">
        <v>1150</v>
      </c>
      <c r="G156"/>
      <c r="H156" t="s">
        <v>1154</v>
      </c>
      <c r="I156"/>
      <c r="J156" t="s">
        <v>1152</v>
      </c>
      <c r="K156"/>
      <c r="L156" t="s">
        <v>1153</v>
      </c>
      <c r="M156"/>
      <c r="N156" s="1" t="s">
        <v>1130</v>
      </c>
      <c r="O156" s="30" t="str">
        <f t="shared" si="2"/>
        <v>valter.canova@renault.com;;danyke.livramento@renault.com; alexander.serrano@renault.com;;thiago.braga@renault.com;;renato.tocantins@renault.com;;felipe.santos@renault.com</v>
      </c>
    </row>
    <row r="157" spans="2:15">
      <c r="B157" s="2">
        <v>7600770</v>
      </c>
      <c r="C157" s="4" t="s">
        <v>646</v>
      </c>
      <c r="D157" s="3">
        <v>3</v>
      </c>
      <c r="E157" s="3">
        <v>2</v>
      </c>
      <c r="F157" t="s">
        <v>1150</v>
      </c>
      <c r="G157"/>
      <c r="H157" t="s">
        <v>1154</v>
      </c>
      <c r="I157"/>
      <c r="J157" t="s">
        <v>1152</v>
      </c>
      <c r="K157"/>
      <c r="L157" t="s">
        <v>1153</v>
      </c>
      <c r="M157"/>
      <c r="N157" s="1" t="s">
        <v>1130</v>
      </c>
      <c r="O157" s="30" t="str">
        <f t="shared" si="2"/>
        <v>valter.canova@renault.com;;danyke.livramento@renault.com; alexander.serrano@renault.com;;thiago.braga@renault.com;;renato.tocantins@renault.com;;felipe.santos@renault.com</v>
      </c>
    </row>
    <row r="158" spans="2:15">
      <c r="B158" s="2">
        <v>7600690</v>
      </c>
      <c r="C158" s="4" t="s">
        <v>652</v>
      </c>
      <c r="D158" s="3">
        <v>3</v>
      </c>
      <c r="E158" s="3">
        <v>2</v>
      </c>
      <c r="F158" t="s">
        <v>1150</v>
      </c>
      <c r="G158"/>
      <c r="H158" t="s">
        <v>1154</v>
      </c>
      <c r="I158"/>
      <c r="J158" t="s">
        <v>1152</v>
      </c>
      <c r="K158"/>
      <c r="L158" t="s">
        <v>1153</v>
      </c>
      <c r="M158"/>
      <c r="N158" s="1" t="s">
        <v>1130</v>
      </c>
      <c r="O158" s="30" t="str">
        <f t="shared" si="2"/>
        <v>valter.canova@renault.com;;danyke.livramento@renault.com; alexander.serrano@renault.com;;thiago.braga@renault.com;;renato.tocantins@renault.com;;felipe.santos@renault.com</v>
      </c>
    </row>
    <row r="159" spans="2:15">
      <c r="B159" s="2">
        <v>7600820</v>
      </c>
      <c r="C159" s="4" t="s">
        <v>657</v>
      </c>
      <c r="D159" s="3">
        <v>3</v>
      </c>
      <c r="E159" s="3">
        <v>2</v>
      </c>
      <c r="F159" t="s">
        <v>1150</v>
      </c>
      <c r="G159"/>
      <c r="H159" t="s">
        <v>1154</v>
      </c>
      <c r="I159"/>
      <c r="J159" t="s">
        <v>1152</v>
      </c>
      <c r="K159"/>
      <c r="L159" t="s">
        <v>1153</v>
      </c>
      <c r="M159"/>
      <c r="N159" s="1" t="s">
        <v>1130</v>
      </c>
      <c r="O159" s="30" t="str">
        <f t="shared" si="2"/>
        <v>valter.canova@renault.com;;danyke.livramento@renault.com; alexander.serrano@renault.com;;thiago.braga@renault.com;;renato.tocantins@renault.com;;felipe.santos@renault.com</v>
      </c>
    </row>
    <row r="160" spans="2:15">
      <c r="B160" s="2">
        <v>7600813</v>
      </c>
      <c r="C160" s="4" t="s">
        <v>662</v>
      </c>
      <c r="D160" s="3">
        <v>3</v>
      </c>
      <c r="E160" s="3">
        <v>2</v>
      </c>
      <c r="F160" t="s">
        <v>1150</v>
      </c>
      <c r="G160"/>
      <c r="H160" t="s">
        <v>1154</v>
      </c>
      <c r="I160"/>
      <c r="J160" t="s">
        <v>1152</v>
      </c>
      <c r="K160"/>
      <c r="L160" t="s">
        <v>1153</v>
      </c>
      <c r="M160"/>
      <c r="N160" s="1" t="s">
        <v>1130</v>
      </c>
      <c r="O160" s="30" t="str">
        <f t="shared" si="2"/>
        <v>valter.canova@renault.com;;danyke.livramento@renault.com; alexander.serrano@renault.com;;thiago.braga@renault.com;;renato.tocantins@renault.com;;felipe.santos@renault.com</v>
      </c>
    </row>
    <row r="161" spans="2:15">
      <c r="B161" s="2">
        <v>7600726</v>
      </c>
      <c r="C161" s="4" t="s">
        <v>722</v>
      </c>
      <c r="D161" s="3">
        <v>3</v>
      </c>
      <c r="E161" s="3">
        <v>3</v>
      </c>
      <c r="F161" t="s">
        <v>1150</v>
      </c>
      <c r="G161"/>
      <c r="H161" t="s">
        <v>1155</v>
      </c>
      <c r="I161"/>
      <c r="J161" t="s">
        <v>1152</v>
      </c>
      <c r="K161"/>
      <c r="L161" t="s">
        <v>1153</v>
      </c>
      <c r="M161"/>
      <c r="N161" s="1" t="s">
        <v>1130</v>
      </c>
      <c r="O161" s="30" t="str">
        <f t="shared" si="2"/>
        <v>valter.canova@renault.com;;carlos.utrabo@renault.com; alexander.serrano@renault.com;;thiago.braga@renault.com;;renato.tocantins@renault.com;;felipe.santos@renault.com</v>
      </c>
    </row>
    <row r="162" spans="2:15">
      <c r="B162" s="2">
        <v>7601180</v>
      </c>
      <c r="C162" s="4" t="s">
        <v>699</v>
      </c>
      <c r="D162" s="3">
        <v>3</v>
      </c>
      <c r="E162" s="3">
        <v>4</v>
      </c>
      <c r="F162" t="s">
        <v>1150</v>
      </c>
      <c r="G162"/>
      <c r="H162" t="s">
        <v>1157</v>
      </c>
      <c r="I162"/>
      <c r="J162" t="s">
        <v>1152</v>
      </c>
      <c r="K162"/>
      <c r="L162" t="s">
        <v>1153</v>
      </c>
      <c r="M162"/>
      <c r="N162" s="1" t="s">
        <v>1130</v>
      </c>
      <c r="O162" s="30" t="str">
        <f t="shared" si="2"/>
        <v>valter.canova@renault.com;;carlos.utrabo@renault.com; eduardo.e.nogueira@renault.com;;thiago.braga@renault.com;;renato.tocantins@renault.com;;felipe.santos@renault.com</v>
      </c>
    </row>
    <row r="163" spans="2:15">
      <c r="B163" s="2">
        <v>7600875</v>
      </c>
      <c r="C163" s="4" t="s">
        <v>707</v>
      </c>
      <c r="D163" s="3">
        <v>3</v>
      </c>
      <c r="E163" s="3">
        <v>4</v>
      </c>
      <c r="F163" t="s">
        <v>1150</v>
      </c>
      <c r="G163"/>
      <c r="H163" t="s">
        <v>1157</v>
      </c>
      <c r="I163"/>
      <c r="J163" t="s">
        <v>1152</v>
      </c>
      <c r="K163"/>
      <c r="L163" t="s">
        <v>1153</v>
      </c>
      <c r="M163"/>
      <c r="N163" s="1" t="s">
        <v>1130</v>
      </c>
      <c r="O163" s="30" t="str">
        <f t="shared" si="2"/>
        <v>valter.canova@renault.com;;carlos.utrabo@renault.com; eduardo.e.nogueira@renault.com;;thiago.braga@renault.com;;renato.tocantins@renault.com;;felipe.santos@renault.com</v>
      </c>
    </row>
    <row r="164" spans="2:15">
      <c r="B164" s="2">
        <v>7600826</v>
      </c>
      <c r="C164" s="4" t="s">
        <v>712</v>
      </c>
      <c r="D164" s="3">
        <v>3</v>
      </c>
      <c r="E164" s="3">
        <v>4</v>
      </c>
      <c r="F164" t="s">
        <v>1150</v>
      </c>
      <c r="G164"/>
      <c r="H164" t="s">
        <v>1157</v>
      </c>
      <c r="I164"/>
      <c r="J164" t="s">
        <v>1152</v>
      </c>
      <c r="K164"/>
      <c r="L164" t="s">
        <v>1153</v>
      </c>
      <c r="M164"/>
      <c r="N164" s="1" t="s">
        <v>1130</v>
      </c>
      <c r="O164" s="30" t="str">
        <f t="shared" si="2"/>
        <v>valter.canova@renault.com;;carlos.utrabo@renault.com; eduardo.e.nogueira@renault.com;;thiago.braga@renault.com;;renato.tocantins@renault.com;;felipe.santos@renault.com</v>
      </c>
    </row>
    <row r="165" spans="2:15">
      <c r="B165" s="2">
        <v>7601179</v>
      </c>
      <c r="C165" s="4" t="s">
        <v>715</v>
      </c>
      <c r="D165" s="3">
        <v>3</v>
      </c>
      <c r="E165" s="3">
        <v>4</v>
      </c>
      <c r="F165" t="s">
        <v>1150</v>
      </c>
      <c r="G165"/>
      <c r="H165" t="s">
        <v>1157</v>
      </c>
      <c r="I165"/>
      <c r="J165" t="s">
        <v>1152</v>
      </c>
      <c r="K165"/>
      <c r="L165" t="s">
        <v>1153</v>
      </c>
      <c r="M165"/>
      <c r="N165" s="1" t="s">
        <v>1130</v>
      </c>
      <c r="O165" s="30" t="str">
        <f t="shared" si="2"/>
        <v>valter.canova@renault.com;;carlos.utrabo@renault.com; eduardo.e.nogueira@renault.com;;thiago.braga@renault.com;;renato.tocantins@renault.com;;felipe.santos@renault.com</v>
      </c>
    </row>
    <row r="166" spans="2:15">
      <c r="B166" s="2">
        <v>7600822</v>
      </c>
      <c r="C166" s="4" t="s">
        <v>718</v>
      </c>
      <c r="D166" s="3">
        <v>3</v>
      </c>
      <c r="E166" s="3">
        <v>4</v>
      </c>
      <c r="F166" t="s">
        <v>1150</v>
      </c>
      <c r="G166"/>
      <c r="H166" t="s">
        <v>1157</v>
      </c>
      <c r="I166"/>
      <c r="J166" t="s">
        <v>1152</v>
      </c>
      <c r="K166"/>
      <c r="L166" t="s">
        <v>1153</v>
      </c>
      <c r="M166"/>
      <c r="N166" s="1" t="s">
        <v>1130</v>
      </c>
      <c r="O166" s="30" t="str">
        <f t="shared" si="2"/>
        <v>valter.canova@renault.com;;carlos.utrabo@renault.com; eduardo.e.nogueira@renault.com;;thiago.braga@renault.com;;renato.tocantins@renault.com;;felipe.santos@renault.com</v>
      </c>
    </row>
    <row r="167" spans="2:15">
      <c r="B167" s="2">
        <v>7601128</v>
      </c>
      <c r="C167" s="4" t="s">
        <v>732</v>
      </c>
      <c r="D167" s="3">
        <v>3</v>
      </c>
      <c r="E167" s="3">
        <v>3</v>
      </c>
      <c r="F167" t="s">
        <v>1150</v>
      </c>
      <c r="G167"/>
      <c r="H167" t="s">
        <v>1158</v>
      </c>
      <c r="I167"/>
      <c r="J167" t="s">
        <v>1152</v>
      </c>
      <c r="K167"/>
      <c r="L167" t="s">
        <v>1153</v>
      </c>
      <c r="M167"/>
      <c r="N167" s="1" t="s">
        <v>1130</v>
      </c>
      <c r="O167" s="30" t="str">
        <f t="shared" si="2"/>
        <v>valter.canova@renault.com;;renata.r.andrade@renault.com; eduardo.e.nogueira@renault.com;;thiago.braga@renault.com;;renato.tocantins@renault.com;;felipe.santos@renault.com</v>
      </c>
    </row>
    <row r="168" spans="2:15">
      <c r="B168" s="2">
        <v>7601037</v>
      </c>
      <c r="C168" s="4" t="s">
        <v>736</v>
      </c>
      <c r="D168" s="3">
        <v>3</v>
      </c>
      <c r="E168" s="3">
        <v>3</v>
      </c>
      <c r="F168" t="s">
        <v>1150</v>
      </c>
      <c r="G168"/>
      <c r="H168" t="s">
        <v>1158</v>
      </c>
      <c r="I168"/>
      <c r="J168" t="s">
        <v>1152</v>
      </c>
      <c r="K168"/>
      <c r="L168" t="s">
        <v>1153</v>
      </c>
      <c r="M168"/>
      <c r="N168" s="1" t="s">
        <v>1130</v>
      </c>
      <c r="O168" s="30" t="str">
        <f t="shared" si="2"/>
        <v>valter.canova@renault.com;;renata.r.andrade@renault.com; eduardo.e.nogueira@renault.com;;thiago.braga@renault.com;;renato.tocantins@renault.com;;felipe.santos@renault.com</v>
      </c>
    </row>
    <row r="169" spans="2:15">
      <c r="B169" s="2">
        <v>7601038</v>
      </c>
      <c r="C169" s="4" t="s">
        <v>728</v>
      </c>
      <c r="D169" s="3">
        <v>3</v>
      </c>
      <c r="E169" s="3">
        <v>3</v>
      </c>
      <c r="F169" t="s">
        <v>1150</v>
      </c>
      <c r="G169"/>
      <c r="H169" t="s">
        <v>1158</v>
      </c>
      <c r="I169"/>
      <c r="J169" t="s">
        <v>1152</v>
      </c>
      <c r="K169"/>
      <c r="L169" t="s">
        <v>1153</v>
      </c>
      <c r="M169"/>
      <c r="N169" s="1" t="s">
        <v>1130</v>
      </c>
      <c r="O169" s="30" t="str">
        <f t="shared" si="2"/>
        <v>valter.canova@renault.com;;renata.r.andrade@renault.com; eduardo.e.nogueira@renault.com;;thiago.braga@renault.com;;renato.tocantins@renault.com;;felipe.santos@renault.com</v>
      </c>
    </row>
    <row r="170" spans="2:15">
      <c r="B170" s="2">
        <v>7601004</v>
      </c>
      <c r="C170" s="4" t="s">
        <v>740</v>
      </c>
      <c r="D170" s="3">
        <v>3</v>
      </c>
      <c r="E170" s="3">
        <v>3</v>
      </c>
      <c r="F170" t="s">
        <v>1150</v>
      </c>
      <c r="G170"/>
      <c r="H170" t="s">
        <v>1159</v>
      </c>
      <c r="I170"/>
      <c r="J170" t="s">
        <v>1152</v>
      </c>
      <c r="K170"/>
      <c r="L170" t="s">
        <v>1153</v>
      </c>
      <c r="M170"/>
      <c r="N170" s="1" t="s">
        <v>1130</v>
      </c>
      <c r="O170" s="30" t="str">
        <f t="shared" si="2"/>
        <v>valter.canova@renault.com;;renata.r.andrade@renault.com; alexander.serrano@renault.com;;thiago.braga@renault.com;;renato.tocantins@renault.com;;felipe.santos@renault.com</v>
      </c>
    </row>
    <row r="171" spans="2:15">
      <c r="B171" s="2">
        <v>7600086</v>
      </c>
      <c r="C171" s="4" t="s">
        <v>745</v>
      </c>
      <c r="D171" s="3">
        <v>3</v>
      </c>
      <c r="E171" s="3">
        <v>3</v>
      </c>
      <c r="F171" t="s">
        <v>1150</v>
      </c>
      <c r="G171"/>
      <c r="H171" t="s">
        <v>1159</v>
      </c>
      <c r="I171"/>
      <c r="J171" t="s">
        <v>1152</v>
      </c>
      <c r="K171"/>
      <c r="L171" t="s">
        <v>1153</v>
      </c>
      <c r="M171"/>
      <c r="N171" s="1" t="s">
        <v>1130</v>
      </c>
      <c r="O171" s="30" t="str">
        <f t="shared" si="2"/>
        <v>valter.canova@renault.com;;renata.r.andrade@renault.com; alexander.serrano@renault.com;;thiago.braga@renault.com;;renato.tocantins@renault.com;;felipe.santos@renault.com</v>
      </c>
    </row>
    <row r="172" spans="2:15">
      <c r="B172" s="2">
        <v>7601169</v>
      </c>
      <c r="C172" s="4" t="s">
        <v>750</v>
      </c>
      <c r="D172" s="3">
        <v>3</v>
      </c>
      <c r="E172" s="3">
        <v>4</v>
      </c>
      <c r="F172" t="s">
        <v>1150</v>
      </c>
      <c r="G172"/>
      <c r="H172" t="s">
        <v>1155</v>
      </c>
      <c r="I172"/>
      <c r="J172" t="s">
        <v>1152</v>
      </c>
      <c r="K172"/>
      <c r="L172" t="s">
        <v>1153</v>
      </c>
      <c r="M172"/>
      <c r="N172" s="1" t="s">
        <v>1130</v>
      </c>
      <c r="O172" s="30" t="str">
        <f t="shared" si="2"/>
        <v>valter.canova@renault.com;;carlos.utrabo@renault.com; alexander.serrano@renault.com;;thiago.braga@renault.com;;renato.tocantins@renault.com;;felipe.santos@renault.com</v>
      </c>
    </row>
    <row r="173" spans="2:15">
      <c r="B173" s="2">
        <v>7600705</v>
      </c>
      <c r="C173" s="4" t="s">
        <v>756</v>
      </c>
      <c r="D173" s="3">
        <v>3</v>
      </c>
      <c r="E173" s="3">
        <v>4</v>
      </c>
      <c r="F173" t="s">
        <v>1150</v>
      </c>
      <c r="G173"/>
      <c r="H173" t="s">
        <v>1155</v>
      </c>
      <c r="I173"/>
      <c r="J173" t="s">
        <v>1152</v>
      </c>
      <c r="K173"/>
      <c r="L173" t="s">
        <v>1153</v>
      </c>
      <c r="M173"/>
      <c r="N173" s="1" t="s">
        <v>1130</v>
      </c>
      <c r="O173" s="30" t="str">
        <f t="shared" si="2"/>
        <v>valter.canova@renault.com;;carlos.utrabo@renault.com; alexander.serrano@renault.com;;thiago.braga@renault.com;;renato.tocantins@renault.com;;felipe.santos@renault.com</v>
      </c>
    </row>
    <row r="174" spans="2:15">
      <c r="B174" s="2">
        <v>7600546</v>
      </c>
      <c r="C174" s="4" t="s">
        <v>761</v>
      </c>
      <c r="D174" s="3">
        <v>3</v>
      </c>
      <c r="E174" s="3">
        <v>4</v>
      </c>
      <c r="F174" t="s">
        <v>1150</v>
      </c>
      <c r="G174"/>
      <c r="H174" t="s">
        <v>1155</v>
      </c>
      <c r="I174"/>
      <c r="J174" t="s">
        <v>1152</v>
      </c>
      <c r="K174"/>
      <c r="L174" t="s">
        <v>1153</v>
      </c>
      <c r="M174"/>
      <c r="N174" s="1" t="s">
        <v>1130</v>
      </c>
      <c r="O174" s="30" t="str">
        <f t="shared" si="2"/>
        <v>valter.canova@renault.com;;carlos.utrabo@renault.com; alexander.serrano@renault.com;;thiago.braga@renault.com;;renato.tocantins@renault.com;;felipe.santos@renault.com</v>
      </c>
    </row>
    <row r="175" spans="2:15">
      <c r="B175" s="2">
        <v>7601053</v>
      </c>
      <c r="C175" s="4" t="s">
        <v>763</v>
      </c>
      <c r="D175" s="3">
        <v>3</v>
      </c>
      <c r="E175" s="3">
        <v>1</v>
      </c>
      <c r="F175" t="s">
        <v>1150</v>
      </c>
      <c r="G175"/>
      <c r="H175" t="s">
        <v>1140</v>
      </c>
      <c r="I175"/>
      <c r="J175" t="s">
        <v>1152</v>
      </c>
      <c r="K175"/>
      <c r="L175" t="s">
        <v>1153</v>
      </c>
      <c r="M175"/>
      <c r="N175" s="1" t="s">
        <v>1130</v>
      </c>
      <c r="O175" s="30" t="str">
        <f t="shared" si="2"/>
        <v>valter.canova@renault.com;;rafael.anselmo-extern@renault.com; rafael.anselmo-extern@renault.com;;thiago.braga@renault.com;;renato.tocantins@renault.com;;felipe.santos@renault.com</v>
      </c>
    </row>
    <row r="176" spans="2:15">
      <c r="B176" s="2">
        <v>7601054</v>
      </c>
      <c r="C176" s="4" t="s">
        <v>769</v>
      </c>
      <c r="D176" s="3">
        <v>3</v>
      </c>
      <c r="E176" s="3">
        <v>1</v>
      </c>
      <c r="F176" t="s">
        <v>1150</v>
      </c>
      <c r="G176"/>
      <c r="H176" t="s">
        <v>1140</v>
      </c>
      <c r="I176"/>
      <c r="J176" t="s">
        <v>1152</v>
      </c>
      <c r="K176"/>
      <c r="L176" t="s">
        <v>1153</v>
      </c>
      <c r="M176"/>
      <c r="N176" s="1" t="s">
        <v>1130</v>
      </c>
      <c r="O176" s="30" t="str">
        <f t="shared" si="2"/>
        <v>valter.canova@renault.com;;rafael.anselmo-extern@renault.com; rafael.anselmo-extern@renault.com;;thiago.braga@renault.com;;renato.tocantins@renault.com;;felipe.santos@renault.com</v>
      </c>
    </row>
    <row r="177" spans="2:15">
      <c r="B177" s="2">
        <v>7600088</v>
      </c>
      <c r="C177" s="4" t="s">
        <v>771</v>
      </c>
      <c r="D177" s="3">
        <v>3</v>
      </c>
      <c r="E177" s="3">
        <v>2</v>
      </c>
      <c r="F177" t="s">
        <v>1150</v>
      </c>
      <c r="G177"/>
      <c r="H177" t="s">
        <v>1154</v>
      </c>
      <c r="I177"/>
      <c r="J177" t="s">
        <v>1152</v>
      </c>
      <c r="K177"/>
      <c r="L177" t="s">
        <v>1153</v>
      </c>
      <c r="M177"/>
      <c r="N177" s="1" t="s">
        <v>1130</v>
      </c>
      <c r="O177" s="30" t="str">
        <f t="shared" si="2"/>
        <v>valter.canova@renault.com;;danyke.livramento@renault.com; alexander.serrano@renault.com;;thiago.braga@renault.com;;renato.tocantins@renault.com;;felipe.santos@renault.com</v>
      </c>
    </row>
    <row r="178" spans="2:15">
      <c r="B178" s="2">
        <v>7600111</v>
      </c>
      <c r="C178" s="4" t="s">
        <v>776</v>
      </c>
      <c r="D178" s="3">
        <v>3</v>
      </c>
      <c r="E178" s="3">
        <v>2</v>
      </c>
      <c r="F178" t="s">
        <v>1150</v>
      </c>
      <c r="G178"/>
      <c r="H178" t="s">
        <v>1154</v>
      </c>
      <c r="I178"/>
      <c r="J178" t="s">
        <v>1152</v>
      </c>
      <c r="K178"/>
      <c r="L178" t="s">
        <v>1153</v>
      </c>
      <c r="M178"/>
      <c r="N178" s="1" t="s">
        <v>1130</v>
      </c>
      <c r="O178" s="30" t="str">
        <f t="shared" si="2"/>
        <v>valter.canova@renault.com;;danyke.livramento@renault.com; alexander.serrano@renault.com;;thiago.braga@renault.com;;renato.tocantins@renault.com;;felipe.santos@renault.com</v>
      </c>
    </row>
    <row r="179" spans="2:15">
      <c r="B179" s="2">
        <v>7600989</v>
      </c>
      <c r="C179" s="4" t="s">
        <v>779</v>
      </c>
      <c r="D179" s="3">
        <v>3</v>
      </c>
      <c r="E179" s="3">
        <v>1</v>
      </c>
      <c r="F179" t="s">
        <v>1150</v>
      </c>
      <c r="G179"/>
      <c r="H179" t="s">
        <v>1140</v>
      </c>
      <c r="I179"/>
      <c r="J179" t="s">
        <v>1152</v>
      </c>
      <c r="K179"/>
      <c r="L179" t="s">
        <v>1153</v>
      </c>
      <c r="M179"/>
      <c r="N179" s="1" t="s">
        <v>1130</v>
      </c>
      <c r="O179" s="30" t="str">
        <f t="shared" si="2"/>
        <v>valter.canova@renault.com;;rafael.anselmo-extern@renault.com; rafael.anselmo-extern@renault.com;;thiago.braga@renault.com;;renato.tocantins@renault.com;;felipe.santos@renault.com</v>
      </c>
    </row>
    <row r="180" spans="2:15">
      <c r="B180" s="2">
        <v>7601160</v>
      </c>
      <c r="C180" s="4" t="s">
        <v>784</v>
      </c>
      <c r="D180" s="3">
        <v>3</v>
      </c>
      <c r="E180" s="3">
        <v>2</v>
      </c>
      <c r="F180" t="s">
        <v>1150</v>
      </c>
      <c r="G180"/>
      <c r="H180" t="s">
        <v>1154</v>
      </c>
      <c r="I180"/>
      <c r="J180" t="s">
        <v>1152</v>
      </c>
      <c r="K180"/>
      <c r="L180" t="s">
        <v>1153</v>
      </c>
      <c r="M180"/>
      <c r="N180" s="1" t="s">
        <v>1130</v>
      </c>
      <c r="O180" s="30" t="str">
        <f t="shared" si="2"/>
        <v>valter.canova@renault.com;;danyke.livramento@renault.com; alexander.serrano@renault.com;;thiago.braga@renault.com;;renato.tocantins@renault.com;;felipe.santos@renault.com</v>
      </c>
    </row>
    <row r="181" spans="2:15">
      <c r="B181" s="2">
        <v>7601240</v>
      </c>
      <c r="C181" s="4" t="s">
        <v>791</v>
      </c>
      <c r="D181" s="3">
        <v>3</v>
      </c>
      <c r="E181" s="3">
        <v>2</v>
      </c>
      <c r="F181" t="s">
        <v>1150</v>
      </c>
      <c r="G181"/>
      <c r="H181" t="s">
        <v>1154</v>
      </c>
      <c r="I181"/>
      <c r="J181" t="s">
        <v>1152</v>
      </c>
      <c r="K181"/>
      <c r="L181" t="s">
        <v>1153</v>
      </c>
      <c r="M181"/>
      <c r="N181" s="1" t="s">
        <v>1130</v>
      </c>
      <c r="O181" s="30" t="str">
        <f t="shared" si="2"/>
        <v>valter.canova@renault.com;;danyke.livramento@renault.com; alexander.serrano@renault.com;;thiago.braga@renault.com;;renato.tocantins@renault.com;;felipe.santos@renault.com</v>
      </c>
    </row>
    <row r="182" spans="2:15">
      <c r="B182" s="2">
        <v>7601168</v>
      </c>
      <c r="C182" s="4" t="s">
        <v>795</v>
      </c>
      <c r="D182" s="3">
        <v>3</v>
      </c>
      <c r="E182" s="3">
        <v>3</v>
      </c>
      <c r="F182" t="s">
        <v>1150</v>
      </c>
      <c r="G182"/>
      <c r="H182" t="s">
        <v>1159</v>
      </c>
      <c r="I182"/>
      <c r="J182" t="s">
        <v>1152</v>
      </c>
      <c r="K182"/>
      <c r="L182" t="s">
        <v>1153</v>
      </c>
      <c r="M182"/>
      <c r="N182" s="1" t="s">
        <v>1130</v>
      </c>
      <c r="O182" s="30" t="str">
        <f t="shared" si="2"/>
        <v>valter.canova@renault.com;;renata.r.andrade@renault.com; alexander.serrano@renault.com;;thiago.braga@renault.com;;renato.tocantins@renault.com;;felipe.santos@renault.com</v>
      </c>
    </row>
    <row r="183" spans="2:15">
      <c r="B183" s="2">
        <v>7601167</v>
      </c>
      <c r="C183" s="4" t="s">
        <v>802</v>
      </c>
      <c r="D183" s="3">
        <v>3</v>
      </c>
      <c r="E183" s="3">
        <v>3</v>
      </c>
      <c r="F183" t="s">
        <v>1150</v>
      </c>
      <c r="G183"/>
      <c r="H183" t="s">
        <v>1159</v>
      </c>
      <c r="I183"/>
      <c r="J183" t="s">
        <v>1152</v>
      </c>
      <c r="K183"/>
      <c r="L183" t="s">
        <v>1153</v>
      </c>
      <c r="M183"/>
      <c r="N183" s="1" t="s">
        <v>1130</v>
      </c>
      <c r="O183" s="30" t="str">
        <f t="shared" si="2"/>
        <v>valter.canova@renault.com;;renata.r.andrade@renault.com; alexander.serrano@renault.com;;thiago.braga@renault.com;;renato.tocantins@renault.com;;felipe.santos@renault.com</v>
      </c>
    </row>
    <row r="184" spans="2:15">
      <c r="B184" s="2">
        <v>7601176</v>
      </c>
      <c r="C184" s="4" t="s">
        <v>810</v>
      </c>
      <c r="D184" s="3">
        <v>3</v>
      </c>
      <c r="E184" s="3">
        <v>3</v>
      </c>
      <c r="F184" t="s">
        <v>1150</v>
      </c>
      <c r="G184"/>
      <c r="H184" t="s">
        <v>1158</v>
      </c>
      <c r="I184"/>
      <c r="J184" t="s">
        <v>1152</v>
      </c>
      <c r="K184"/>
      <c r="L184" t="s">
        <v>1153</v>
      </c>
      <c r="M184"/>
      <c r="N184" s="1" t="s">
        <v>1130</v>
      </c>
      <c r="O184" s="30" t="str">
        <f t="shared" si="2"/>
        <v>valter.canova@renault.com;;renata.r.andrade@renault.com; eduardo.e.nogueira@renault.com;;thiago.braga@renault.com;;renato.tocantins@renault.com;;felipe.santos@renault.com</v>
      </c>
    </row>
    <row r="185" spans="2:15">
      <c r="B185" s="2">
        <v>7601175</v>
      </c>
      <c r="C185" s="4" t="s">
        <v>815</v>
      </c>
      <c r="D185" s="3">
        <v>3</v>
      </c>
      <c r="E185" s="3">
        <v>3</v>
      </c>
      <c r="F185" t="s">
        <v>1150</v>
      </c>
      <c r="G185"/>
      <c r="H185" t="s">
        <v>1158</v>
      </c>
      <c r="I185"/>
      <c r="J185" t="s">
        <v>1152</v>
      </c>
      <c r="K185"/>
      <c r="L185" t="s">
        <v>1153</v>
      </c>
      <c r="M185"/>
      <c r="N185" s="1" t="s">
        <v>1130</v>
      </c>
      <c r="O185" s="30" t="str">
        <f t="shared" si="2"/>
        <v>valter.canova@renault.com;;renata.r.andrade@renault.com; eduardo.e.nogueira@renault.com;;thiago.braga@renault.com;;renato.tocantins@renault.com;;felipe.santos@renault.com</v>
      </c>
    </row>
    <row r="186" spans="2:15">
      <c r="B186" s="2">
        <v>7601203</v>
      </c>
      <c r="C186" s="4" t="s">
        <v>805</v>
      </c>
      <c r="D186" s="3">
        <v>3</v>
      </c>
      <c r="E186" s="3">
        <v>3</v>
      </c>
      <c r="F186" t="s">
        <v>1150</v>
      </c>
      <c r="G186"/>
      <c r="H186" t="s">
        <v>1158</v>
      </c>
      <c r="I186"/>
      <c r="J186" t="s">
        <v>1152</v>
      </c>
      <c r="K186"/>
      <c r="L186" t="s">
        <v>1153</v>
      </c>
      <c r="M186"/>
      <c r="N186" s="1" t="s">
        <v>1130</v>
      </c>
      <c r="O186" s="30" t="str">
        <f t="shared" si="2"/>
        <v>valter.canova@renault.com;;renata.r.andrade@renault.com; eduardo.e.nogueira@renault.com;;thiago.braga@renault.com;;renato.tocantins@renault.com;;felipe.santos@renault.com</v>
      </c>
    </row>
    <row r="187" spans="2:15">
      <c r="B187" s="2">
        <v>7601067</v>
      </c>
      <c r="C187" s="4" t="s">
        <v>819</v>
      </c>
      <c r="D187" s="3">
        <v>3</v>
      </c>
      <c r="E187" s="3">
        <v>1</v>
      </c>
      <c r="F187" t="s">
        <v>1150</v>
      </c>
      <c r="G187"/>
      <c r="H187" t="s">
        <v>1140</v>
      </c>
      <c r="I187"/>
      <c r="J187" t="s">
        <v>1152</v>
      </c>
      <c r="K187"/>
      <c r="L187" t="s">
        <v>1153</v>
      </c>
      <c r="M187"/>
      <c r="N187" s="1" t="s">
        <v>1130</v>
      </c>
      <c r="O187" s="30" t="str">
        <f t="shared" ref="O187:O248" si="3">F187&amp;";"&amp;G187&amp;";"&amp;H187&amp;";"&amp;I187&amp;";"&amp;J187&amp;";"&amp;K187&amp;";"&amp;L187&amp;";"&amp;M187&amp;";"&amp;N187</f>
        <v>valter.canova@renault.com;;rafael.anselmo-extern@renault.com; rafael.anselmo-extern@renault.com;;thiago.braga@renault.com;;renato.tocantins@renault.com;;felipe.santos@renault.com</v>
      </c>
    </row>
    <row r="188" spans="2:15">
      <c r="B188" s="2">
        <v>7600759</v>
      </c>
      <c r="C188" s="4" t="s">
        <v>825</v>
      </c>
      <c r="D188" s="3">
        <v>3</v>
      </c>
      <c r="E188" s="3">
        <v>3</v>
      </c>
      <c r="F188" t="s">
        <v>1150</v>
      </c>
      <c r="G188"/>
      <c r="H188" t="s">
        <v>1158</v>
      </c>
      <c r="I188"/>
      <c r="J188" t="s">
        <v>1152</v>
      </c>
      <c r="K188"/>
      <c r="L188" t="s">
        <v>1153</v>
      </c>
      <c r="M188"/>
      <c r="N188" s="1" t="s">
        <v>1130</v>
      </c>
      <c r="O188" s="30" t="str">
        <f t="shared" si="3"/>
        <v>valter.canova@renault.com;;renata.r.andrade@renault.com; eduardo.e.nogueira@renault.com;;thiago.braga@renault.com;;renato.tocantins@renault.com;;felipe.santos@renault.com</v>
      </c>
    </row>
    <row r="189" spans="2:15">
      <c r="B189" s="2">
        <v>7600667</v>
      </c>
      <c r="C189" s="4" t="s">
        <v>832</v>
      </c>
      <c r="D189" s="3">
        <v>3</v>
      </c>
      <c r="E189" s="3">
        <v>3</v>
      </c>
      <c r="F189" t="s">
        <v>1150</v>
      </c>
      <c r="G189"/>
      <c r="H189" t="s">
        <v>1158</v>
      </c>
      <c r="I189"/>
      <c r="J189" t="s">
        <v>1152</v>
      </c>
      <c r="K189"/>
      <c r="L189" t="s">
        <v>1153</v>
      </c>
      <c r="M189"/>
      <c r="N189" s="1" t="s">
        <v>1130</v>
      </c>
      <c r="O189" s="30" t="str">
        <f t="shared" si="3"/>
        <v>valter.canova@renault.com;;renata.r.andrade@renault.com; eduardo.e.nogueira@renault.com;;thiago.braga@renault.com;;renato.tocantins@renault.com;;felipe.santos@renault.com</v>
      </c>
    </row>
    <row r="190" spans="2:15">
      <c r="B190" s="2">
        <v>7600554</v>
      </c>
      <c r="C190" s="4" t="s">
        <v>837</v>
      </c>
      <c r="D190" s="3">
        <v>3</v>
      </c>
      <c r="E190" s="3">
        <v>3</v>
      </c>
      <c r="F190" t="s">
        <v>1150</v>
      </c>
      <c r="G190"/>
      <c r="H190" t="s">
        <v>1158</v>
      </c>
      <c r="I190"/>
      <c r="J190" t="s">
        <v>1152</v>
      </c>
      <c r="K190"/>
      <c r="L190" t="s">
        <v>1153</v>
      </c>
      <c r="M190"/>
      <c r="N190" s="1" t="s">
        <v>1130</v>
      </c>
      <c r="O190" s="30" t="str">
        <f t="shared" si="3"/>
        <v>valter.canova@renault.com;;renata.r.andrade@renault.com; eduardo.e.nogueira@renault.com;;thiago.braga@renault.com;;renato.tocantins@renault.com;;felipe.santos@renault.com</v>
      </c>
    </row>
    <row r="191" spans="2:15">
      <c r="B191" s="2">
        <v>7600741</v>
      </c>
      <c r="C191" s="4" t="s">
        <v>842</v>
      </c>
      <c r="D191" s="3">
        <v>4</v>
      </c>
      <c r="E191" s="3">
        <v>1</v>
      </c>
      <c r="F191" t="s">
        <v>1160</v>
      </c>
      <c r="G191"/>
      <c r="H191" t="s">
        <v>1161</v>
      </c>
      <c r="I191"/>
      <c r="J191" t="s">
        <v>1162</v>
      </c>
      <c r="K191"/>
      <c r="L191" t="s">
        <v>1163</v>
      </c>
      <c r="M191"/>
      <c r="N191" s="1" t="s">
        <v>1130</v>
      </c>
      <c r="O191" s="30" t="str">
        <f t="shared" si="3"/>
        <v>cesar.mafra@renault.com;;michele.nojima@renault.com ; aline.albino@renault.com;;gisele.pinto@renault.com;;fabio.guedes@renault.com;;felipe.santos@renault.com</v>
      </c>
    </row>
    <row r="192" spans="2:15">
      <c r="B192" s="2">
        <v>7600415</v>
      </c>
      <c r="C192" s="4" t="s">
        <v>849</v>
      </c>
      <c r="D192" s="3">
        <v>4</v>
      </c>
      <c r="E192" s="3">
        <v>1</v>
      </c>
      <c r="F192" t="s">
        <v>1160</v>
      </c>
      <c r="G192"/>
      <c r="H192" t="s">
        <v>1161</v>
      </c>
      <c r="I192"/>
      <c r="J192" t="s">
        <v>1162</v>
      </c>
      <c r="K192"/>
      <c r="L192" t="s">
        <v>1163</v>
      </c>
      <c r="M192"/>
      <c r="N192" s="1" t="s">
        <v>1130</v>
      </c>
      <c r="O192" s="30" t="str">
        <f t="shared" si="3"/>
        <v>cesar.mafra@renault.com;;michele.nojima@renault.com ; aline.albino@renault.com;;gisele.pinto@renault.com;;fabio.guedes@renault.com;;felipe.santos@renault.com</v>
      </c>
    </row>
    <row r="193" spans="2:15">
      <c r="B193" s="2">
        <v>7601137</v>
      </c>
      <c r="C193" s="4" t="s">
        <v>853</v>
      </c>
      <c r="D193" s="3">
        <v>4</v>
      </c>
      <c r="E193" s="3">
        <v>1</v>
      </c>
      <c r="F193" t="s">
        <v>1160</v>
      </c>
      <c r="G193"/>
      <c r="H193" t="s">
        <v>1164</v>
      </c>
      <c r="I193"/>
      <c r="J193" t="s">
        <v>1162</v>
      </c>
      <c r="K193"/>
      <c r="L193" t="s">
        <v>1163</v>
      </c>
      <c r="M193"/>
      <c r="N193" s="1" t="s">
        <v>1130</v>
      </c>
      <c r="O193" s="30" t="str">
        <f t="shared" si="3"/>
        <v>cesar.mafra@renault.com;;heloisa.landiose-extern@renault.com; heloisa.landiose-extern@renault.com;;gisele.pinto@renault.com;;fabio.guedes@renault.com;;felipe.santos@renault.com</v>
      </c>
    </row>
    <row r="194" spans="2:15">
      <c r="B194" s="2">
        <v>7600803</v>
      </c>
      <c r="C194" s="4" t="s">
        <v>857</v>
      </c>
      <c r="D194" s="3">
        <v>4</v>
      </c>
      <c r="E194" s="3">
        <v>1</v>
      </c>
      <c r="F194" t="s">
        <v>1160</v>
      </c>
      <c r="G194"/>
      <c r="H194" t="s">
        <v>1161</v>
      </c>
      <c r="I194"/>
      <c r="J194" t="s">
        <v>1162</v>
      </c>
      <c r="K194"/>
      <c r="L194" t="s">
        <v>1163</v>
      </c>
      <c r="M194"/>
      <c r="N194" s="1" t="s">
        <v>1130</v>
      </c>
      <c r="O194" s="30" t="str">
        <f t="shared" si="3"/>
        <v>cesar.mafra@renault.com;;michele.nojima@renault.com ; aline.albino@renault.com;;gisele.pinto@renault.com;;fabio.guedes@renault.com;;felipe.santos@renault.com</v>
      </c>
    </row>
    <row r="195" spans="2:15">
      <c r="B195" s="2">
        <v>7600861</v>
      </c>
      <c r="C195" s="4" t="s">
        <v>863</v>
      </c>
      <c r="D195" s="3">
        <v>4</v>
      </c>
      <c r="E195" s="3">
        <v>1</v>
      </c>
      <c r="F195" t="s">
        <v>1160</v>
      </c>
      <c r="G195"/>
      <c r="H195" t="s">
        <v>1164</v>
      </c>
      <c r="I195"/>
      <c r="J195" t="s">
        <v>1162</v>
      </c>
      <c r="K195"/>
      <c r="L195" t="s">
        <v>1163</v>
      </c>
      <c r="M195"/>
      <c r="N195" s="1" t="s">
        <v>1130</v>
      </c>
      <c r="O195" s="30" t="str">
        <f t="shared" si="3"/>
        <v>cesar.mafra@renault.com;;heloisa.landiose-extern@renault.com; heloisa.landiose-extern@renault.com;;gisele.pinto@renault.com;;fabio.guedes@renault.com;;felipe.santos@renault.com</v>
      </c>
    </row>
    <row r="196" spans="2:15">
      <c r="B196" s="2">
        <v>7600393</v>
      </c>
      <c r="C196" s="4" t="s">
        <v>868</v>
      </c>
      <c r="D196" s="3">
        <v>4</v>
      </c>
      <c r="E196" s="3">
        <v>1</v>
      </c>
      <c r="F196" t="s">
        <v>1160</v>
      </c>
      <c r="G196"/>
      <c r="H196" t="s">
        <v>1164</v>
      </c>
      <c r="I196"/>
      <c r="J196" t="s">
        <v>1162</v>
      </c>
      <c r="K196"/>
      <c r="L196" t="s">
        <v>1163</v>
      </c>
      <c r="M196"/>
      <c r="N196" s="1" t="s">
        <v>1130</v>
      </c>
      <c r="O196" s="30" t="str">
        <f t="shared" si="3"/>
        <v>cesar.mafra@renault.com;;heloisa.landiose-extern@renault.com; heloisa.landiose-extern@renault.com;;gisele.pinto@renault.com;;fabio.guedes@renault.com;;felipe.santos@renault.com</v>
      </c>
    </row>
    <row r="197" spans="2:15">
      <c r="B197" s="2">
        <v>7600760</v>
      </c>
      <c r="C197" s="4" t="s">
        <v>870</v>
      </c>
      <c r="D197" s="3">
        <v>4</v>
      </c>
      <c r="E197" s="3">
        <v>1</v>
      </c>
      <c r="F197" t="s">
        <v>1160</v>
      </c>
      <c r="G197"/>
      <c r="H197" t="s">
        <v>1161</v>
      </c>
      <c r="I197"/>
      <c r="J197" t="s">
        <v>1162</v>
      </c>
      <c r="K197"/>
      <c r="L197" t="s">
        <v>1163</v>
      </c>
      <c r="M197"/>
      <c r="N197" s="1" t="s">
        <v>1130</v>
      </c>
      <c r="O197" s="30" t="str">
        <f t="shared" si="3"/>
        <v>cesar.mafra@renault.com;;michele.nojima@renault.com ; aline.albino@renault.com;;gisele.pinto@renault.com;;fabio.guedes@renault.com;;felipe.santos@renault.com</v>
      </c>
    </row>
    <row r="198" spans="2:15">
      <c r="B198" s="2">
        <v>7600757</v>
      </c>
      <c r="C198" s="4" t="s">
        <v>876</v>
      </c>
      <c r="D198" s="3">
        <v>4</v>
      </c>
      <c r="E198" s="3">
        <v>1</v>
      </c>
      <c r="F198" t="s">
        <v>1160</v>
      </c>
      <c r="G198"/>
      <c r="H198" t="s">
        <v>1161</v>
      </c>
      <c r="I198"/>
      <c r="J198" t="s">
        <v>1162</v>
      </c>
      <c r="K198"/>
      <c r="L198" t="s">
        <v>1163</v>
      </c>
      <c r="M198"/>
      <c r="N198" s="1" t="s">
        <v>1130</v>
      </c>
      <c r="O198" s="30" t="str">
        <f t="shared" si="3"/>
        <v>cesar.mafra@renault.com;;michele.nojima@renault.com ; aline.albino@renault.com;;gisele.pinto@renault.com;;fabio.guedes@renault.com;;felipe.santos@renault.com</v>
      </c>
    </row>
    <row r="199" spans="2:15">
      <c r="B199" s="2">
        <v>7600501</v>
      </c>
      <c r="C199" s="4" t="s">
        <v>881</v>
      </c>
      <c r="D199" s="3">
        <v>4</v>
      </c>
      <c r="E199" s="3">
        <v>1</v>
      </c>
      <c r="F199" t="s">
        <v>1160</v>
      </c>
      <c r="G199"/>
      <c r="H199" t="s">
        <v>1161</v>
      </c>
      <c r="I199"/>
      <c r="J199" t="s">
        <v>1162</v>
      </c>
      <c r="K199"/>
      <c r="L199" t="s">
        <v>1163</v>
      </c>
      <c r="M199"/>
      <c r="N199" s="1" t="s">
        <v>1130</v>
      </c>
      <c r="O199" s="30" t="str">
        <f t="shared" si="3"/>
        <v>cesar.mafra@renault.com;;michele.nojima@renault.com ; aline.albino@renault.com;;gisele.pinto@renault.com;;fabio.guedes@renault.com;;felipe.santos@renault.com</v>
      </c>
    </row>
    <row r="200" spans="2:15">
      <c r="B200" s="2">
        <v>7600473</v>
      </c>
      <c r="C200" s="4" t="s">
        <v>887</v>
      </c>
      <c r="D200" s="3">
        <v>4</v>
      </c>
      <c r="E200" s="3">
        <v>1</v>
      </c>
      <c r="F200" t="s">
        <v>1160</v>
      </c>
      <c r="G200"/>
      <c r="H200" t="s">
        <v>1161</v>
      </c>
      <c r="I200"/>
      <c r="J200" t="s">
        <v>1162</v>
      </c>
      <c r="K200"/>
      <c r="L200" t="s">
        <v>1163</v>
      </c>
      <c r="M200"/>
      <c r="N200" s="1" t="s">
        <v>1130</v>
      </c>
      <c r="O200" s="30" t="str">
        <f t="shared" si="3"/>
        <v>cesar.mafra@renault.com;;michele.nojima@renault.com ; aline.albino@renault.com;;gisele.pinto@renault.com;;fabio.guedes@renault.com;;felipe.santos@renault.com</v>
      </c>
    </row>
    <row r="201" spans="2:15">
      <c r="B201" s="2">
        <v>7600091</v>
      </c>
      <c r="C201" s="4" t="s">
        <v>892</v>
      </c>
      <c r="D201" s="3">
        <v>4</v>
      </c>
      <c r="E201" s="3">
        <v>2</v>
      </c>
      <c r="F201" t="s">
        <v>1160</v>
      </c>
      <c r="G201"/>
      <c r="H201" t="s">
        <v>1165</v>
      </c>
      <c r="I201"/>
      <c r="J201" t="s">
        <v>1162</v>
      </c>
      <c r="K201"/>
      <c r="L201" t="s">
        <v>1163</v>
      </c>
      <c r="M201"/>
      <c r="N201" s="1" t="s">
        <v>1130</v>
      </c>
      <c r="O201" s="30" t="str">
        <f t="shared" si="3"/>
        <v>cesar.mafra@renault.com;;carolina.c.almeida@renault.com; carolina.c.almeida@renault.com;;gisele.pinto@renault.com;;fabio.guedes@renault.com;;felipe.santos@renault.com</v>
      </c>
    </row>
    <row r="202" spans="2:15">
      <c r="B202" s="2">
        <v>7601076</v>
      </c>
      <c r="C202" s="4" t="s">
        <v>898</v>
      </c>
      <c r="D202" s="3">
        <v>4</v>
      </c>
      <c r="E202" s="3">
        <v>3</v>
      </c>
      <c r="F202" t="s">
        <v>1160</v>
      </c>
      <c r="G202"/>
      <c r="H202" t="s">
        <v>1166</v>
      </c>
      <c r="I202"/>
      <c r="J202" t="s">
        <v>1162</v>
      </c>
      <c r="K202"/>
      <c r="L202" t="s">
        <v>1163</v>
      </c>
      <c r="M202"/>
      <c r="N202" s="1" t="s">
        <v>1130</v>
      </c>
      <c r="O202" s="30" t="str">
        <f t="shared" si="3"/>
        <v>cesar.mafra@renault.com;;gisele.pinto@renault.com; carolina.c.almeida@renault.com;;gisele.pinto@renault.com;;fabio.guedes@renault.com;;felipe.santos@renault.com</v>
      </c>
    </row>
    <row r="203" spans="2:15">
      <c r="B203" s="2">
        <v>7600976</v>
      </c>
      <c r="C203" s="4" t="s">
        <v>901</v>
      </c>
      <c r="D203" s="3">
        <v>4</v>
      </c>
      <c r="E203" s="3">
        <v>3</v>
      </c>
      <c r="F203" t="s">
        <v>1160</v>
      </c>
      <c r="G203"/>
      <c r="H203" t="s">
        <v>1166</v>
      </c>
      <c r="I203"/>
      <c r="J203" t="s">
        <v>1162</v>
      </c>
      <c r="K203"/>
      <c r="L203" t="s">
        <v>1163</v>
      </c>
      <c r="M203"/>
      <c r="N203" s="1" t="s">
        <v>1130</v>
      </c>
      <c r="O203" s="30" t="str">
        <f t="shared" si="3"/>
        <v>cesar.mafra@renault.com;;gisele.pinto@renault.com; carolina.c.almeida@renault.com;;gisele.pinto@renault.com;;fabio.guedes@renault.com;;felipe.santos@renault.com</v>
      </c>
    </row>
    <row r="204" spans="2:15">
      <c r="B204" s="2">
        <v>7601061</v>
      </c>
      <c r="C204" s="4" t="s">
        <v>903</v>
      </c>
      <c r="D204" s="3">
        <v>4</v>
      </c>
      <c r="E204" s="3">
        <v>3</v>
      </c>
      <c r="F204" t="s">
        <v>1160</v>
      </c>
      <c r="G204"/>
      <c r="H204" t="s">
        <v>1167</v>
      </c>
      <c r="I204"/>
      <c r="J204" t="s">
        <v>1162</v>
      </c>
      <c r="K204"/>
      <c r="L204" t="s">
        <v>1163</v>
      </c>
      <c r="M204"/>
      <c r="N204" s="1" t="s">
        <v>1130</v>
      </c>
      <c r="O204" s="30" t="str">
        <f t="shared" si="3"/>
        <v>cesar.mafra@renault.com;;aline.albino@renault.com; aline.albino@renault.com;;gisele.pinto@renault.com;;fabio.guedes@renault.com;;felipe.santos@renault.com</v>
      </c>
    </row>
    <row r="205" spans="2:15">
      <c r="B205" s="2">
        <v>7601209</v>
      </c>
      <c r="C205" s="4" t="s">
        <v>919</v>
      </c>
      <c r="D205" s="3">
        <v>4</v>
      </c>
      <c r="E205" s="3">
        <v>2</v>
      </c>
      <c r="F205" t="s">
        <v>1160</v>
      </c>
      <c r="G205"/>
      <c r="H205" t="s">
        <v>1167</v>
      </c>
      <c r="I205"/>
      <c r="J205" t="s">
        <v>1162</v>
      </c>
      <c r="K205"/>
      <c r="L205" t="s">
        <v>1163</v>
      </c>
      <c r="M205"/>
      <c r="N205" s="1" t="s">
        <v>1130</v>
      </c>
      <c r="O205" s="30" t="str">
        <f t="shared" si="3"/>
        <v>cesar.mafra@renault.com;;aline.albino@renault.com; aline.albino@renault.com;;gisele.pinto@renault.com;;fabio.guedes@renault.com;;felipe.santos@renault.com</v>
      </c>
    </row>
    <row r="206" spans="2:15">
      <c r="B206" s="2">
        <v>7600299</v>
      </c>
      <c r="C206" s="4" t="s">
        <v>909</v>
      </c>
      <c r="D206" s="3">
        <v>4</v>
      </c>
      <c r="E206" s="3">
        <v>2</v>
      </c>
      <c r="F206" t="s">
        <v>1160</v>
      </c>
      <c r="G206"/>
      <c r="H206" t="s">
        <v>1167</v>
      </c>
      <c r="I206"/>
      <c r="J206" t="s">
        <v>1162</v>
      </c>
      <c r="K206"/>
      <c r="L206" t="s">
        <v>1163</v>
      </c>
      <c r="M206"/>
      <c r="N206" s="1" t="s">
        <v>1130</v>
      </c>
      <c r="O206" s="30" t="str">
        <f t="shared" si="3"/>
        <v>cesar.mafra@renault.com;;aline.albino@renault.com; aline.albino@renault.com;;gisele.pinto@renault.com;;fabio.guedes@renault.com;;felipe.santos@renault.com</v>
      </c>
    </row>
    <row r="207" spans="2:15">
      <c r="B207" s="2">
        <v>7600139</v>
      </c>
      <c r="C207" s="4" t="s">
        <v>915</v>
      </c>
      <c r="D207" s="3">
        <v>4</v>
      </c>
      <c r="E207" s="3">
        <v>2</v>
      </c>
      <c r="F207" t="s">
        <v>1160</v>
      </c>
      <c r="G207"/>
      <c r="H207" t="s">
        <v>1167</v>
      </c>
      <c r="I207"/>
      <c r="J207" t="s">
        <v>1162</v>
      </c>
      <c r="K207"/>
      <c r="L207" t="s">
        <v>1163</v>
      </c>
      <c r="M207"/>
      <c r="N207" s="1" t="s">
        <v>1130</v>
      </c>
      <c r="O207" s="30" t="str">
        <f t="shared" si="3"/>
        <v>cesar.mafra@renault.com;;aline.albino@renault.com; aline.albino@renault.com;;gisele.pinto@renault.com;;fabio.guedes@renault.com;;felipe.santos@renault.com</v>
      </c>
    </row>
    <row r="208" spans="2:15">
      <c r="B208" s="2">
        <v>7600085</v>
      </c>
      <c r="C208" s="4" t="s">
        <v>923</v>
      </c>
      <c r="D208" s="3">
        <v>4</v>
      </c>
      <c r="E208" s="3">
        <v>2</v>
      </c>
      <c r="F208" t="s">
        <v>1160</v>
      </c>
      <c r="G208"/>
      <c r="H208" t="s">
        <v>1167</v>
      </c>
      <c r="I208"/>
      <c r="J208" t="s">
        <v>1162</v>
      </c>
      <c r="K208"/>
      <c r="L208" t="s">
        <v>1163</v>
      </c>
      <c r="M208"/>
      <c r="N208" s="1" t="s">
        <v>1130</v>
      </c>
      <c r="O208" s="30" t="str">
        <f t="shared" si="3"/>
        <v>cesar.mafra@renault.com;;aline.albino@renault.com; aline.albino@renault.com;;gisele.pinto@renault.com;;fabio.guedes@renault.com;;felipe.santos@renault.com</v>
      </c>
    </row>
    <row r="209" spans="2:15">
      <c r="B209" s="2">
        <v>7601262</v>
      </c>
      <c r="C209" s="4" t="s">
        <v>929</v>
      </c>
      <c r="D209" s="3">
        <v>4</v>
      </c>
      <c r="E209" s="3">
        <v>2</v>
      </c>
      <c r="F209" t="s">
        <v>1160</v>
      </c>
      <c r="G209"/>
      <c r="H209" t="s">
        <v>1167</v>
      </c>
      <c r="I209"/>
      <c r="J209" t="s">
        <v>1162</v>
      </c>
      <c r="K209"/>
      <c r="L209" t="s">
        <v>1163</v>
      </c>
      <c r="M209"/>
      <c r="N209" s="1" t="s">
        <v>1130</v>
      </c>
      <c r="O209" s="30" t="str">
        <f t="shared" si="3"/>
        <v>cesar.mafra@renault.com;;aline.albino@renault.com; aline.albino@renault.com;;gisele.pinto@renault.com;;fabio.guedes@renault.com;;felipe.santos@renault.com</v>
      </c>
    </row>
    <row r="210" spans="2:15">
      <c r="B210" s="2">
        <v>7601264</v>
      </c>
      <c r="C210" s="4" t="s">
        <v>933</v>
      </c>
      <c r="D210" s="3">
        <v>4</v>
      </c>
      <c r="E210" s="3">
        <v>2</v>
      </c>
      <c r="F210" t="s">
        <v>1160</v>
      </c>
      <c r="G210"/>
      <c r="H210" t="s">
        <v>1167</v>
      </c>
      <c r="I210"/>
      <c r="J210" t="s">
        <v>1162</v>
      </c>
      <c r="K210"/>
      <c r="L210" t="s">
        <v>1163</v>
      </c>
      <c r="M210"/>
      <c r="N210" s="1" t="s">
        <v>1130</v>
      </c>
      <c r="O210" s="30" t="str">
        <f t="shared" si="3"/>
        <v>cesar.mafra@renault.com;;aline.albino@renault.com; aline.albino@renault.com;;gisele.pinto@renault.com;;fabio.guedes@renault.com;;felipe.santos@renault.com</v>
      </c>
    </row>
    <row r="211" spans="2:15">
      <c r="B211" s="2">
        <v>7601263</v>
      </c>
      <c r="C211" s="4" t="s">
        <v>934</v>
      </c>
      <c r="D211" s="3">
        <v>4</v>
      </c>
      <c r="E211" s="3">
        <v>2</v>
      </c>
      <c r="F211" t="s">
        <v>1160</v>
      </c>
      <c r="G211"/>
      <c r="H211" t="s">
        <v>1167</v>
      </c>
      <c r="I211"/>
      <c r="J211" t="s">
        <v>1162</v>
      </c>
      <c r="K211"/>
      <c r="L211" t="s">
        <v>1163</v>
      </c>
      <c r="M211"/>
      <c r="N211" s="1" t="s">
        <v>1130</v>
      </c>
      <c r="O211" s="30" t="str">
        <f t="shared" si="3"/>
        <v>cesar.mafra@renault.com;;aline.albino@renault.com; aline.albino@renault.com;;gisele.pinto@renault.com;;fabio.guedes@renault.com;;felipe.santos@renault.com</v>
      </c>
    </row>
    <row r="212" spans="2:15">
      <c r="B212" s="2">
        <v>7601091</v>
      </c>
      <c r="C212" s="4" t="s">
        <v>935</v>
      </c>
      <c r="D212" s="3">
        <v>4</v>
      </c>
      <c r="E212" s="3">
        <v>2</v>
      </c>
      <c r="F212" t="s">
        <v>1160</v>
      </c>
      <c r="G212"/>
      <c r="H212" t="s">
        <v>1161</v>
      </c>
      <c r="I212"/>
      <c r="J212" t="s">
        <v>1162</v>
      </c>
      <c r="K212"/>
      <c r="L212" t="s">
        <v>1163</v>
      </c>
      <c r="M212"/>
      <c r="N212" s="1" t="s">
        <v>1130</v>
      </c>
      <c r="O212" s="30" t="str">
        <f t="shared" si="3"/>
        <v>cesar.mafra@renault.com;;michele.nojima@renault.com ; aline.albino@renault.com;;gisele.pinto@renault.com;;fabio.guedes@renault.com;;felipe.santos@renault.com</v>
      </c>
    </row>
    <row r="213" spans="2:15">
      <c r="B213" s="2">
        <v>7601187</v>
      </c>
      <c r="C213" s="4" t="s">
        <v>941</v>
      </c>
      <c r="D213" s="3">
        <v>4</v>
      </c>
      <c r="E213" s="3">
        <v>2</v>
      </c>
      <c r="F213" t="s">
        <v>1160</v>
      </c>
      <c r="G213"/>
      <c r="H213" t="s">
        <v>1161</v>
      </c>
      <c r="I213"/>
      <c r="J213" t="s">
        <v>1162</v>
      </c>
      <c r="K213"/>
      <c r="L213" t="s">
        <v>1163</v>
      </c>
      <c r="M213"/>
      <c r="N213" s="1" t="s">
        <v>1130</v>
      </c>
      <c r="O213" s="30" t="str">
        <f t="shared" si="3"/>
        <v>cesar.mafra@renault.com;;michele.nojima@renault.com ; aline.albino@renault.com;;gisele.pinto@renault.com;;fabio.guedes@renault.com;;felipe.santos@renault.com</v>
      </c>
    </row>
    <row r="214" spans="2:15">
      <c r="B214" s="2">
        <v>7601094</v>
      </c>
      <c r="C214" s="4" t="s">
        <v>946</v>
      </c>
      <c r="D214" s="3">
        <v>4</v>
      </c>
      <c r="E214" s="3">
        <v>1</v>
      </c>
      <c r="F214" t="s">
        <v>1160</v>
      </c>
      <c r="G214"/>
      <c r="H214" t="s">
        <v>1164</v>
      </c>
      <c r="I214"/>
      <c r="J214" t="s">
        <v>1162</v>
      </c>
      <c r="K214"/>
      <c r="L214" t="s">
        <v>1163</v>
      </c>
      <c r="M214"/>
      <c r="N214" s="1" t="s">
        <v>1130</v>
      </c>
      <c r="O214" s="30" t="str">
        <f t="shared" si="3"/>
        <v>cesar.mafra@renault.com;;heloisa.landiose-extern@renault.com; heloisa.landiose-extern@renault.com;;gisele.pinto@renault.com;;fabio.guedes@renault.com;;felipe.santos@renault.com</v>
      </c>
    </row>
    <row r="215" spans="2:15">
      <c r="B215" s="2">
        <v>7601086</v>
      </c>
      <c r="C215" s="4" t="s">
        <v>953</v>
      </c>
      <c r="D215" s="3">
        <v>4</v>
      </c>
      <c r="E215" s="3">
        <v>1</v>
      </c>
      <c r="F215" t="s">
        <v>1160</v>
      </c>
      <c r="G215"/>
      <c r="H215" t="s">
        <v>1164</v>
      </c>
      <c r="I215"/>
      <c r="J215" t="s">
        <v>1162</v>
      </c>
      <c r="K215"/>
      <c r="L215" t="s">
        <v>1163</v>
      </c>
      <c r="M215"/>
      <c r="N215" s="1" t="s">
        <v>1130</v>
      </c>
      <c r="O215" s="30" t="str">
        <f t="shared" si="3"/>
        <v>cesar.mafra@renault.com;;heloisa.landiose-extern@renault.com; heloisa.landiose-extern@renault.com;;gisele.pinto@renault.com;;fabio.guedes@renault.com;;felipe.santos@renault.com</v>
      </c>
    </row>
    <row r="216" spans="2:15">
      <c r="B216" s="2">
        <v>7600732</v>
      </c>
      <c r="C216" s="4" t="s">
        <v>958</v>
      </c>
      <c r="D216" s="3">
        <v>4</v>
      </c>
      <c r="E216" s="3">
        <v>1</v>
      </c>
      <c r="F216" t="s">
        <v>1160</v>
      </c>
      <c r="G216"/>
      <c r="H216" t="s">
        <v>1161</v>
      </c>
      <c r="I216"/>
      <c r="J216" t="s">
        <v>1162</v>
      </c>
      <c r="K216"/>
      <c r="L216" t="s">
        <v>1163</v>
      </c>
      <c r="M216"/>
      <c r="N216" s="1" t="s">
        <v>1130</v>
      </c>
      <c r="O216" s="30" t="str">
        <f t="shared" si="3"/>
        <v>cesar.mafra@renault.com;;michele.nojima@renault.com ; aline.albino@renault.com;;gisele.pinto@renault.com;;fabio.guedes@renault.com;;felipe.santos@renault.com</v>
      </c>
    </row>
    <row r="217" spans="2:15">
      <c r="B217" s="2">
        <v>7600935</v>
      </c>
      <c r="C217" s="4" t="s">
        <v>963</v>
      </c>
      <c r="D217" s="3">
        <v>4</v>
      </c>
      <c r="E217" s="3">
        <v>1</v>
      </c>
      <c r="F217" t="s">
        <v>1160</v>
      </c>
      <c r="G217"/>
      <c r="H217" t="s">
        <v>1164</v>
      </c>
      <c r="I217"/>
      <c r="J217" t="s">
        <v>1162</v>
      </c>
      <c r="K217"/>
      <c r="L217" t="s">
        <v>1163</v>
      </c>
      <c r="M217"/>
      <c r="N217" s="1" t="s">
        <v>1130</v>
      </c>
      <c r="O217" s="30" t="str">
        <f t="shared" si="3"/>
        <v>cesar.mafra@renault.com;;heloisa.landiose-extern@renault.com; heloisa.landiose-extern@renault.com;;gisele.pinto@renault.com;;fabio.guedes@renault.com;;felipe.santos@renault.com</v>
      </c>
    </row>
    <row r="218" spans="2:15">
      <c r="B218" s="2">
        <v>7600863</v>
      </c>
      <c r="C218" s="4" t="s">
        <v>969</v>
      </c>
      <c r="D218" s="3">
        <v>4</v>
      </c>
      <c r="E218" s="3">
        <v>1</v>
      </c>
      <c r="F218" t="s">
        <v>1160</v>
      </c>
      <c r="G218"/>
      <c r="H218" t="s">
        <v>1164</v>
      </c>
      <c r="I218"/>
      <c r="J218" t="s">
        <v>1162</v>
      </c>
      <c r="K218"/>
      <c r="L218" t="s">
        <v>1163</v>
      </c>
      <c r="M218"/>
      <c r="N218" s="1" t="s">
        <v>1130</v>
      </c>
      <c r="O218" s="30" t="str">
        <f t="shared" si="3"/>
        <v>cesar.mafra@renault.com;;heloisa.landiose-extern@renault.com; heloisa.landiose-extern@renault.com;;gisele.pinto@renault.com;;fabio.guedes@renault.com;;felipe.santos@renault.com</v>
      </c>
    </row>
    <row r="219" spans="2:15">
      <c r="B219" s="2">
        <v>7600104</v>
      </c>
      <c r="C219" s="4" t="s">
        <v>974</v>
      </c>
      <c r="D219" s="3">
        <v>4</v>
      </c>
      <c r="E219" s="3">
        <v>2</v>
      </c>
      <c r="F219" t="s">
        <v>1160</v>
      </c>
      <c r="G219"/>
      <c r="H219" t="s">
        <v>1165</v>
      </c>
      <c r="I219"/>
      <c r="J219" t="s">
        <v>1162</v>
      </c>
      <c r="K219"/>
      <c r="L219" t="s">
        <v>1163</v>
      </c>
      <c r="M219"/>
      <c r="N219" s="1" t="s">
        <v>1130</v>
      </c>
      <c r="O219" s="30" t="str">
        <f t="shared" si="3"/>
        <v>cesar.mafra@renault.com;;carolina.c.almeida@renault.com; carolina.c.almeida@renault.com;;gisele.pinto@renault.com;;fabio.guedes@renault.com;;felipe.santos@renault.com</v>
      </c>
    </row>
    <row r="220" spans="2:15">
      <c r="B220" s="2">
        <v>7600763</v>
      </c>
      <c r="C220" s="4" t="s">
        <v>981</v>
      </c>
      <c r="D220" s="3">
        <v>4</v>
      </c>
      <c r="E220" s="3">
        <v>2</v>
      </c>
      <c r="F220" t="s">
        <v>1160</v>
      </c>
      <c r="G220"/>
      <c r="H220" t="s">
        <v>1165</v>
      </c>
      <c r="I220"/>
      <c r="J220" t="s">
        <v>1162</v>
      </c>
      <c r="K220"/>
      <c r="L220" t="s">
        <v>1163</v>
      </c>
      <c r="M220"/>
      <c r="N220" s="1" t="s">
        <v>1130</v>
      </c>
      <c r="O220" s="30" t="str">
        <f t="shared" si="3"/>
        <v>cesar.mafra@renault.com;;carolina.c.almeida@renault.com; carolina.c.almeida@renault.com;;gisele.pinto@renault.com;;fabio.guedes@renault.com;;felipe.santos@renault.com</v>
      </c>
    </row>
    <row r="221" spans="2:15">
      <c r="B221" s="2">
        <v>7600743</v>
      </c>
      <c r="C221" s="4" t="s">
        <v>985</v>
      </c>
      <c r="D221" s="3">
        <v>4</v>
      </c>
      <c r="E221" s="3">
        <v>3</v>
      </c>
      <c r="F221" t="s">
        <v>1160</v>
      </c>
      <c r="G221"/>
      <c r="H221" t="s">
        <v>1165</v>
      </c>
      <c r="I221"/>
      <c r="J221" t="s">
        <v>1162</v>
      </c>
      <c r="K221"/>
      <c r="L221" t="s">
        <v>1163</v>
      </c>
      <c r="M221"/>
      <c r="N221" s="1" t="s">
        <v>1130</v>
      </c>
      <c r="O221" s="30" t="str">
        <f t="shared" si="3"/>
        <v>cesar.mafra@renault.com;;carolina.c.almeida@renault.com; carolina.c.almeida@renault.com;;gisele.pinto@renault.com;;fabio.guedes@renault.com;;felipe.santos@renault.com</v>
      </c>
    </row>
    <row r="222" spans="2:15">
      <c r="B222" s="2">
        <v>7600597</v>
      </c>
      <c r="C222" s="4" t="s">
        <v>990</v>
      </c>
      <c r="D222" s="3">
        <v>4</v>
      </c>
      <c r="E222" s="3">
        <v>3</v>
      </c>
      <c r="F222" t="s">
        <v>1160</v>
      </c>
      <c r="G222"/>
      <c r="H222" t="s">
        <v>1165</v>
      </c>
      <c r="I222"/>
      <c r="J222" t="s">
        <v>1162</v>
      </c>
      <c r="K222"/>
      <c r="L222" t="s">
        <v>1163</v>
      </c>
      <c r="M222"/>
      <c r="N222" s="1" t="s">
        <v>1130</v>
      </c>
      <c r="O222" s="30" t="str">
        <f>F222&amp;";"&amp;G222&amp;";"&amp;H222&amp;";"&amp;I222&amp;";"&amp;J222&amp;";"&amp;K222&amp;";"&amp;L222&amp;";"&amp;M222&amp;";"&amp;N222</f>
        <v>cesar.mafra@renault.com;;carolina.c.almeida@renault.com; carolina.c.almeida@renault.com;;gisele.pinto@renault.com;;fabio.guedes@renault.com;;felipe.santos@renault.com</v>
      </c>
    </row>
    <row r="223" spans="2:15">
      <c r="B223" s="2">
        <v>7600737</v>
      </c>
      <c r="C223" s="4" t="s">
        <v>993</v>
      </c>
      <c r="D223" s="3">
        <v>4</v>
      </c>
      <c r="E223" s="3">
        <v>3</v>
      </c>
      <c r="F223" t="s">
        <v>1160</v>
      </c>
      <c r="G223"/>
      <c r="H223" t="s">
        <v>1165</v>
      </c>
      <c r="I223"/>
      <c r="J223" t="s">
        <v>1162</v>
      </c>
      <c r="K223"/>
      <c r="L223" t="s">
        <v>1163</v>
      </c>
      <c r="M223"/>
      <c r="N223" s="1" t="s">
        <v>1130</v>
      </c>
      <c r="O223" s="30" t="str">
        <f t="shared" si="3"/>
        <v>cesar.mafra@renault.com;;carolina.c.almeida@renault.com; carolina.c.almeida@renault.com;;gisele.pinto@renault.com;;fabio.guedes@renault.com;;felipe.santos@renault.com</v>
      </c>
    </row>
    <row r="224" spans="2:15">
      <c r="B224" s="2">
        <v>7600596</v>
      </c>
      <c r="C224" s="4" t="s">
        <v>996</v>
      </c>
      <c r="D224" s="3">
        <v>4</v>
      </c>
      <c r="E224" s="3">
        <v>3</v>
      </c>
      <c r="F224" t="s">
        <v>1160</v>
      </c>
      <c r="G224"/>
      <c r="H224" t="s">
        <v>1165</v>
      </c>
      <c r="I224"/>
      <c r="J224" t="s">
        <v>1162</v>
      </c>
      <c r="K224"/>
      <c r="L224" t="s">
        <v>1163</v>
      </c>
      <c r="M224"/>
      <c r="N224" s="1" t="s">
        <v>1130</v>
      </c>
      <c r="O224" s="30" t="str">
        <f t="shared" si="3"/>
        <v>cesar.mafra@renault.com;;carolina.c.almeida@renault.com; carolina.c.almeida@renault.com;;gisele.pinto@renault.com;;fabio.guedes@renault.com;;felipe.santos@renault.com</v>
      </c>
    </row>
    <row r="225" spans="2:15">
      <c r="B225" s="2">
        <v>7600286</v>
      </c>
      <c r="C225" s="4" t="s">
        <v>998</v>
      </c>
      <c r="D225" s="3">
        <v>4</v>
      </c>
      <c r="E225" s="3">
        <v>3</v>
      </c>
      <c r="F225" t="s">
        <v>1160</v>
      </c>
      <c r="G225"/>
      <c r="H225" t="s">
        <v>1166</v>
      </c>
      <c r="I225"/>
      <c r="J225" t="s">
        <v>1162</v>
      </c>
      <c r="K225"/>
      <c r="L225" t="s">
        <v>1163</v>
      </c>
      <c r="M225"/>
      <c r="N225" s="1" t="s">
        <v>1130</v>
      </c>
      <c r="O225" s="30" t="str">
        <f t="shared" si="3"/>
        <v>cesar.mafra@renault.com;;gisele.pinto@renault.com; carolina.c.almeida@renault.com;;gisele.pinto@renault.com;;fabio.guedes@renault.com;;felipe.santos@renault.com</v>
      </c>
    </row>
    <row r="226" spans="2:15">
      <c r="B226" s="2">
        <v>7600927</v>
      </c>
      <c r="C226" s="4" t="s">
        <v>1004</v>
      </c>
      <c r="D226" s="3">
        <v>4</v>
      </c>
      <c r="E226" s="3">
        <v>1</v>
      </c>
      <c r="F226" t="s">
        <v>1160</v>
      </c>
      <c r="G226"/>
      <c r="H226" t="s">
        <v>1164</v>
      </c>
      <c r="I226"/>
      <c r="J226" t="s">
        <v>1162</v>
      </c>
      <c r="K226"/>
      <c r="L226" t="s">
        <v>1163</v>
      </c>
      <c r="M226"/>
      <c r="N226" s="1" t="s">
        <v>1130</v>
      </c>
      <c r="O226" s="30" t="str">
        <f t="shared" si="3"/>
        <v>cesar.mafra@renault.com;;heloisa.landiose-extern@renault.com; heloisa.landiose-extern@renault.com;;gisele.pinto@renault.com;;fabio.guedes@renault.com;;felipe.santos@renault.com</v>
      </c>
    </row>
    <row r="227" spans="2:15">
      <c r="B227" s="2">
        <v>7600948</v>
      </c>
      <c r="C227" s="4" t="s">
        <v>1010</v>
      </c>
      <c r="D227" s="3">
        <v>4</v>
      </c>
      <c r="E227" s="3">
        <v>3</v>
      </c>
      <c r="F227" t="s">
        <v>1160</v>
      </c>
      <c r="G227"/>
      <c r="H227" t="s">
        <v>1165</v>
      </c>
      <c r="I227"/>
      <c r="J227" t="s">
        <v>1162</v>
      </c>
      <c r="K227"/>
      <c r="L227" t="s">
        <v>1163</v>
      </c>
      <c r="M227"/>
      <c r="N227" s="1" t="s">
        <v>1130</v>
      </c>
      <c r="O227" s="30" t="str">
        <f t="shared" si="3"/>
        <v>cesar.mafra@renault.com;;carolina.c.almeida@renault.com; carolina.c.almeida@renault.com;;gisele.pinto@renault.com;;fabio.guedes@renault.com;;felipe.santos@renault.com</v>
      </c>
    </row>
    <row r="228" spans="2:15">
      <c r="B228" s="2">
        <v>7600985</v>
      </c>
      <c r="C228" s="4" t="s">
        <v>1016</v>
      </c>
      <c r="D228" s="3">
        <v>4</v>
      </c>
      <c r="E228" s="3">
        <v>3</v>
      </c>
      <c r="F228" t="s">
        <v>1160</v>
      </c>
      <c r="G228"/>
      <c r="H228" t="s">
        <v>1165</v>
      </c>
      <c r="I228"/>
      <c r="J228" t="s">
        <v>1162</v>
      </c>
      <c r="K228"/>
      <c r="L228" t="s">
        <v>1163</v>
      </c>
      <c r="M228"/>
      <c r="N228" s="1" t="s">
        <v>1130</v>
      </c>
      <c r="O228" s="30" t="str">
        <f t="shared" si="3"/>
        <v>cesar.mafra@renault.com;;carolina.c.almeida@renault.com; carolina.c.almeida@renault.com;;gisele.pinto@renault.com;;fabio.guedes@renault.com;;felipe.santos@renault.com</v>
      </c>
    </row>
    <row r="229" spans="2:15">
      <c r="B229" s="2">
        <v>7601136</v>
      </c>
      <c r="C229" s="4" t="s">
        <v>1017</v>
      </c>
      <c r="D229" s="3">
        <v>4</v>
      </c>
      <c r="E229" s="3">
        <v>1</v>
      </c>
      <c r="F229" t="s">
        <v>1160</v>
      </c>
      <c r="G229"/>
      <c r="H229" t="s">
        <v>1164</v>
      </c>
      <c r="I229"/>
      <c r="J229" t="s">
        <v>1162</v>
      </c>
      <c r="K229"/>
      <c r="L229" t="s">
        <v>1163</v>
      </c>
      <c r="M229"/>
      <c r="N229" s="1" t="s">
        <v>1130</v>
      </c>
      <c r="O229" s="30" t="str">
        <f t="shared" si="3"/>
        <v>cesar.mafra@renault.com;;heloisa.landiose-extern@renault.com; heloisa.landiose-extern@renault.com;;gisele.pinto@renault.com;;fabio.guedes@renault.com;;felipe.santos@renault.com</v>
      </c>
    </row>
    <row r="230" spans="2:15">
      <c r="B230" s="2">
        <v>7600164</v>
      </c>
      <c r="C230" s="4" t="s">
        <v>1023</v>
      </c>
      <c r="D230" s="3">
        <v>4</v>
      </c>
      <c r="E230" s="3">
        <v>3</v>
      </c>
      <c r="F230" t="s">
        <v>1160</v>
      </c>
      <c r="G230"/>
      <c r="H230" t="s">
        <v>1167</v>
      </c>
      <c r="I230"/>
      <c r="J230" t="s">
        <v>1162</v>
      </c>
      <c r="K230"/>
      <c r="L230" t="s">
        <v>1163</v>
      </c>
      <c r="M230"/>
      <c r="N230" s="1" t="s">
        <v>1130</v>
      </c>
      <c r="O230" s="30" t="str">
        <f t="shared" si="3"/>
        <v>cesar.mafra@renault.com;;aline.albino@renault.com; aline.albino@renault.com;;gisele.pinto@renault.com;;fabio.guedes@renault.com;;felipe.santos@renault.com</v>
      </c>
    </row>
    <row r="231" spans="2:15">
      <c r="B231" s="2">
        <v>7600755</v>
      </c>
      <c r="C231" s="4" t="s">
        <v>1029</v>
      </c>
      <c r="D231" s="3">
        <v>4</v>
      </c>
      <c r="E231" s="3">
        <v>3</v>
      </c>
      <c r="F231" t="s">
        <v>1160</v>
      </c>
      <c r="G231"/>
      <c r="H231" t="s">
        <v>1167</v>
      </c>
      <c r="I231"/>
      <c r="J231" t="s">
        <v>1162</v>
      </c>
      <c r="K231"/>
      <c r="L231" t="s">
        <v>1163</v>
      </c>
      <c r="M231"/>
      <c r="N231" s="1" t="s">
        <v>1130</v>
      </c>
      <c r="O231" s="30" t="str">
        <f t="shared" si="3"/>
        <v>cesar.mafra@renault.com;;aline.albino@renault.com; aline.albino@renault.com;;gisele.pinto@renault.com;;fabio.guedes@renault.com;;felipe.santos@renault.com</v>
      </c>
    </row>
    <row r="232" spans="2:15">
      <c r="B232" s="2">
        <v>7600779</v>
      </c>
      <c r="C232" s="4" t="s">
        <v>1031</v>
      </c>
      <c r="D232" s="3">
        <v>4</v>
      </c>
      <c r="E232" s="3">
        <v>3</v>
      </c>
      <c r="F232" t="s">
        <v>1160</v>
      </c>
      <c r="G232"/>
      <c r="H232" t="s">
        <v>1167</v>
      </c>
      <c r="I232"/>
      <c r="J232" t="s">
        <v>1162</v>
      </c>
      <c r="K232"/>
      <c r="L232" t="s">
        <v>1163</v>
      </c>
      <c r="M232"/>
      <c r="N232" s="1" t="s">
        <v>1130</v>
      </c>
      <c r="O232" s="30" t="str">
        <f t="shared" si="3"/>
        <v>cesar.mafra@renault.com;;aline.albino@renault.com; aline.albino@renault.com;;gisele.pinto@renault.com;;fabio.guedes@renault.com;;felipe.santos@renault.com</v>
      </c>
    </row>
    <row r="233" spans="2:15">
      <c r="B233" s="2">
        <v>7600810</v>
      </c>
      <c r="C233" s="4" t="s">
        <v>1041</v>
      </c>
      <c r="D233" s="3">
        <v>4</v>
      </c>
      <c r="E233" s="3">
        <v>1</v>
      </c>
      <c r="F233" t="s">
        <v>1160</v>
      </c>
      <c r="G233"/>
      <c r="H233" t="s">
        <v>1164</v>
      </c>
      <c r="I233"/>
      <c r="J233" t="s">
        <v>1162</v>
      </c>
      <c r="K233"/>
      <c r="L233" t="s">
        <v>1163</v>
      </c>
      <c r="M233"/>
      <c r="N233" s="1" t="s">
        <v>1130</v>
      </c>
      <c r="O233" s="30" t="str">
        <f t="shared" si="3"/>
        <v>cesar.mafra@renault.com;;heloisa.landiose-extern@renault.com; heloisa.landiose-extern@renault.com;;gisele.pinto@renault.com;;fabio.guedes@renault.com;;felipe.santos@renault.com</v>
      </c>
    </row>
    <row r="234" spans="2:15">
      <c r="B234" s="2">
        <v>7600872</v>
      </c>
      <c r="C234" s="4" t="s">
        <v>1046</v>
      </c>
      <c r="D234" s="3">
        <v>4</v>
      </c>
      <c r="E234" s="3">
        <v>1</v>
      </c>
      <c r="F234" t="s">
        <v>1160</v>
      </c>
      <c r="G234"/>
      <c r="H234" t="s">
        <v>1164</v>
      </c>
      <c r="I234"/>
      <c r="J234" t="s">
        <v>1162</v>
      </c>
      <c r="K234"/>
      <c r="L234" t="s">
        <v>1163</v>
      </c>
      <c r="M234"/>
      <c r="N234" s="1" t="s">
        <v>1130</v>
      </c>
      <c r="O234" s="30" t="str">
        <f t="shared" si="3"/>
        <v>cesar.mafra@renault.com;;heloisa.landiose-extern@renault.com; heloisa.landiose-extern@renault.com;;gisele.pinto@renault.com;;fabio.guedes@renault.com;;felipe.santos@renault.com</v>
      </c>
    </row>
    <row r="235" spans="2:15">
      <c r="B235" s="2">
        <v>7600678</v>
      </c>
      <c r="C235" s="4" t="s">
        <v>1049</v>
      </c>
      <c r="D235" s="3">
        <v>4</v>
      </c>
      <c r="E235" s="3">
        <v>1</v>
      </c>
      <c r="F235" t="s">
        <v>1160</v>
      </c>
      <c r="G235"/>
      <c r="H235" t="s">
        <v>1164</v>
      </c>
      <c r="I235"/>
      <c r="J235" t="s">
        <v>1162</v>
      </c>
      <c r="K235"/>
      <c r="L235" t="s">
        <v>1163</v>
      </c>
      <c r="M235"/>
      <c r="N235" s="1" t="s">
        <v>1130</v>
      </c>
      <c r="O235" s="30" t="str">
        <f t="shared" si="3"/>
        <v>cesar.mafra@renault.com;;heloisa.landiose-extern@renault.com; heloisa.landiose-extern@renault.com;;gisele.pinto@renault.com;;fabio.guedes@renault.com;;felipe.santos@renault.com</v>
      </c>
    </row>
    <row r="236" spans="2:15">
      <c r="B236" s="2">
        <v>7600599</v>
      </c>
      <c r="C236" s="4" t="s">
        <v>1064</v>
      </c>
      <c r="D236" s="3">
        <v>4</v>
      </c>
      <c r="E236" s="3">
        <v>1</v>
      </c>
      <c r="F236" t="s">
        <v>1160</v>
      </c>
      <c r="G236"/>
      <c r="H236" t="s">
        <v>1140</v>
      </c>
      <c r="I236"/>
      <c r="J236" t="s">
        <v>1162</v>
      </c>
      <c r="K236"/>
      <c r="L236" t="s">
        <v>1163</v>
      </c>
      <c r="M236"/>
      <c r="N236" s="1" t="s">
        <v>1130</v>
      </c>
      <c r="O236" s="30" t="str">
        <f t="shared" si="3"/>
        <v>cesar.mafra@renault.com;;rafael.anselmo-extern@renault.com; rafael.anselmo-extern@renault.com;;gisele.pinto@renault.com;;fabio.guedes@renault.com;;felipe.santos@renault.com</v>
      </c>
    </row>
    <row r="237" spans="2:15">
      <c r="B237" s="2">
        <v>7600804</v>
      </c>
      <c r="C237" s="4" t="s">
        <v>1056</v>
      </c>
      <c r="D237" s="3">
        <v>4</v>
      </c>
      <c r="E237" s="3">
        <v>1</v>
      </c>
      <c r="F237" t="s">
        <v>1160</v>
      </c>
      <c r="G237"/>
      <c r="H237" t="s">
        <v>1164</v>
      </c>
      <c r="I237"/>
      <c r="J237" t="s">
        <v>1162</v>
      </c>
      <c r="K237"/>
      <c r="L237" t="s">
        <v>1163</v>
      </c>
      <c r="M237"/>
      <c r="N237" s="1" t="s">
        <v>1130</v>
      </c>
      <c r="O237" s="30" t="str">
        <f t="shared" si="3"/>
        <v>cesar.mafra@renault.com;;heloisa.landiose-extern@renault.com; heloisa.landiose-extern@renault.com;;gisele.pinto@renault.com;;fabio.guedes@renault.com;;felipe.santos@renault.com</v>
      </c>
    </row>
    <row r="238" spans="2:15">
      <c r="B238" s="2">
        <v>7601095</v>
      </c>
      <c r="C238" s="4" t="s">
        <v>1061</v>
      </c>
      <c r="D238" s="3">
        <v>4</v>
      </c>
      <c r="E238" s="3">
        <v>1</v>
      </c>
      <c r="F238" t="s">
        <v>1160</v>
      </c>
      <c r="G238"/>
      <c r="H238" t="s">
        <v>1164</v>
      </c>
      <c r="I238"/>
      <c r="J238" t="s">
        <v>1162</v>
      </c>
      <c r="K238"/>
      <c r="L238" t="s">
        <v>1163</v>
      </c>
      <c r="M238"/>
      <c r="N238" s="1" t="s">
        <v>1130</v>
      </c>
      <c r="O238" s="30" t="str">
        <f t="shared" si="3"/>
        <v>cesar.mafra@renault.com;;heloisa.landiose-extern@renault.com; heloisa.landiose-extern@renault.com;;gisele.pinto@renault.com;;fabio.guedes@renault.com;;felipe.santos@renault.com</v>
      </c>
    </row>
    <row r="239" spans="2:15">
      <c r="B239" s="2">
        <v>7600897</v>
      </c>
      <c r="C239" s="4" t="s">
        <v>1066</v>
      </c>
      <c r="D239" s="3">
        <v>4</v>
      </c>
      <c r="E239" s="3">
        <v>4</v>
      </c>
      <c r="F239" t="s">
        <v>1160</v>
      </c>
      <c r="G239"/>
      <c r="H239" t="s">
        <v>1166</v>
      </c>
      <c r="I239"/>
      <c r="J239" t="s">
        <v>1162</v>
      </c>
      <c r="K239"/>
      <c r="L239" t="s">
        <v>1163</v>
      </c>
      <c r="M239"/>
      <c r="N239" s="1" t="s">
        <v>1130</v>
      </c>
      <c r="O239" s="30" t="str">
        <f t="shared" si="3"/>
        <v>cesar.mafra@renault.com;;gisele.pinto@renault.com; carolina.c.almeida@renault.com;;gisele.pinto@renault.com;;fabio.guedes@renault.com;;felipe.santos@renault.com</v>
      </c>
    </row>
    <row r="240" spans="2:15">
      <c r="B240" s="2">
        <v>7601156</v>
      </c>
      <c r="C240" s="4" t="s">
        <v>1072</v>
      </c>
      <c r="D240" s="3">
        <v>4</v>
      </c>
      <c r="E240" s="3">
        <v>4</v>
      </c>
      <c r="F240" t="s">
        <v>1160</v>
      </c>
      <c r="G240"/>
      <c r="H240" t="s">
        <v>1166</v>
      </c>
      <c r="I240"/>
      <c r="J240" t="s">
        <v>1162</v>
      </c>
      <c r="K240"/>
      <c r="L240" t="s">
        <v>1163</v>
      </c>
      <c r="M240"/>
      <c r="N240" s="1" t="s">
        <v>1130</v>
      </c>
      <c r="O240" s="30" t="str">
        <f t="shared" si="3"/>
        <v>cesar.mafra@renault.com;;gisele.pinto@renault.com; carolina.c.almeida@renault.com;;gisele.pinto@renault.com;;fabio.guedes@renault.com;;felipe.santos@renault.com</v>
      </c>
    </row>
    <row r="241" spans="2:15">
      <c r="B241" s="2">
        <v>7601135</v>
      </c>
      <c r="C241" s="4" t="s">
        <v>1079</v>
      </c>
      <c r="D241" s="3">
        <v>4</v>
      </c>
      <c r="E241" s="3">
        <v>4</v>
      </c>
      <c r="F241" t="s">
        <v>1160</v>
      </c>
      <c r="G241"/>
      <c r="H241" t="s">
        <v>1166</v>
      </c>
      <c r="I241"/>
      <c r="J241" t="s">
        <v>1162</v>
      </c>
      <c r="K241"/>
      <c r="L241" t="s">
        <v>1163</v>
      </c>
      <c r="M241"/>
      <c r="N241" s="1" t="s">
        <v>1130</v>
      </c>
      <c r="O241" s="30" t="str">
        <f t="shared" si="3"/>
        <v>cesar.mafra@renault.com;;gisele.pinto@renault.com; carolina.c.almeida@renault.com;;gisele.pinto@renault.com;;fabio.guedes@renault.com;;felipe.santos@renault.com</v>
      </c>
    </row>
    <row r="242" spans="2:15">
      <c r="B242" s="2">
        <v>7601158</v>
      </c>
      <c r="C242" s="4" t="s">
        <v>1088</v>
      </c>
      <c r="D242" s="3">
        <v>4</v>
      </c>
      <c r="E242" s="3">
        <v>4</v>
      </c>
      <c r="F242" t="s">
        <v>1160</v>
      </c>
      <c r="G242"/>
      <c r="H242" t="s">
        <v>1166</v>
      </c>
      <c r="I242"/>
      <c r="J242" t="s">
        <v>1162</v>
      </c>
      <c r="K242"/>
      <c r="L242" t="s">
        <v>1163</v>
      </c>
      <c r="M242"/>
      <c r="N242" s="1" t="s">
        <v>1130</v>
      </c>
      <c r="O242" s="30" t="str">
        <f t="shared" si="3"/>
        <v>cesar.mafra@renault.com;;gisele.pinto@renault.com; carolina.c.almeida@renault.com;;gisele.pinto@renault.com;;fabio.guedes@renault.com;;felipe.santos@renault.com</v>
      </c>
    </row>
    <row r="243" spans="2:15">
      <c r="B243" s="2">
        <v>7601155</v>
      </c>
      <c r="C243" s="4" t="s">
        <v>1098</v>
      </c>
      <c r="D243" s="3">
        <v>4</v>
      </c>
      <c r="E243" s="3">
        <v>4</v>
      </c>
      <c r="F243" t="s">
        <v>1160</v>
      </c>
      <c r="G243"/>
      <c r="H243" t="s">
        <v>1166</v>
      </c>
      <c r="I243"/>
      <c r="J243" t="s">
        <v>1162</v>
      </c>
      <c r="K243"/>
      <c r="L243" t="s">
        <v>1163</v>
      </c>
      <c r="M243"/>
      <c r="N243" s="1" t="s">
        <v>1130</v>
      </c>
      <c r="O243" s="30" t="str">
        <f t="shared" si="3"/>
        <v>cesar.mafra@renault.com;;gisele.pinto@renault.com; carolina.c.almeida@renault.com;;gisele.pinto@renault.com;;fabio.guedes@renault.com;;felipe.santos@renault.com</v>
      </c>
    </row>
    <row r="244" spans="2:15">
      <c r="B244" s="2">
        <v>7601154</v>
      </c>
      <c r="C244" s="4" t="s">
        <v>1101</v>
      </c>
      <c r="D244" s="3">
        <v>4</v>
      </c>
      <c r="E244" s="3">
        <v>4</v>
      </c>
      <c r="F244" t="s">
        <v>1160</v>
      </c>
      <c r="G244"/>
      <c r="H244" t="s">
        <v>1166</v>
      </c>
      <c r="I244"/>
      <c r="J244" t="s">
        <v>1162</v>
      </c>
      <c r="K244"/>
      <c r="L244" t="s">
        <v>1163</v>
      </c>
      <c r="M244"/>
      <c r="N244" s="1" t="s">
        <v>1130</v>
      </c>
      <c r="O244" s="30" t="str">
        <f t="shared" si="3"/>
        <v>cesar.mafra@renault.com;;gisele.pinto@renault.com; carolina.c.almeida@renault.com;;gisele.pinto@renault.com;;fabio.guedes@renault.com;;felipe.santos@renault.com</v>
      </c>
    </row>
    <row r="245" spans="2:15">
      <c r="B245" s="2">
        <v>7600709</v>
      </c>
      <c r="C245" s="4" t="s">
        <v>1111</v>
      </c>
      <c r="D245" s="3">
        <v>4</v>
      </c>
      <c r="E245" s="3">
        <v>2</v>
      </c>
      <c r="F245" t="s">
        <v>1160</v>
      </c>
      <c r="G245"/>
      <c r="H245" t="s">
        <v>1168</v>
      </c>
      <c r="I245"/>
      <c r="J245" t="s">
        <v>1162</v>
      </c>
      <c r="K245"/>
      <c r="L245" t="s">
        <v>1163</v>
      </c>
      <c r="M245"/>
      <c r="N245" s="1" t="s">
        <v>1130</v>
      </c>
      <c r="O245" s="30" t="str">
        <f t="shared" si="3"/>
        <v>cesar.mafra@renault.com;;michele.nojima@renault.com ; carolina.c.almeida@renault.com;;gisele.pinto@renault.com;;fabio.guedes@renault.com;;felipe.santos@renault.com</v>
      </c>
    </row>
    <row r="246" spans="2:15">
      <c r="B246" s="2">
        <v>7600718</v>
      </c>
      <c r="C246" s="4" t="s">
        <v>1083</v>
      </c>
      <c r="D246" s="3">
        <v>4</v>
      </c>
      <c r="E246" s="3">
        <v>4</v>
      </c>
      <c r="F246" t="s">
        <v>1160</v>
      </c>
      <c r="G246"/>
      <c r="H246" t="s">
        <v>1166</v>
      </c>
      <c r="I246"/>
      <c r="J246" t="s">
        <v>1162</v>
      </c>
      <c r="K246"/>
      <c r="L246" t="s">
        <v>1163</v>
      </c>
      <c r="M246"/>
      <c r="N246" s="1" t="s">
        <v>1130</v>
      </c>
      <c r="O246" s="30" t="str">
        <f t="shared" si="3"/>
        <v>cesar.mafra@renault.com;;gisele.pinto@renault.com; carolina.c.almeida@renault.com;;gisele.pinto@renault.com;;fabio.guedes@renault.com;;felipe.santos@renault.com</v>
      </c>
    </row>
    <row r="247" spans="2:15">
      <c r="B247" s="2">
        <v>7601196</v>
      </c>
      <c r="C247" s="4" t="s">
        <v>1102</v>
      </c>
      <c r="D247" s="3">
        <v>4</v>
      </c>
      <c r="E247" s="3">
        <v>4</v>
      </c>
      <c r="F247" t="s">
        <v>1160</v>
      </c>
      <c r="G247"/>
      <c r="H247" t="s">
        <v>1166</v>
      </c>
      <c r="I247"/>
      <c r="J247" t="s">
        <v>1162</v>
      </c>
      <c r="K247"/>
      <c r="L247" t="s">
        <v>1163</v>
      </c>
      <c r="M247"/>
      <c r="N247" s="1" t="s">
        <v>1130</v>
      </c>
      <c r="O247" s="30" t="str">
        <f t="shared" si="3"/>
        <v>cesar.mafra@renault.com;;gisele.pinto@renault.com; carolina.c.almeida@renault.com;;gisele.pinto@renault.com;;fabio.guedes@renault.com;;felipe.santos@renault.com</v>
      </c>
    </row>
    <row r="248" spans="2:15">
      <c r="B248" s="2">
        <v>7600466</v>
      </c>
      <c r="C248" s="4" t="s">
        <v>1086</v>
      </c>
      <c r="D248" s="3">
        <v>4</v>
      </c>
      <c r="E248" s="3">
        <v>4</v>
      </c>
      <c r="F248" t="s">
        <v>1160</v>
      </c>
      <c r="G248"/>
      <c r="H248" t="s">
        <v>1166</v>
      </c>
      <c r="I248"/>
      <c r="J248" t="s">
        <v>1162</v>
      </c>
      <c r="K248"/>
      <c r="L248" t="s">
        <v>1163</v>
      </c>
      <c r="M248"/>
      <c r="N248" s="1" t="s">
        <v>1130</v>
      </c>
      <c r="O248" s="30" t="str">
        <f t="shared" si="3"/>
        <v>cesar.mafra@renault.com;;gisele.pinto@renault.com; carolina.c.almeida@renault.com;;gisele.pinto@renault.com;;fabio.guedes@renault.com;;felipe.santos@renault.com</v>
      </c>
    </row>
    <row r="249" spans="2:15">
      <c r="B249" s="2">
        <v>7601153</v>
      </c>
      <c r="C249" s="4" t="s">
        <v>1091</v>
      </c>
      <c r="D249" s="3">
        <v>4</v>
      </c>
      <c r="E249" s="3">
        <v>4</v>
      </c>
      <c r="F249" t="s">
        <v>1160</v>
      </c>
      <c r="G249"/>
      <c r="H249" t="s">
        <v>1166</v>
      </c>
      <c r="I249"/>
      <c r="J249" t="s">
        <v>1162</v>
      </c>
      <c r="K249"/>
      <c r="L249" t="s">
        <v>1163</v>
      </c>
      <c r="M249"/>
      <c r="N249" s="1" t="s">
        <v>1130</v>
      </c>
      <c r="O249" s="30" t="str">
        <f t="shared" ref="O249:O251" si="4">F249&amp;";"&amp;G249&amp;";"&amp;H249&amp;";"&amp;I249&amp;";"&amp;J249&amp;";"&amp;K249&amp;";"&amp;L249&amp;";"&amp;M249&amp;";"&amp;N249</f>
        <v>cesar.mafra@renault.com;;gisele.pinto@renault.com; carolina.c.almeida@renault.com;;gisele.pinto@renault.com;;fabio.guedes@renault.com;;felipe.santos@renault.com</v>
      </c>
    </row>
    <row r="250" spans="2:15">
      <c r="B250" s="2">
        <v>7601159</v>
      </c>
      <c r="C250" s="4" t="s">
        <v>1094</v>
      </c>
      <c r="D250" s="3">
        <v>4</v>
      </c>
      <c r="E250" s="3">
        <v>4</v>
      </c>
      <c r="F250" t="s">
        <v>1160</v>
      </c>
      <c r="G250"/>
      <c r="H250" t="s">
        <v>1166</v>
      </c>
      <c r="I250"/>
      <c r="J250" t="s">
        <v>1162</v>
      </c>
      <c r="K250"/>
      <c r="L250" t="s">
        <v>1163</v>
      </c>
      <c r="M250"/>
      <c r="N250" s="1" t="s">
        <v>1130</v>
      </c>
      <c r="O250" s="30" t="str">
        <f t="shared" si="4"/>
        <v>cesar.mafra@renault.com;;gisele.pinto@renault.com; carolina.c.almeida@renault.com;;gisele.pinto@renault.com;;fabio.guedes@renault.com;;felipe.santos@renault.com</v>
      </c>
    </row>
    <row r="251" spans="2:15">
      <c r="B251" s="2">
        <v>7600764</v>
      </c>
      <c r="C251" s="4" t="s">
        <v>1104</v>
      </c>
      <c r="D251" s="3">
        <v>4</v>
      </c>
      <c r="E251" s="3">
        <v>1</v>
      </c>
      <c r="F251" t="s">
        <v>1160</v>
      </c>
      <c r="G251"/>
      <c r="H251" t="s">
        <v>1164</v>
      </c>
      <c r="I251"/>
      <c r="J251" t="s">
        <v>1162</v>
      </c>
      <c r="K251"/>
      <c r="L251" t="s">
        <v>1163</v>
      </c>
      <c r="M251"/>
      <c r="N251" s="1" t="s">
        <v>1130</v>
      </c>
      <c r="O251" s="30" t="str">
        <f t="shared" si="4"/>
        <v>cesar.mafra@renault.com;;heloisa.landiose-extern@renault.com; heloisa.landiose-extern@renault.com;;gisele.pinto@renault.com;;fabio.guedes@renault.com;;felipe.santos@renault.com</v>
      </c>
    </row>
    <row r="252" spans="2:15">
      <c r="B252" s="2">
        <v>7601291</v>
      </c>
      <c r="C252" s="4" t="s">
        <v>1169</v>
      </c>
      <c r="D252" s="3">
        <v>4</v>
      </c>
      <c r="E252" s="3">
        <v>4</v>
      </c>
      <c r="F252" t="s">
        <v>1160</v>
      </c>
      <c r="H252" t="s">
        <v>1166</v>
      </c>
      <c r="J252" t="s">
        <v>1162</v>
      </c>
      <c r="L252" t="s">
        <v>1163</v>
      </c>
      <c r="N252" t="s">
        <v>1130</v>
      </c>
      <c r="O252" s="1" t="str">
        <f t="shared" ref="O252:O260" si="5">F252&amp;";"&amp;G252&amp;";"&amp;H252&amp;";"&amp;I252&amp;";"&amp;J252&amp;";"&amp;K252&amp;";"&amp;L252&amp;";"&amp;M252&amp;";"&amp;N252</f>
        <v>cesar.mafra@renault.com;;gisele.pinto@renault.com; carolina.c.almeida@renault.com;;gisele.pinto@renault.com;;fabio.guedes@renault.com;;felipe.santos@renault.com</v>
      </c>
    </row>
    <row r="253" spans="2:15">
      <c r="B253" s="2">
        <v>7601292</v>
      </c>
      <c r="C253" s="4" t="s">
        <v>1170</v>
      </c>
      <c r="D253" s="3">
        <v>4</v>
      </c>
      <c r="E253" s="3">
        <v>4</v>
      </c>
      <c r="F253" t="s">
        <v>1160</v>
      </c>
      <c r="H253" t="s">
        <v>1166</v>
      </c>
      <c r="J253" t="s">
        <v>1162</v>
      </c>
      <c r="L253" t="s">
        <v>1163</v>
      </c>
      <c r="N253" t="s">
        <v>1130</v>
      </c>
      <c r="O253" s="1" t="str">
        <f t="shared" si="5"/>
        <v>cesar.mafra@renault.com;;gisele.pinto@renault.com; carolina.c.almeida@renault.com;;gisele.pinto@renault.com;;fabio.guedes@renault.com;;felipe.santos@renault.com</v>
      </c>
    </row>
    <row r="254" spans="2:15">
      <c r="B254" s="2">
        <v>7601297</v>
      </c>
      <c r="C254" s="4" t="s">
        <v>1171</v>
      </c>
      <c r="D254" s="3">
        <v>1</v>
      </c>
      <c r="E254" s="3">
        <v>2</v>
      </c>
      <c r="F254" t="s">
        <v>1126</v>
      </c>
      <c r="H254" t="s">
        <v>1131</v>
      </c>
      <c r="J254" t="s">
        <v>1128</v>
      </c>
      <c r="L254" t="s">
        <v>1129</v>
      </c>
      <c r="N254" t="s">
        <v>1130</v>
      </c>
      <c r="O254" s="1" t="str">
        <f t="shared" si="5"/>
        <v>ana.neiva@renault.com;;poliana.cochito@renault.com; douglas.da-silva@renault.com;;kelvin.ferrari@renault.com;;daniel.rodilha@renault.com;;felipe.santos@renault.com</v>
      </c>
    </row>
    <row r="255" spans="2:15">
      <c r="B255" s="2">
        <v>7601299</v>
      </c>
      <c r="C255" s="4" t="s">
        <v>1172</v>
      </c>
      <c r="D255" s="3">
        <v>1</v>
      </c>
      <c r="E255" s="3">
        <v>3</v>
      </c>
      <c r="F255" t="s">
        <v>1126</v>
      </c>
      <c r="H255" t="s">
        <v>1132</v>
      </c>
      <c r="J255" t="s">
        <v>1128</v>
      </c>
      <c r="L255" t="s">
        <v>1129</v>
      </c>
      <c r="N255" s="1" t="s">
        <v>1130</v>
      </c>
      <c r="O255" s="1" t="str">
        <f t="shared" si="5"/>
        <v>ana.neiva@renault.com;;glauder.tasso@renault.com; eduardo.yochi@renault.com;;kelvin.ferrari@renault.com;;daniel.rodilha@renault.com;;felipe.santos@renault.com</v>
      </c>
    </row>
    <row r="256" spans="2:15">
      <c r="B256" s="2">
        <v>7601293</v>
      </c>
      <c r="C256" s="4" t="s">
        <v>1173</v>
      </c>
      <c r="D256" s="3">
        <v>1</v>
      </c>
      <c r="E256" s="3">
        <v>4</v>
      </c>
      <c r="F256" t="s">
        <v>1126</v>
      </c>
      <c r="H256" t="s">
        <v>1134</v>
      </c>
      <c r="J256" t="s">
        <v>1128</v>
      </c>
      <c r="L256" t="s">
        <v>1129</v>
      </c>
      <c r="N256" t="s">
        <v>1130</v>
      </c>
      <c r="O256" s="1" t="str">
        <f t="shared" si="5"/>
        <v>ana.neiva@renault.com;;andre.lorenzo@renault.com; eduardo.yochi@renault.com;;kelvin.ferrari@renault.com;;daniel.rodilha@renault.com;;felipe.santos@renault.com</v>
      </c>
    </row>
    <row r="257" spans="2:15">
      <c r="B257" s="2">
        <v>7601294</v>
      </c>
      <c r="C257" s="4" t="s">
        <v>1174</v>
      </c>
      <c r="D257" s="3">
        <v>1</v>
      </c>
      <c r="E257" s="3">
        <v>4</v>
      </c>
      <c r="F257" t="s">
        <v>1126</v>
      </c>
      <c r="H257" t="s">
        <v>1134</v>
      </c>
      <c r="J257" t="s">
        <v>1128</v>
      </c>
      <c r="L257" t="s">
        <v>1129</v>
      </c>
      <c r="N257" t="s">
        <v>1130</v>
      </c>
      <c r="O257" s="1" t="str">
        <f t="shared" si="5"/>
        <v>ana.neiva@renault.com;;andre.lorenzo@renault.com; eduardo.yochi@renault.com;;kelvin.ferrari@renault.com;;daniel.rodilha@renault.com;;felipe.santos@renault.com</v>
      </c>
    </row>
    <row r="258" spans="2:15">
      <c r="B258" s="2">
        <v>7601295</v>
      </c>
      <c r="C258" s="4" t="s">
        <v>1175</v>
      </c>
      <c r="D258" s="3">
        <v>1</v>
      </c>
      <c r="E258" s="3">
        <v>4</v>
      </c>
      <c r="F258" t="s">
        <v>1126</v>
      </c>
      <c r="H258" t="s">
        <v>1134</v>
      </c>
      <c r="J258" t="s">
        <v>1128</v>
      </c>
      <c r="L258" t="s">
        <v>1129</v>
      </c>
      <c r="N258" t="s">
        <v>1130</v>
      </c>
      <c r="O258" s="1" t="str">
        <f t="shared" si="5"/>
        <v>ana.neiva@renault.com;;andre.lorenzo@renault.com; eduardo.yochi@renault.com;;kelvin.ferrari@renault.com;;daniel.rodilha@renault.com;;felipe.santos@renault.com</v>
      </c>
    </row>
    <row r="259" spans="2:15">
      <c r="B259" s="2">
        <v>7601268</v>
      </c>
      <c r="C259" s="4" t="s">
        <v>1176</v>
      </c>
      <c r="D259" s="3">
        <v>2</v>
      </c>
      <c r="E259" s="3">
        <v>1</v>
      </c>
      <c r="F259" t="s">
        <v>1135</v>
      </c>
      <c r="H259" t="s">
        <v>1141</v>
      </c>
      <c r="J259" t="s">
        <v>1137</v>
      </c>
      <c r="L259" t="s">
        <v>1138</v>
      </c>
      <c r="N259" t="s">
        <v>1130</v>
      </c>
      <c r="O259" s="1" t="str">
        <f t="shared" si="5"/>
        <v>rui.borcath@renault.com;;hebert.lourenco@renault.com; carolina.santos@renault.com;;luiz.pereira@renault.com ;;lourenco.back-brito@renault.com;;felipe.santos@renault.com</v>
      </c>
    </row>
    <row r="260" spans="2:15">
      <c r="B260" s="2">
        <v>7601298</v>
      </c>
      <c r="C260" s="4" t="s">
        <v>1177</v>
      </c>
      <c r="D260" s="3">
        <v>2</v>
      </c>
      <c r="E260" s="3">
        <v>3</v>
      </c>
      <c r="F260" t="s">
        <v>1135</v>
      </c>
      <c r="G260"/>
      <c r="H260" t="s">
        <v>1143</v>
      </c>
      <c r="I260"/>
      <c r="J260" s="1" t="s">
        <v>1137</v>
      </c>
      <c r="K260"/>
      <c r="L260" t="s">
        <v>1138</v>
      </c>
      <c r="M260"/>
      <c r="N260" s="1" t="s">
        <v>1130</v>
      </c>
      <c r="O260" s="1" t="str">
        <f t="shared" si="5"/>
        <v>rui.borcath@renault.com;;rennan.alves@renault.com; carolina.santos@renault.com;;luiz.pereira@renault.com ;;lourenco.back-brito@renault.com;;felipe.santos@renault.com</v>
      </c>
    </row>
  </sheetData>
  <autoFilter ref="B3:O3" xr:uid="{FFB6E3A9-FEBD-461D-BFDF-A6010942DD86}"/>
  <mergeCells count="1">
    <mergeCell ref="F2:M2"/>
  </mergeCells>
  <hyperlinks>
    <hyperlink ref="F78:F138" r:id="rId1" display="mailto:rui.borcath@renault.com" xr:uid="{0C73A985-09F1-4FE3-9911-CADD64B15E65}"/>
    <hyperlink ref="J78" r:id="rId2" xr:uid="{F76B8365-EFDD-4F99-99B3-A241EDBE1EAF}"/>
    <hyperlink ref="J79:J138" r:id="rId3" display="luiz.pereira@renault.com " xr:uid="{D20E83F2-1183-45B2-AC27-5AA61FC267DE}"/>
    <hyperlink ref="F260" r:id="rId4" display="mailto:rui.borcath@renault.com" xr:uid="{A436A653-E27C-45C3-87ED-B7DFD98E530F}"/>
    <hyperlink ref="J260" r:id="rId5" xr:uid="{9FD37D3F-027C-4419-80B5-8520A1BE1447}"/>
  </hyperlinks>
  <pageMargins left="0.511811024" right="0.511811024" top="0.78740157499999996" bottom="0.78740157499999996" header="0.31496062000000002" footer="0.31496062000000002"/>
  <pageSetup paperSize="9" orientation="portrait" r:id="rId6"/>
  <headerFooter>
    <oddFooter>&amp;R&amp;"Calibri"&amp;11&amp;K000000_x000D_&amp;1#&amp;"Arial"&amp;10&amp;K000000 Confidential 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1711-8F38-430E-A934-23519C29CA15}">
  <sheetPr codeName="Planilha1" filterMode="1">
    <tabColor theme="3" tint="0.89999084444715716"/>
  </sheetPr>
  <dimension ref="A1:P418"/>
  <sheetViews>
    <sheetView showGridLines="0" tabSelected="1" zoomScaleNormal="100" workbookViewId="0">
      <pane xSplit="1" ySplit="2" topLeftCell="F3" activePane="bottomRight" state="frozen"/>
      <selection pane="bottomRight" activeCell="F8" sqref="F8"/>
      <selection pane="bottomLeft" activeCell="A3" sqref="A3"/>
      <selection pane="topRight" activeCell="B1" sqref="B1"/>
    </sheetView>
  </sheetViews>
  <sheetFormatPr defaultColWidth="9.140625" defaultRowHeight="14.45"/>
  <cols>
    <col min="1" max="1" width="2.85546875" customWidth="1"/>
    <col min="2" max="2" width="14.42578125" style="2" customWidth="1"/>
    <col min="3" max="3" width="42.5703125" customWidth="1"/>
    <col min="4" max="4" width="9.5703125" style="3" bestFit="1" customWidth="1"/>
    <col min="5" max="5" width="9.140625" style="3" customWidth="1"/>
    <col min="6" max="6" width="57.140625" style="4" customWidth="1"/>
    <col min="7" max="7" width="29.5703125" style="4" customWidth="1"/>
    <col min="8" max="8" width="58.5703125" style="4" customWidth="1"/>
    <col min="9" max="9" width="52.5703125" style="4" customWidth="1"/>
    <col min="10" max="10" width="6.85546875" style="4" customWidth="1"/>
    <col min="11" max="11" width="51.42578125" style="4" customWidth="1"/>
    <col min="12" max="12" width="6.85546875" style="4" customWidth="1"/>
    <col min="13" max="13" width="74.140625" style="4" customWidth="1"/>
    <col min="14" max="14" width="6.42578125" customWidth="1"/>
  </cols>
  <sheetData>
    <row r="1" spans="1:16" ht="15.6">
      <c r="A1" s="1" t="s">
        <v>0</v>
      </c>
      <c r="G1" s="5"/>
      <c r="H1" s="5"/>
    </row>
    <row r="2" spans="1:16" ht="18.600000000000001">
      <c r="A2" s="6"/>
      <c r="B2" s="7"/>
      <c r="C2" s="2"/>
      <c r="F2" s="377" t="s">
        <v>1</v>
      </c>
      <c r="G2" s="377"/>
      <c r="H2" s="377"/>
      <c r="I2" s="377"/>
      <c r="J2" s="377"/>
      <c r="K2" s="377"/>
      <c r="L2" s="377"/>
      <c r="M2" s="378"/>
      <c r="N2" s="8" t="s">
        <v>2</v>
      </c>
      <c r="P2" t="str">
        <f>H190&amp;";"&amp;G190&amp;";"&amp;F190&amp;";"&amp;I190&amp;";"&amp;K190&amp;";"&amp;M190&amp;";"&amp;H191&amp;";"&amp;G191&amp;";"&amp;F191&amp;";"&amp;I191&amp;";"&amp;K191&amp;";"&amp;M191&amp;";"&amp;H192&amp;";"&amp;G192&amp;";"&amp;F192&amp;";"&amp;I192&amp;";"&amp;K192&amp;";"&amp;M192&amp;";"&amp;H193&amp;";"&amp;G193&amp;";"&amp;F193&amp;";"&amp;I193&amp;";"&amp;K193&amp;";"&amp;M193</f>
        <v>ericsonmiranda@romagroup.com.br;;mvinicius@romagroup.com.br;rodrigojannuzzi@romagroup.com.br;welitonsilva@romagroup.com.br;fernandaalves@romagroup.com.br;larissacosta@romagroup.com.br; luciodemenezes@romagroup.com.br; thiagovelez@romagroup.com.br;cristianoalmeida@romagroup.com.br;;mvinicius@romagroup.com.br;rodrigojannuzzi@romagroup.com.br;welitonsilva@romagroup.com.br;fernandaalves@romagroup.com.br;larissacosta@romagroup.com.br; hugoaraujo@romagroup.com.br; elipaula@romagroup.com.br;patriciavieira@romagroup.com.br;neideazevedo@romagroup.com.br;mvinicius@romagroup.com.br;marcoteixeira@romagroup.com.br;marcotullio@romagroup.com.br;;paulopereira@romagroup.com.br; thiagomarcolino@romagroup.com.br;thiagoanjos@romagroup.com.br;nayaraalmeida@romagroup.com.br; laisbrasil@romagroup.com.br;gabrielleferreira@romagroup.com.br; layenepiuco@romagroup.com.br; joaoricardo@romagroup.com.br;;neideazevedo@romagroup.com.br;;mvinicius@romagroup.com.br;marcoteixeira@romagroup.com.br;marcotullio@romagroup.com.br;;paulopereira@romagroup.com.br; brunooliveira@romagroup.com.br;piterpassos@romagroup.com.br;nayaraalmeida@romagroup.com.br; laisbrasil@romagroup.com.br; gabrielleferreira@romagroup.com.br; tatianeassis@romagroup.com.br; layenepiuco@romagroup.com.br; joaoricardo@romagroup.com.br</v>
      </c>
    </row>
    <row r="3" spans="1:16" ht="18" customHeight="1">
      <c r="A3" s="6"/>
      <c r="B3" s="9" t="s">
        <v>3</v>
      </c>
      <c r="C3" s="10" t="s">
        <v>4</v>
      </c>
      <c r="D3" s="11" t="s">
        <v>5</v>
      </c>
      <c r="E3" s="11" t="s">
        <v>6</v>
      </c>
      <c r="F3" s="12" t="s">
        <v>9</v>
      </c>
      <c r="G3" s="13" t="s">
        <v>8</v>
      </c>
      <c r="H3" s="13" t="s">
        <v>7</v>
      </c>
      <c r="I3" s="14" t="s">
        <v>10</v>
      </c>
      <c r="J3" s="14" t="s">
        <v>1120</v>
      </c>
      <c r="K3" s="14" t="s">
        <v>11</v>
      </c>
      <c r="L3" s="14" t="s">
        <v>1120</v>
      </c>
      <c r="M3" s="14" t="s">
        <v>12</v>
      </c>
      <c r="N3" s="15"/>
    </row>
    <row r="4" spans="1:16" hidden="1">
      <c r="A4" s="6"/>
      <c r="B4" s="2">
        <v>7601108</v>
      </c>
      <c r="C4" t="s">
        <v>58</v>
      </c>
      <c r="D4" s="2">
        <v>1</v>
      </c>
      <c r="E4" s="2">
        <v>1</v>
      </c>
      <c r="F4" t="s">
        <v>61</v>
      </c>
      <c r="G4" t="s">
        <v>60</v>
      </c>
      <c r="H4" t="s">
        <v>59</v>
      </c>
      <c r="I4" t="s">
        <v>62</v>
      </c>
      <c r="J4"/>
      <c r="K4" t="s">
        <v>63</v>
      </c>
      <c r="L4"/>
      <c r="M4" t="s">
        <v>64</v>
      </c>
      <c r="N4" s="18" t="str">
        <f t="shared" ref="N4:N67" si="0">H4&amp;";"&amp;G4&amp;";"&amp;F4&amp;";"&amp;I4&amp;";"&amp;K4&amp;";"&amp;M4</f>
        <v>paulo@aravel.com.br;sergio@aravel.com.br; pedro@aravel.com.br; ;rvendas2.ara@aravel.com.br;gerservicos.ara@aravel.com.br;pessoal@aravel.com.br; rh@aravel.com.br;rpecas.ara@aravel.com.br</v>
      </c>
    </row>
    <row r="5" spans="1:16" hidden="1">
      <c r="A5" s="6"/>
      <c r="B5" s="2">
        <v>7600453</v>
      </c>
      <c r="C5" t="s">
        <v>65</v>
      </c>
      <c r="D5" s="2">
        <v>1</v>
      </c>
      <c r="E5" s="2">
        <v>1</v>
      </c>
      <c r="F5" s="1" t="s">
        <v>1178</v>
      </c>
      <c r="G5" s="1" t="s">
        <v>1179</v>
      </c>
      <c r="H5" s="1" t="s">
        <v>1180</v>
      </c>
      <c r="I5" s="1" t="s">
        <v>69</v>
      </c>
      <c r="J5"/>
      <c r="K5" s="1" t="s">
        <v>1181</v>
      </c>
      <c r="L5"/>
      <c r="M5" t="s">
        <v>1182</v>
      </c>
      <c r="N5" s="18" t="str">
        <f t="shared" si="0"/>
        <v>marcelo.oliveira@formularenault.com.br; eduardo.mattos@grupobarigui.com.br; fabio.ito@grupobarigui.com.br;guilherme.barbosa@formularenault.com.br;paulo.lema@formularenault.com.br;william.toporoski@formularenault.com.br;rivaldo.junior@formularenault.com.br;eder.freitas@formularenault.com.br; bruno.almeida@formularenault.com.br;  guilherme.barbosa@formularenault.com.br;gisele.ocraska@grupobarigui.com.br</v>
      </c>
    </row>
    <row r="6" spans="1:16" hidden="1">
      <c r="A6" s="6"/>
      <c r="B6" s="2">
        <v>7600391</v>
      </c>
      <c r="C6" t="s">
        <v>72</v>
      </c>
      <c r="D6" s="2">
        <v>1</v>
      </c>
      <c r="E6" s="2">
        <v>1</v>
      </c>
      <c r="F6" s="1" t="s">
        <v>1183</v>
      </c>
      <c r="G6" s="1" t="s">
        <v>1179</v>
      </c>
      <c r="H6" s="1" t="s">
        <v>1180</v>
      </c>
      <c r="I6" s="1" t="s">
        <v>1184</v>
      </c>
      <c r="J6"/>
      <c r="K6" s="1" t="s">
        <v>1181</v>
      </c>
      <c r="L6"/>
      <c r="M6" s="1" t="s">
        <v>1185</v>
      </c>
      <c r="N6" s="18" t="str">
        <f t="shared" si="0"/>
        <v>marcelo.oliveira@formularenault.com.br; eduardo.mattos@grupobarigui.com.br; fabio.ito@grupobarigui.com.br;guilherme.barbosa@formularenault.com.br;luis.canales@formularenault.com.br;edson.nagao@formularenault.com.br;rivaldo.junior@formularenault.com.br;guilherme.barbosa@formularenault.com.br;gisele.ocraska@grupobarigui.com.br</v>
      </c>
    </row>
    <row r="7" spans="1:16" hidden="1">
      <c r="A7" s="6"/>
      <c r="B7" s="2">
        <v>7601222</v>
      </c>
      <c r="C7" t="s">
        <v>77</v>
      </c>
      <c r="D7" s="2">
        <v>1</v>
      </c>
      <c r="E7" s="2">
        <v>1</v>
      </c>
      <c r="F7" s="1" t="s">
        <v>1186</v>
      </c>
      <c r="G7" s="1" t="s">
        <v>1179</v>
      </c>
      <c r="H7" s="1" t="s">
        <v>1180</v>
      </c>
      <c r="I7" s="1" t="s">
        <v>1187</v>
      </c>
      <c r="J7"/>
      <c r="K7" s="1" t="s">
        <v>1188</v>
      </c>
      <c r="L7"/>
      <c r="M7" t="s">
        <v>1189</v>
      </c>
      <c r="N7" s="18" t="str">
        <f t="shared" si="0"/>
        <v xml:space="preserve">marcelo.oliveira@formularenault.com.br; eduardo.mattos@grupobarigui.com.br; fabio.ito@grupobarigui.com.br;guilherme.barbosa@formularenault.com.br;marlize.fogaca@formularenault.com.br;bruno.almeida@formularenault.com.br;guilherme.barbosa@formularenault.com.br; edineia.santos@formularenault.com.br;sandy.souza@formularenault.com.br;  eimili.martins@formularenault.com.br; guilherme.barbosa@formularenault.com.br;  </v>
      </c>
    </row>
    <row r="8" spans="1:16" hidden="1">
      <c r="A8" s="6"/>
      <c r="B8" s="2">
        <v>7600569</v>
      </c>
      <c r="C8" t="s">
        <v>82</v>
      </c>
      <c r="D8" s="2">
        <v>1</v>
      </c>
      <c r="E8" s="2">
        <v>1</v>
      </c>
      <c r="F8" s="1" t="s">
        <v>1190</v>
      </c>
      <c r="G8" s="1" t="s">
        <v>1179</v>
      </c>
      <c r="H8" s="1" t="s">
        <v>1180</v>
      </c>
      <c r="I8" s="1" t="s">
        <v>1191</v>
      </c>
      <c r="J8"/>
      <c r="K8" s="1" t="s">
        <v>1192</v>
      </c>
      <c r="L8"/>
      <c r="M8" t="s">
        <v>1193</v>
      </c>
      <c r="N8" s="18" t="str">
        <f t="shared" si="0"/>
        <v xml:space="preserve">marcelo.oliveira@formularenault.com.br; eduardo.mattos@grupobarigui.com.br; fabio.ito@grupobarigui.com.br;guilherme.barbosa@formularenault.com.br;jovancir.junior@formularenault.com.br;gesse.cunha@formularenault.com.br; jefferson.rosa@formularenault.com.br;;sandy.souza@formularenault.com.br; sandy.souza@formularenault.com.br; guilherme.barbosa@formularenault.com.br; </v>
      </c>
    </row>
    <row r="9" spans="1:16" hidden="1">
      <c r="A9" s="6"/>
      <c r="B9" s="2">
        <v>7600474</v>
      </c>
      <c r="C9" t="s">
        <v>86</v>
      </c>
      <c r="D9" s="2">
        <v>1</v>
      </c>
      <c r="E9" s="2">
        <v>1</v>
      </c>
      <c r="F9" s="1" t="s">
        <v>1194</v>
      </c>
      <c r="G9" s="1" t="s">
        <v>1179</v>
      </c>
      <c r="H9" s="1" t="s">
        <v>1180</v>
      </c>
      <c r="I9" s="1" t="s">
        <v>1195</v>
      </c>
      <c r="J9"/>
      <c r="K9" s="1" t="s">
        <v>1196</v>
      </c>
      <c r="L9"/>
      <c r="M9" t="s">
        <v>1197</v>
      </c>
      <c r="N9" s="18" t="str">
        <f t="shared" si="0"/>
        <v>marcelo.oliveira@formularenault.com.br; eduardo.mattos@grupobarigui.com.br; fabio.ito@grupobarigui.com.br;guilherme.barbosa@formularenault.com.br;eduardo.macedo@formularenault.com.br;leonardo.silva@formularenault.com.br; jefferson.rosa@formularenault.com.br; ;flavia.ferreira@formularenault.com.br; guilherme.barbosa@formularenault.com.br;adalberto.junior@formularenault.com.br;leonardo.silva@formularenault.com.br;</v>
      </c>
    </row>
    <row r="10" spans="1:16" hidden="1">
      <c r="A10" s="6"/>
      <c r="B10" s="2">
        <v>7601220</v>
      </c>
      <c r="C10" t="s">
        <v>92</v>
      </c>
      <c r="D10" s="2">
        <v>1</v>
      </c>
      <c r="E10" s="2">
        <v>1</v>
      </c>
      <c r="F10" s="1" t="s">
        <v>1198</v>
      </c>
      <c r="G10" s="1" t="s">
        <v>1179</v>
      </c>
      <c r="H10" s="1" t="s">
        <v>1180</v>
      </c>
      <c r="I10" s="1" t="s">
        <v>69</v>
      </c>
      <c r="J10"/>
      <c r="K10" s="1" t="s">
        <v>1199</v>
      </c>
      <c r="L10"/>
      <c r="M10" t="s">
        <v>1200</v>
      </c>
      <c r="N10" s="18" t="str">
        <f t="shared" si="0"/>
        <v xml:space="preserve">marcelo.oliveira@formularenault.com.br; eduardo.mattos@grupobarigui.com.br; fabio.ito@grupobarigui.com.br;guilherme.barbosa@formularenault.com.br;luis.ribeiro@formularenault.com.br;william.toporoski@formularenault.com.br;juliana.fonseca@formularenault.com.br;thassia.siqueira@formularenault.com.br;  guilherme.barbosa@formularenault.com.br; </v>
      </c>
    </row>
    <row r="11" spans="1:16" hidden="1">
      <c r="A11" s="6"/>
      <c r="B11" s="2">
        <v>7601221</v>
      </c>
      <c r="C11" t="s">
        <v>96</v>
      </c>
      <c r="D11" s="2">
        <v>1</v>
      </c>
      <c r="E11" s="2">
        <v>1</v>
      </c>
      <c r="F11" s="1" t="s">
        <v>1201</v>
      </c>
      <c r="G11" s="1" t="s">
        <v>1179</v>
      </c>
      <c r="H11" s="1" t="s">
        <v>1180</v>
      </c>
      <c r="I11" s="1" t="s">
        <v>99</v>
      </c>
      <c r="J11"/>
      <c r="K11" s="1" t="s">
        <v>1202</v>
      </c>
      <c r="L11"/>
      <c r="M11" t="s">
        <v>1203</v>
      </c>
      <c r="N11" s="18" t="str">
        <f t="shared" si="0"/>
        <v xml:space="preserve">marcelo.oliveira@formularenault.com.br; eduardo.mattos@grupobarigui.com.br; fabio.ito@grupobarigui.com.br;guilherme.barbosa@formularenault.com.br;clayton.santos@formularenault.com.br;oseias.constantino@grupobarigui.com.br;eimili.martins@formularenault.com.br; eimili.martins@formularenault.com.br; guilherme.barbosa@formularenault.com.br; </v>
      </c>
    </row>
    <row r="12" spans="1:16" hidden="1">
      <c r="A12" s="6"/>
      <c r="B12" s="2">
        <v>7600913</v>
      </c>
      <c r="C12" t="s">
        <v>13</v>
      </c>
      <c r="D12" s="2">
        <v>1</v>
      </c>
      <c r="E12" s="2">
        <v>2</v>
      </c>
      <c r="F12" t="s">
        <v>16</v>
      </c>
      <c r="G12" t="s">
        <v>15</v>
      </c>
      <c r="H12" t="s">
        <v>1204</v>
      </c>
      <c r="I12" t="s">
        <v>17</v>
      </c>
      <c r="J12"/>
      <c r="K12" s="1" t="s">
        <v>1205</v>
      </c>
      <c r="L12"/>
      <c r="M12" t="s">
        <v>1206</v>
      </c>
      <c r="N12" s="18" t="str">
        <f t="shared" si="0"/>
        <v>alessandro@grupoglobo.com.br; flavio.b@globoveiculos.com.br; wagner@grupoglobo.com.br;cristiano@grupoglobo.com.br;mario@grupoglobo.com.br; alessandro@grupoglobo.com.br; gabriel@grupoglobo.com.br; mariojunior@grupoglobo.com.br;; pedro.pereira@globoveiculos.com.br; wagner.p@globoveiculos.com.br; joao.h@globoveiculos.com.br ;maicon.ristal@globoveiculos.com.br; gerenteposvendasgf4@globoford.com.br;lucimara.b@globoveiculos.com.br; julia.venturi@grupoglobo.com.br;mauricio.fernandes@globoveiculos.com.br; garantiajoinville@globoveiculos.com.br;priscila.duma@globoveiculos.com.br</v>
      </c>
    </row>
    <row r="13" spans="1:16" hidden="1">
      <c r="A13" s="6"/>
      <c r="B13" s="2">
        <v>7600358</v>
      </c>
      <c r="C13" t="s">
        <v>20</v>
      </c>
      <c r="D13" s="2">
        <v>1</v>
      </c>
      <c r="E13" s="2">
        <v>2</v>
      </c>
      <c r="F13" t="s">
        <v>22</v>
      </c>
      <c r="G13" t="s">
        <v>15</v>
      </c>
      <c r="H13" t="s">
        <v>21</v>
      </c>
      <c r="I13" t="s">
        <v>1207</v>
      </c>
      <c r="J13"/>
      <c r="K13" t="s">
        <v>1208</v>
      </c>
      <c r="L13"/>
      <c r="M13" t="s">
        <v>1209</v>
      </c>
      <c r="N13" s="18" t="str">
        <f t="shared" si="0"/>
        <v>alessandro@grupoglobo.com.br;  luiz.rezende@grupoglobo.com.br;;mario@grupoglobo.com.br; alessandro@grupoglobo.com.br; gabriel@grupoglobo.com.br; mariojunior@grupoglobo.com.br;;sherlon.b@globoveiculos.com.br;guilherme.t@globoveiculos.com.br;lucimara.b@globoveiculos.com.br; agatha.oliveira@grupoglobo.com.br; julia.venturi@grupoglobo.com.br;luciano.b@globoveiculos.com.br;</v>
      </c>
    </row>
    <row r="14" spans="1:16" hidden="1">
      <c r="A14" s="6"/>
      <c r="B14" s="2">
        <v>7600361</v>
      </c>
      <c r="C14" t="s">
        <v>26</v>
      </c>
      <c r="D14" s="2">
        <v>1</v>
      </c>
      <c r="E14" s="2">
        <v>2</v>
      </c>
      <c r="F14" t="s">
        <v>28</v>
      </c>
      <c r="G14" t="s">
        <v>15</v>
      </c>
      <c r="H14" t="s">
        <v>1210</v>
      </c>
      <c r="I14" t="s">
        <v>29</v>
      </c>
      <c r="J14"/>
      <c r="K14" t="s">
        <v>1208</v>
      </c>
      <c r="L14"/>
      <c r="M14" t="s">
        <v>1211</v>
      </c>
      <c r="N14" s="18" t="str">
        <f t="shared" si="0"/>
        <v>giba@globoveiculos.com.br;alessandro@grupoglobo.com.br; luiz.rezende@grupoglobo.com.br;cristiano@grupoglobo.com.br;mario@grupoglobo.com.br; alessandro@grupoglobo.com.br; gabriel@grupoglobo.com.br; mariojunior@grupoglobo.com.br;;diego.antunes@globoveiculos.com.br;giba@globoveiculos.com.br;lucimara.b@globoveiculos.com.br; agatha.oliveira@grupoglobo.com.br; julia.venturi@grupoglobo.com.br;joao.o@globoveiculos.com.br;</v>
      </c>
    </row>
    <row r="15" spans="1:16" hidden="1">
      <c r="A15" s="6"/>
      <c r="B15" s="2">
        <v>7600100</v>
      </c>
      <c r="C15" t="s">
        <v>31</v>
      </c>
      <c r="D15" s="2">
        <v>1</v>
      </c>
      <c r="E15" s="2">
        <v>2</v>
      </c>
      <c r="F15" t="s">
        <v>1212</v>
      </c>
      <c r="G15" t="s">
        <v>15</v>
      </c>
      <c r="H15" t="s">
        <v>32</v>
      </c>
      <c r="I15" s="1" t="s">
        <v>47</v>
      </c>
      <c r="J15"/>
      <c r="K15" t="s">
        <v>1213</v>
      </c>
      <c r="L15"/>
      <c r="M15" t="s">
        <v>35</v>
      </c>
      <c r="N15" s="18" t="str">
        <f t="shared" si="0"/>
        <v>alessandro@grupoglobo.com.br;flavio.b@globoveiculos.com.br;mario@grupoglobo.com.br; alessandro@grupoglobo.com.br; gabriel@grupoglobo.com.br; mariojunior@grupoglobo.com.br;;ronaldo.leao@globoveiculos.com.br; wagner@grupoglobo.com.br; fernanda.gomes@globoveiculos.com.br; fernanda.gomes@globoveiculos.com.br;hudson.t@globoveiculos.com.br;lucimara.b@globoveiculos.com.br; priscila.duma@globoveiculos.com.br; agatha.oliveira@grupoglobo.com.br; julia.venturi@grupoglobo.com.br;; Cristiano.luz@globoveiculos.com.br</v>
      </c>
    </row>
    <row r="16" spans="1:16" hidden="1">
      <c r="A16" s="6"/>
      <c r="B16" s="2">
        <v>7601214</v>
      </c>
      <c r="C16" t="s">
        <v>36</v>
      </c>
      <c r="D16" s="2">
        <v>1</v>
      </c>
      <c r="E16" s="2">
        <v>2</v>
      </c>
      <c r="F16" s="1" t="s">
        <v>1214</v>
      </c>
      <c r="G16" t="s">
        <v>15</v>
      </c>
      <c r="H16" t="s">
        <v>1204</v>
      </c>
      <c r="I16" t="s">
        <v>38</v>
      </c>
      <c r="J16"/>
      <c r="K16" t="s">
        <v>1208</v>
      </c>
      <c r="L16"/>
      <c r="M16" s="1" t="s">
        <v>1215</v>
      </c>
      <c r="N16" s="18" t="str">
        <f t="shared" si="0"/>
        <v>alessandro@grupoglobo.com.br; flavio.b@globoveiculos.com.br; wagner@grupoglobo.com.br;cristiano@grupoglobo.com.br;mario@grupoglobo.com.br; alessandro@grupoglobo.com.br; gabriel@grupoglobo.com.br; mariojunior@grupoglobo.com.br;;marcio.lima@globoveiculos.com.br;valerio.hack@globoveiculos.com.br; rogerio.nascimento@globoveiculos.com.br;lucimara.b@globoveiculos.com.br; agatha.oliveira@grupoglobo.com.br; julia.venturi@grupoglobo.com.br;daiane.padilha@grupoglobo.com.br;priscila.duma@globoveiculos.com.br</v>
      </c>
    </row>
    <row r="17" spans="1:14" hidden="1">
      <c r="A17" s="6"/>
      <c r="B17" s="2">
        <v>7600728</v>
      </c>
      <c r="C17" t="s">
        <v>40</v>
      </c>
      <c r="D17" s="2">
        <v>1</v>
      </c>
      <c r="E17" s="2">
        <v>2</v>
      </c>
      <c r="F17" s="1" t="s">
        <v>1216</v>
      </c>
      <c r="G17" t="s">
        <v>15</v>
      </c>
      <c r="H17" s="1" t="s">
        <v>1217</v>
      </c>
      <c r="I17" t="s">
        <v>43</v>
      </c>
      <c r="J17"/>
      <c r="K17" s="1" t="s">
        <v>1205</v>
      </c>
      <c r="L17"/>
      <c r="M17" t="s">
        <v>1218</v>
      </c>
      <c r="N17" s="18" t="str">
        <f t="shared" si="0"/>
        <v>mauricio.f@globoveiculos.com.br;alessandro@grupoglobo.com.br;flavio.b@globoveiculos.com.br;cristiano@grupoglobo.com.br;mario@grupoglobo.com.br; alessandro@grupoglobo.com.br; gabriel@grupoglobo.com.br; mariojunior@grupoglobo.com.br;;wagner@grupoglobo.com.br;fernanda.gomes@globoveiculos.com.br;joao.h@globoveiculos.com.br;maicon.ristal@globoveiculos.com.br; mauricio.fernandes@globoveiculos.com.br;lucimara.b@globoveiculos.com.br; julia.venturi@grupoglobo.com.br;cotech.joinville@globoveiculos.com.br; mauricio.fernandes@globoveiculos.com.br; garantiajoinville@globoveiculos.com.br;priscila.duma@globoveiculos.com.br</v>
      </c>
    </row>
    <row r="18" spans="1:14" hidden="1">
      <c r="A18" s="6"/>
      <c r="B18" s="2">
        <v>7600595</v>
      </c>
      <c r="C18" t="s">
        <v>45</v>
      </c>
      <c r="D18" s="2">
        <v>1</v>
      </c>
      <c r="E18" s="2">
        <v>2</v>
      </c>
      <c r="F18" t="s">
        <v>1219</v>
      </c>
      <c r="G18" t="s">
        <v>15</v>
      </c>
      <c r="H18" s="1" t="s">
        <v>1220</v>
      </c>
      <c r="I18" t="s">
        <v>1221</v>
      </c>
      <c r="J18"/>
      <c r="K18" t="s">
        <v>1213</v>
      </c>
      <c r="L18"/>
      <c r="M18" t="s">
        <v>48</v>
      </c>
      <c r="N18" s="18" t="str">
        <f t="shared" si="0"/>
        <v>alessandro@grupoglobo.com.br;flavio.b@globoveiculos.com.br;cristiano@grupoglobo.com.br;mario@grupoglobo.com.br; alessandro@grupoglobo.com.br; gabriel@grupoglobo.com.br; mariojunior@grupoglobo.com.br;;daniela.castro@globoveiculos.com.br; julio.c@globoveiculos.com.br; wagner@grupoglobo.com.br;fernanda.gomes@globoveiculos.com.br;vanessa.correa@globonissan.com.br; hudson.t@globoveiculos.com.br;lucimara.b@globoveiculos.com.br; priscila.duma@globoveiculos.com.br; agatha.oliveira@grupoglobo.com.br; julia.venturi@grupoglobo.com.br;cotech.fpolis@globoveiculos.com.br</v>
      </c>
    </row>
    <row r="19" spans="1:14" hidden="1">
      <c r="A19" s="6"/>
      <c r="B19" s="2">
        <v>7600331</v>
      </c>
      <c r="C19" t="s">
        <v>49</v>
      </c>
      <c r="D19" s="2">
        <v>1</v>
      </c>
      <c r="E19" s="2">
        <v>2</v>
      </c>
      <c r="F19" t="s">
        <v>50</v>
      </c>
      <c r="G19" t="s">
        <v>15</v>
      </c>
      <c r="H19" s="1" t="s">
        <v>1220</v>
      </c>
      <c r="I19" t="s">
        <v>1222</v>
      </c>
      <c r="J19"/>
      <c r="K19" t="s">
        <v>1213</v>
      </c>
      <c r="L19"/>
      <c r="M19" t="s">
        <v>52</v>
      </c>
      <c r="N19" s="18" t="str">
        <f t="shared" si="0"/>
        <v>alessandro@grupoglobo.com.br;flavio.b@globoveiculos.com.br;cristiano@grupoglobo.com.br;mario@grupoglobo.com.br; alessandro@grupoglobo.com.br; gabriel@grupoglobo.com.br; mariojunior@grupoglobo.com.br;;fernanda.gomes@globoveiculos.com.br; wagner@grupoglobo.com.br;vanessa.correa@globonissan.com.br; ramon.h@globoveiculos.com.br;lucimara.b@globoveiculos.com.br; priscila.duma@globoveiculos.com.br; agatha.oliveira@grupoglobo.com.br; julia.venturi@grupoglobo.com.br;bruno.raimundo@globoveiculos.com.br</v>
      </c>
    </row>
    <row r="20" spans="1:14" hidden="1">
      <c r="A20" s="6"/>
      <c r="B20" s="2">
        <v>7600360</v>
      </c>
      <c r="C20" t="s">
        <v>53</v>
      </c>
      <c r="D20" s="2">
        <v>1</v>
      </c>
      <c r="E20" s="2">
        <v>2</v>
      </c>
      <c r="F20" t="s">
        <v>55</v>
      </c>
      <c r="G20" t="s">
        <v>15</v>
      </c>
      <c r="H20" t="s">
        <v>54</v>
      </c>
      <c r="I20" t="s">
        <v>56</v>
      </c>
      <c r="J20"/>
      <c r="K20" t="s">
        <v>1208</v>
      </c>
      <c r="L20"/>
      <c r="M20"/>
      <c r="N20" s="18" t="str">
        <f t="shared" si="0"/>
        <v>alessandro@grupoglobo.com.br; luiz.rezende@grupoglobo.com.br;mario@grupoglobo.com.br; alessandro@grupoglobo.com.br; gabriel@grupoglobo.com.br; mariojunior@grupoglobo.com.br;;anderson.souza@globoveiculos.com.br;karytas@globoveiculos.com.br;lucimara.b@globoveiculos.com.br; agatha.oliveira@grupoglobo.com.br; julia.venturi@grupoglobo.com.br;</v>
      </c>
    </row>
    <row r="21" spans="1:14" hidden="1">
      <c r="A21" s="6"/>
      <c r="B21" s="2">
        <v>7600560</v>
      </c>
      <c r="C21" t="s">
        <v>101</v>
      </c>
      <c r="D21" s="2">
        <v>1</v>
      </c>
      <c r="E21" s="2">
        <v>3</v>
      </c>
      <c r="F21" t="s">
        <v>1223</v>
      </c>
      <c r="G21" t="s">
        <v>103</v>
      </c>
      <c r="H21" s="1" t="s">
        <v>1224</v>
      </c>
      <c r="I21" t="s">
        <v>105</v>
      </c>
      <c r="J21"/>
      <c r="K21" s="1" t="s">
        <v>1225</v>
      </c>
      <c r="L21"/>
      <c r="M21" s="1" t="s">
        <v>1226</v>
      </c>
      <c r="N21" s="18" t="str">
        <f t="shared" si="0"/>
        <v>vicente@grupoautomega.com.br;gerse.silva@grupoautomega.com.br;leonardo@repecon.com.br;marco.caetano@grupoautomega.com.br;leandro.soares@grupoautomega.com.br;meri.machado@grupoautomega.com.br;patricia@grupoautomega.com.br;</v>
      </c>
    </row>
    <row r="22" spans="1:14" hidden="1">
      <c r="A22" s="6"/>
      <c r="B22" s="2">
        <v>7600219</v>
      </c>
      <c r="C22" t="s">
        <v>108</v>
      </c>
      <c r="D22" s="2">
        <v>1</v>
      </c>
      <c r="E22" s="2">
        <v>3</v>
      </c>
      <c r="F22" t="s">
        <v>109</v>
      </c>
      <c r="G22" t="s">
        <v>103</v>
      </c>
      <c r="H22" s="1" t="s">
        <v>1224</v>
      </c>
      <c r="I22" t="s">
        <v>1227</v>
      </c>
      <c r="J22"/>
      <c r="K22" t="s">
        <v>1225</v>
      </c>
      <c r="L22"/>
      <c r="M22" s="1" t="s">
        <v>1226</v>
      </c>
      <c r="N22" s="18" t="str">
        <f t="shared" si="0"/>
        <v>vicente@grupoautomega.com.br;gerse.silva@grupoautomega.com.br;leonardo@repecon.com.br;adriano.silva@grupoautomega.com.br;hamilton.goia@grupoautomega.com.br;meri.machado@grupoautomega.com.br;patricia@grupoautomega.com.br;</v>
      </c>
    </row>
    <row r="23" spans="1:14" hidden="1">
      <c r="A23" s="6"/>
      <c r="B23" s="2">
        <v>7600007</v>
      </c>
      <c r="C23" t="s">
        <v>111</v>
      </c>
      <c r="D23" s="2">
        <v>1</v>
      </c>
      <c r="E23" s="2">
        <v>3</v>
      </c>
      <c r="F23" t="s">
        <v>112</v>
      </c>
      <c r="G23" t="s">
        <v>103</v>
      </c>
      <c r="H23" s="1" t="s">
        <v>1224</v>
      </c>
      <c r="I23" t="s">
        <v>113</v>
      </c>
      <c r="J23"/>
      <c r="K23" t="s">
        <v>1225</v>
      </c>
      <c r="L23"/>
      <c r="M23" s="1" t="s">
        <v>1226</v>
      </c>
      <c r="N23" s="18" t="str">
        <f t="shared" si="0"/>
        <v>vicente@grupoautomega.com.br;gerse.silva@grupoautomega.com.br;leonardo@repecon.com.br;marcelo.meireles@grupoautomega.com.br;sidnei.camilo@grupoautomega.com.br;meri.machado@grupoautomega.com.br;patricia@grupoautomega.com.br;</v>
      </c>
    </row>
    <row r="24" spans="1:14" hidden="1">
      <c r="A24" s="6"/>
      <c r="B24" s="2">
        <v>7600642</v>
      </c>
      <c r="C24" t="s">
        <v>114</v>
      </c>
      <c r="D24" s="2">
        <v>1</v>
      </c>
      <c r="E24" s="2">
        <v>3</v>
      </c>
      <c r="F24" t="s">
        <v>115</v>
      </c>
      <c r="G24" t="s">
        <v>103</v>
      </c>
      <c r="H24" s="1" t="s">
        <v>1224</v>
      </c>
      <c r="I24" t="s">
        <v>116</v>
      </c>
      <c r="J24"/>
      <c r="K24" t="s">
        <v>1225</v>
      </c>
      <c r="L24"/>
      <c r="M24" s="1" t="s">
        <v>1226</v>
      </c>
      <c r="N24" s="18" t="str">
        <f t="shared" si="0"/>
        <v>vicente@grupoautomega.com.br;gerse.silva@grupoautomega.com.br;leonardo@repecon.com.br;jaime.nunes@grupoautomega.com.br;eduardo.tamura@grupoautomega.com.br;meri.machado@grupoautomega.com.br;patricia@grupoautomega.com.br;</v>
      </c>
    </row>
    <row r="25" spans="1:14" hidden="1">
      <c r="A25" s="6"/>
      <c r="B25" s="2">
        <v>7600778</v>
      </c>
      <c r="C25" t="s">
        <v>117</v>
      </c>
      <c r="D25" s="2">
        <v>1</v>
      </c>
      <c r="E25" s="2">
        <v>3</v>
      </c>
      <c r="F25" t="s">
        <v>1228</v>
      </c>
      <c r="G25" t="s">
        <v>103</v>
      </c>
      <c r="H25" s="1" t="s">
        <v>1224</v>
      </c>
      <c r="I25"/>
      <c r="J25"/>
      <c r="K25" t="s">
        <v>1225</v>
      </c>
      <c r="L25"/>
      <c r="M25" s="1" t="s">
        <v>1226</v>
      </c>
      <c r="N25" s="18" t="str">
        <f t="shared" si="0"/>
        <v>vicente@grupoautomega.com.br;gerse.silva@grupoautomega.com.br;leonardo@repecon.com.br;jossias.dalla@grupoautomega.com.br; geilson.pires@grupoautomega.com.br;;meri.machado@grupoautomega.com.br;patricia@grupoautomega.com.br;</v>
      </c>
    </row>
    <row r="26" spans="1:14" hidden="1">
      <c r="A26" s="6"/>
      <c r="B26" s="2">
        <v>7601216</v>
      </c>
      <c r="C26" t="s">
        <v>137</v>
      </c>
      <c r="D26" s="2">
        <v>1</v>
      </c>
      <c r="E26" s="2">
        <v>3</v>
      </c>
      <c r="F26" s="1" t="s">
        <v>152</v>
      </c>
      <c r="G26"/>
      <c r="H26" s="1" t="s">
        <v>1229</v>
      </c>
      <c r="I26" s="1" t="s">
        <v>147</v>
      </c>
      <c r="J26"/>
      <c r="K26" s="1" t="s">
        <v>1230</v>
      </c>
      <c r="L26"/>
      <c r="M26"/>
      <c r="N26" s="18" t="str">
        <f t="shared" si="0"/>
        <v>amaral@grupoautoshow.com.br; jose.oliveira@grupoautoshow.com.br;;laudelino.junior@autoplusrenault.com.br;marcos.griten@autoplusrenault.com.br ;qualidade@autoplusrenault.com.br;agendamento2@autoplusrenault.com.br;</v>
      </c>
    </row>
    <row r="27" spans="1:14" hidden="1">
      <c r="A27" s="6"/>
      <c r="B27" s="2">
        <v>7601210</v>
      </c>
      <c r="C27" t="s">
        <v>142</v>
      </c>
      <c r="D27" s="2">
        <v>1</v>
      </c>
      <c r="E27" s="2">
        <v>3</v>
      </c>
      <c r="F27" t="s">
        <v>143</v>
      </c>
      <c r="G27"/>
      <c r="H27" s="1" t="s">
        <v>1229</v>
      </c>
      <c r="I27" s="1" t="s">
        <v>1231</v>
      </c>
      <c r="J27"/>
      <c r="K27" s="1" t="s">
        <v>1230</v>
      </c>
      <c r="L27"/>
      <c r="M27"/>
      <c r="N27" s="18" t="str">
        <f t="shared" si="0"/>
        <v>amaral@grupoautoshow.com.br; jose.oliveira@grupoautoshow.com.br;;julio.oliveira@autoplusrenault.com.br;marcos.matias@autoplusrenault.com.br;marcos.griten@autoplusrenault.com.br ;qualidade@autoplusrenault.com.br;agendamento2@autoplusrenault.com.br;</v>
      </c>
    </row>
    <row r="28" spans="1:14" hidden="1">
      <c r="A28" s="6"/>
      <c r="B28" s="2">
        <v>7601224</v>
      </c>
      <c r="C28" t="s">
        <v>145</v>
      </c>
      <c r="D28" s="2">
        <v>1</v>
      </c>
      <c r="E28" s="2">
        <v>3</v>
      </c>
      <c r="F28" t="s">
        <v>139</v>
      </c>
      <c r="G28"/>
      <c r="H28" s="1" t="s">
        <v>1229</v>
      </c>
      <c r="I28" s="1" t="s">
        <v>1232</v>
      </c>
      <c r="J28"/>
      <c r="K28" s="1" t="s">
        <v>1230</v>
      </c>
      <c r="L28"/>
      <c r="M28"/>
      <c r="N28" s="18" t="str">
        <f t="shared" si="0"/>
        <v>amaral@grupoautoshow.com.br; jose.oliveira@grupoautoshow.com.br;;eglerayner.goncalves@autoplusrenault.com.br;marcos.griten@autoplusrenault.com.br;marcos.griten@autoplusrenault.com.br ;qualidade@autoplusrenault.com.br;agendamento2@autoplusrenault.com.br;</v>
      </c>
    </row>
    <row r="29" spans="1:14" hidden="1">
      <c r="A29" s="6"/>
      <c r="B29" s="2">
        <v>7600777</v>
      </c>
      <c r="C29" t="s">
        <v>148</v>
      </c>
      <c r="D29" s="2">
        <v>1</v>
      </c>
      <c r="E29" s="2">
        <v>3</v>
      </c>
      <c r="F29" s="1" t="s">
        <v>1233</v>
      </c>
      <c r="G29"/>
      <c r="H29" s="1" t="s">
        <v>1229</v>
      </c>
      <c r="I29" s="1" t="s">
        <v>1234</v>
      </c>
      <c r="J29"/>
      <c r="K29" s="1" t="s">
        <v>1230</v>
      </c>
      <c r="L29"/>
      <c r="M29"/>
      <c r="N29" s="18" t="str">
        <f t="shared" si="0"/>
        <v>amaral@grupoautoshow.com.br; jose.oliveira@grupoautoshow.com.br;;joao.kelczeski@autoplusrenault.com.br;rodrigo.herbst@autoplusrenault.com.br;marcos.griten@autoplusrenault.com.br ;qualidade@autoplusrenault.com.br;agendamento2@autoplusrenault.com.br;</v>
      </c>
    </row>
    <row r="30" spans="1:14" hidden="1">
      <c r="A30" s="6"/>
      <c r="B30" s="2">
        <v>7600742</v>
      </c>
      <c r="C30" t="s">
        <v>151</v>
      </c>
      <c r="D30" s="2">
        <v>1</v>
      </c>
      <c r="E30" s="2">
        <v>3</v>
      </c>
      <c r="F30" s="1" t="s">
        <v>1235</v>
      </c>
      <c r="G30"/>
      <c r="H30" s="1" t="s">
        <v>1229</v>
      </c>
      <c r="I30" s="1" t="s">
        <v>1236</v>
      </c>
      <c r="J30"/>
      <c r="K30" s="1" t="s">
        <v>1230</v>
      </c>
      <c r="L30"/>
      <c r="M30"/>
      <c r="N30" s="18" t="str">
        <f t="shared" si="0"/>
        <v>amaral@grupoautoshow.com.br; jose.oliveira@grupoautoshow.com.br;;leandro.dias@autoplusrenault.com.br;;jessica.alves@autoplusrenault.com.br;marcos.griten@autoplusrenault.com.br ;qualidade@autoplusrenault.com.br;agendamento2@autoplusrenault.com.br;</v>
      </c>
    </row>
    <row r="31" spans="1:14" hidden="1">
      <c r="A31" s="6"/>
      <c r="B31" s="2">
        <v>7600873</v>
      </c>
      <c r="C31" t="s">
        <v>154</v>
      </c>
      <c r="D31" s="2">
        <v>1</v>
      </c>
      <c r="E31" s="2">
        <v>3</v>
      </c>
      <c r="F31" s="1" t="s">
        <v>1237</v>
      </c>
      <c r="G31"/>
      <c r="H31" s="1" t="s">
        <v>1229</v>
      </c>
      <c r="I31" s="1" t="s">
        <v>1238</v>
      </c>
      <c r="J31"/>
      <c r="K31" s="1" t="s">
        <v>1230</v>
      </c>
      <c r="L31"/>
      <c r="M31"/>
      <c r="N31" s="18" t="str">
        <f t="shared" si="0"/>
        <v>amaral@grupoautoshow.com.br; jose.oliveira@grupoautoshow.com.br;;cesar.reese@autoplusrenault.com.br;thyago.santos@autoplusrenault.com.br;marcos.griten@autoplusrenault.com.br ;qualidade@autoplusrenault.com.br;agendamento2@autoplusrenault.com.br;</v>
      </c>
    </row>
    <row r="32" spans="1:14" hidden="1">
      <c r="A32" s="6"/>
      <c r="B32" s="2">
        <v>7601142</v>
      </c>
      <c r="C32" t="s">
        <v>1133</v>
      </c>
      <c r="D32" s="2">
        <v>1</v>
      </c>
      <c r="E32" s="2">
        <v>3</v>
      </c>
      <c r="F32" s="1" t="s">
        <v>1239</v>
      </c>
      <c r="G32" t="s">
        <v>129</v>
      </c>
      <c r="H32" t="s">
        <v>1240</v>
      </c>
      <c r="I32" s="1" t="s">
        <v>1241</v>
      </c>
      <c r="J32"/>
      <c r="K32" s="1" t="s">
        <v>1242</v>
      </c>
      <c r="L32"/>
      <c r="M32"/>
      <c r="N32" s="18" t="str">
        <f t="shared" si="0"/>
        <v>fernando.sales@grupoenzo.com.br; saulo.lima@grupoenzo.com.br;kcf@grupoenzo.com.br;marcelo.silva@guaracampogrande.com.br;arthur.davila@guaracampogrande.com.br;leandro.onofre@guaracampogrande.com.br;carolina.martins@guaracampogrande.com.br;emanuelle.silva@guaracampogrande.com.br;</v>
      </c>
    </row>
    <row r="33" spans="1:14" hidden="1">
      <c r="A33" s="6"/>
      <c r="B33" s="2">
        <v>7600991</v>
      </c>
      <c r="C33" t="s">
        <v>127</v>
      </c>
      <c r="D33" s="2">
        <v>1</v>
      </c>
      <c r="E33" s="2">
        <v>3</v>
      </c>
      <c r="F33" s="1" t="s">
        <v>1243</v>
      </c>
      <c r="G33" t="s">
        <v>129</v>
      </c>
      <c r="H33" t="s">
        <v>1240</v>
      </c>
      <c r="I33" s="1" t="s">
        <v>1244</v>
      </c>
      <c r="J33"/>
      <c r="K33" s="1" t="s">
        <v>1242</v>
      </c>
      <c r="L33"/>
      <c r="M33"/>
      <c r="N33" s="18" t="str">
        <f t="shared" si="0"/>
        <v>fernando.sales@grupoenzo.com.br; saulo.lima@grupoenzo.com.br;kcf@grupoenzo.com.br;rhude.hermes@guaracampogrande.com.br;leandro.onofre@guaracampogrande.com.br;arthur.davila@guaracampogrande.com.br;carolina.martins@guaracampogrande.com.br;emanuelle.silva@guaracampogrande.com.br;</v>
      </c>
    </row>
    <row r="34" spans="1:14" hidden="1">
      <c r="A34" s="6"/>
      <c r="B34" s="2">
        <v>7601047</v>
      </c>
      <c r="C34" t="s">
        <v>134</v>
      </c>
      <c r="D34" s="2">
        <v>1</v>
      </c>
      <c r="E34" s="2">
        <v>3</v>
      </c>
      <c r="F34" s="1" t="s">
        <v>1245</v>
      </c>
      <c r="G34" t="s">
        <v>129</v>
      </c>
      <c r="H34" t="s">
        <v>1240</v>
      </c>
      <c r="I34" s="1" t="s">
        <v>1246</v>
      </c>
      <c r="J34"/>
      <c r="K34" s="1" t="s">
        <v>1242</v>
      </c>
      <c r="L34"/>
      <c r="M34"/>
      <c r="N34" s="18" t="str">
        <f t="shared" si="0"/>
        <v>fernando.sales@grupoenzo.com.br; saulo.lima@grupoenzo.com.br;kcf@grupoenzo.com.br;larissa.quadro@guararenaultdourados.com.br;gilberto.melgarejo@guararenaultdourados.com.Br;;carolina.martins@guaracampogrande.com.br;emanuelle.silva@guaracampogrande.com.br;</v>
      </c>
    </row>
    <row r="35" spans="1:14" hidden="1">
      <c r="A35" s="6"/>
      <c r="B35" s="2">
        <v>7600373</v>
      </c>
      <c r="C35" t="s">
        <v>252</v>
      </c>
      <c r="D35" s="2">
        <v>1</v>
      </c>
      <c r="E35" s="2">
        <v>3</v>
      </c>
      <c r="F35" t="s">
        <v>1247</v>
      </c>
      <c r="G35" t="s">
        <v>1248</v>
      </c>
      <c r="H35" t="s">
        <v>1249</v>
      </c>
      <c r="I35" t="s">
        <v>1250</v>
      </c>
      <c r="J35"/>
      <c r="K35" t="s">
        <v>255</v>
      </c>
      <c r="L35"/>
      <c r="M35" t="s">
        <v>1251</v>
      </c>
      <c r="N35" s="18" t="str">
        <f t="shared" si="0"/>
        <v>felipe@itaimbe.com.br; lucasdambros@itaimbe.com.br; rodrigodarosa@itaimbe.com.br;daniel@itaimbe.com.br; felipedoeler@itaimbe.com.br;isidoro.leon@itaimbe.com.br;ronaldo.freitas@itaimbe.com.br;diegomoura@itaimbe.com.br;lucasdambros@itaimbe.com.br; janderli.bock@itaimbe.com.br;</v>
      </c>
    </row>
    <row r="36" spans="1:14" hidden="1">
      <c r="A36" s="6"/>
      <c r="B36" s="2">
        <v>7600701</v>
      </c>
      <c r="C36" t="s">
        <v>257</v>
      </c>
      <c r="D36" s="2">
        <v>1</v>
      </c>
      <c r="E36" s="2">
        <v>3</v>
      </c>
      <c r="F36" t="s">
        <v>1252</v>
      </c>
      <c r="G36" t="s">
        <v>1248</v>
      </c>
      <c r="H36" t="s">
        <v>1249</v>
      </c>
      <c r="I36" t="s">
        <v>258</v>
      </c>
      <c r="J36"/>
      <c r="K36" t="s">
        <v>255</v>
      </c>
      <c r="L36"/>
      <c r="M36" t="s">
        <v>1253</v>
      </c>
      <c r="N36" s="18" t="str">
        <f t="shared" si="0"/>
        <v xml:space="preserve">felipe@itaimbe.com.br; lucasdambros@itaimbe.com.br; rodrigodarosa@itaimbe.com.br;daniel@itaimbe.com.br; felipedoeler@itaimbe.com.br;luziano.grellmann@itaimbe.com.br;marciosilva@itaimbe.com.br;diegomoura@itaimbe.com.br;lucasdambros@itaimbe.com.br; jordanoalves@itaimbe.com.br; janderli.bock@itaimbe.com.br; </v>
      </c>
    </row>
    <row r="37" spans="1:14" hidden="1">
      <c r="A37" s="6"/>
      <c r="B37" s="2">
        <v>7600756</v>
      </c>
      <c r="C37" t="s">
        <v>260</v>
      </c>
      <c r="D37" s="2">
        <v>1</v>
      </c>
      <c r="E37" s="2">
        <v>3</v>
      </c>
      <c r="F37" t="s">
        <v>1252</v>
      </c>
      <c r="G37" t="s">
        <v>1248</v>
      </c>
      <c r="H37" t="s">
        <v>1249</v>
      </c>
      <c r="I37" t="s">
        <v>262</v>
      </c>
      <c r="J37"/>
      <c r="K37" t="s">
        <v>255</v>
      </c>
      <c r="L37"/>
      <c r="M37" t="s">
        <v>1254</v>
      </c>
      <c r="N37" s="18" t="str">
        <f t="shared" si="0"/>
        <v>felipe@itaimbe.com.br; lucasdambros@itaimbe.com.br; rodrigodarosa@itaimbe.com.br;daniel@itaimbe.com.br; felipedoeler@itaimbe.com.br;luziano.grellmann@itaimbe.com.br;andregrapiglia@itaimbe.com.br;diegomoura@itaimbe.com.br;lucasdambros@itaimbe.com.br; roger.oliveira@itaimbe.com.br; janderli.bock@itaimbe.com.br;</v>
      </c>
    </row>
    <row r="38" spans="1:14" hidden="1">
      <c r="A38" s="6"/>
      <c r="B38" s="2">
        <v>7600023</v>
      </c>
      <c r="C38" t="s">
        <v>264</v>
      </c>
      <c r="D38" s="2">
        <v>1</v>
      </c>
      <c r="E38" s="2">
        <v>3</v>
      </c>
      <c r="F38" t="s">
        <v>1252</v>
      </c>
      <c r="G38" t="s">
        <v>1248</v>
      </c>
      <c r="H38" t="s">
        <v>1249</v>
      </c>
      <c r="I38" t="s">
        <v>265</v>
      </c>
      <c r="J38"/>
      <c r="K38" t="s">
        <v>255</v>
      </c>
      <c r="L38"/>
      <c r="M38" t="s">
        <v>1255</v>
      </c>
      <c r="N38" s="18" t="str">
        <f t="shared" si="0"/>
        <v>felipe@itaimbe.com.br; lucasdambros@itaimbe.com.br; rodrigodarosa@itaimbe.com.br;daniel@itaimbe.com.br; felipedoeler@itaimbe.com.br;luziano.grellmann@itaimbe.com.br;lucasdambros@itaimbe.com.br;diegomoura@itaimbe.com.br;lucasdambros@itaimbe.com.br; juarezsilva@itaimbe.com.br; janderli.bock@itaimbe.com.br;</v>
      </c>
    </row>
    <row r="39" spans="1:14" hidden="1">
      <c r="A39" s="6"/>
      <c r="B39" s="2">
        <v>7600271</v>
      </c>
      <c r="C39" t="s">
        <v>266</v>
      </c>
      <c r="D39" s="2">
        <v>1</v>
      </c>
      <c r="E39" s="2">
        <v>3</v>
      </c>
      <c r="F39" t="s">
        <v>1252</v>
      </c>
      <c r="G39" t="s">
        <v>1248</v>
      </c>
      <c r="H39" t="s">
        <v>1249</v>
      </c>
      <c r="I39"/>
      <c r="J39"/>
      <c r="K39" t="s">
        <v>255</v>
      </c>
      <c r="L39"/>
      <c r="M39" t="s">
        <v>1256</v>
      </c>
      <c r="N39" s="18" t="str">
        <f t="shared" si="0"/>
        <v>felipe@itaimbe.com.br; lucasdambros@itaimbe.com.br; rodrigodarosa@itaimbe.com.br;daniel@itaimbe.com.br; felipedoeler@itaimbe.com.br;luziano.grellmann@itaimbe.com.br;;diegomoura@itaimbe.com.br;lucasdambros@itaimbe.com.br; gustavooliveira@itaimbe.com.br; janderli.bock@itaimbe.com.br;</v>
      </c>
    </row>
    <row r="40" spans="1:14" hidden="1">
      <c r="A40" s="6"/>
      <c r="B40" s="2">
        <v>7601213</v>
      </c>
      <c r="C40" t="s">
        <v>157</v>
      </c>
      <c r="D40" s="2">
        <v>1</v>
      </c>
      <c r="E40" s="2">
        <v>4</v>
      </c>
      <c r="F40" t="s">
        <v>160</v>
      </c>
      <c r="G40"/>
      <c r="H40" t="s">
        <v>158</v>
      </c>
      <c r="I40" t="s">
        <v>161</v>
      </c>
      <c r="J40"/>
      <c r="K40"/>
      <c r="L40"/>
      <c r="M40" t="s">
        <v>162</v>
      </c>
      <c r="N40" s="18" t="str">
        <f t="shared" si="0"/>
        <v>zibetti@demarcoveiculos.com.br;adriano@demarcoveiculos.com.br;;danth@demarcoveiculos.com.br; gerente.smo@demarcoveiculos.com.br;posvenda@demarcoveiculos.com.br; posvenda.blu@demarcoveiculos.com.br; posvendas.jba@demarcoveiculos.com.br;;cotech.smo@demarcoveiculos.com.br</v>
      </c>
    </row>
    <row r="41" spans="1:14" hidden="1">
      <c r="A41" s="6"/>
      <c r="B41" s="2">
        <v>7600746</v>
      </c>
      <c r="C41" t="s">
        <v>163</v>
      </c>
      <c r="D41" s="2">
        <v>1</v>
      </c>
      <c r="E41" s="2">
        <v>4</v>
      </c>
      <c r="F41" t="s">
        <v>165</v>
      </c>
      <c r="G41"/>
      <c r="H41" t="s">
        <v>164</v>
      </c>
      <c r="I41" t="s">
        <v>166</v>
      </c>
      <c r="J41"/>
      <c r="K41"/>
      <c r="L41"/>
      <c r="M41"/>
      <c r="N41" s="18" t="str">
        <f t="shared" si="0"/>
        <v>adriano@demarcoveiculos.com.br;;danth@demarcoveiculos.com.br; gerente.ccd@demarcoveiculos.com.br;posvenda@demarcoveiculos.com.br; posvendas.jba@demarcoveiculos.com.br;;</v>
      </c>
    </row>
    <row r="42" spans="1:14" hidden="1">
      <c r="A42" s="6"/>
      <c r="B42" s="2">
        <v>7600943</v>
      </c>
      <c r="C42" t="s">
        <v>167</v>
      </c>
      <c r="D42" s="2">
        <v>1</v>
      </c>
      <c r="E42" s="2">
        <v>4</v>
      </c>
      <c r="F42" t="s">
        <v>168</v>
      </c>
      <c r="G42"/>
      <c r="H42" t="s">
        <v>164</v>
      </c>
      <c r="I42" t="s">
        <v>166</v>
      </c>
      <c r="J42"/>
      <c r="K42"/>
      <c r="L42"/>
      <c r="M42" t="s">
        <v>169</v>
      </c>
      <c r="N42" s="18" t="str">
        <f t="shared" si="0"/>
        <v>adriano@demarcoveiculos.com.br;;danth@demarcoveiculos.com.br; gerente.cco@demarcoveiculos.com.br;posvenda@demarcoveiculos.com.br; posvendas.jba@demarcoveiculos.com.br;;cotech.cco@demarcoveiculos.com.br</v>
      </c>
    </row>
    <row r="43" spans="1:14" hidden="1">
      <c r="A43" s="6"/>
      <c r="B43" s="2">
        <v>7600633</v>
      </c>
      <c r="C43" t="s">
        <v>170</v>
      </c>
      <c r="D43" s="2">
        <v>1</v>
      </c>
      <c r="E43" s="2">
        <v>4</v>
      </c>
      <c r="F43" t="s">
        <v>171</v>
      </c>
      <c r="G43"/>
      <c r="H43" t="s">
        <v>164</v>
      </c>
      <c r="I43" t="s">
        <v>166</v>
      </c>
      <c r="J43"/>
      <c r="K43"/>
      <c r="L43"/>
      <c r="M43" t="s">
        <v>172</v>
      </c>
      <c r="N43" s="18" t="str">
        <f t="shared" si="0"/>
        <v>adriano@demarcoveiculos.com.br;;danth@demarcoveiculos.com.br; gerente.cda@demarcoveiculos.com.br;posvenda@demarcoveiculos.com.br; posvendas.jba@demarcoveiculos.com.br;;rafael_volpini8019@hotmail.com</v>
      </c>
    </row>
    <row r="44" spans="1:14" hidden="1">
      <c r="A44" s="6"/>
      <c r="B44" s="2">
        <v>7600167</v>
      </c>
      <c r="C44" t="s">
        <v>173</v>
      </c>
      <c r="D44" s="2">
        <v>1</v>
      </c>
      <c r="E44" s="2">
        <v>4</v>
      </c>
      <c r="F44" t="s">
        <v>174</v>
      </c>
      <c r="G44"/>
      <c r="H44" t="s">
        <v>164</v>
      </c>
      <c r="I44" t="s">
        <v>166</v>
      </c>
      <c r="J44"/>
      <c r="K44"/>
      <c r="L44"/>
      <c r="M44" t="s">
        <v>175</v>
      </c>
      <c r="N44" s="18" t="str">
        <f t="shared" si="0"/>
        <v>adriano@demarcoveiculos.com.br;;danth@demarcoveiculos.com.br; gerente.jba@demarcoveiculos.com.br;posvenda@demarcoveiculos.com.br; posvendas.jba@demarcoveiculos.com.br;;cotech.jba@demarcoveiculos.com.br</v>
      </c>
    </row>
    <row r="45" spans="1:14" hidden="1">
      <c r="A45" s="6"/>
      <c r="B45" s="2">
        <v>7600776</v>
      </c>
      <c r="C45" t="s">
        <v>176</v>
      </c>
      <c r="D45" s="2">
        <v>1</v>
      </c>
      <c r="E45" s="2">
        <v>4</v>
      </c>
      <c r="F45" t="s">
        <v>177</v>
      </c>
      <c r="G45"/>
      <c r="H45" t="s">
        <v>164</v>
      </c>
      <c r="I45" t="s">
        <v>166</v>
      </c>
      <c r="J45"/>
      <c r="K45"/>
      <c r="L45"/>
      <c r="M45" t="s">
        <v>169</v>
      </c>
      <c r="N45" s="18" t="str">
        <f t="shared" si="0"/>
        <v>adriano@demarcoveiculos.com.br;;danth@demarcoveiculos.com.br; gerente.ptu@demarcoveiculos.com.br;posvenda@demarcoveiculos.com.br; posvendas.jba@demarcoveiculos.com.br;;cotech.cco@demarcoveiculos.com.br</v>
      </c>
    </row>
    <row r="46" spans="1:14" hidden="1">
      <c r="A46" s="6"/>
      <c r="B46" s="2">
        <v>7601126</v>
      </c>
      <c r="C46" t="s">
        <v>178</v>
      </c>
      <c r="D46" s="2">
        <v>1</v>
      </c>
      <c r="E46" s="2">
        <v>4</v>
      </c>
      <c r="F46" t="s">
        <v>160</v>
      </c>
      <c r="G46"/>
      <c r="H46" t="s">
        <v>164</v>
      </c>
      <c r="I46" t="s">
        <v>166</v>
      </c>
      <c r="J46"/>
      <c r="K46"/>
      <c r="L46"/>
      <c r="M46" t="s">
        <v>162</v>
      </c>
      <c r="N46" s="18" t="str">
        <f t="shared" si="0"/>
        <v>adriano@demarcoveiculos.com.br;;danth@demarcoveiculos.com.br; gerente.smo@demarcoveiculos.com.br;posvenda@demarcoveiculos.com.br; posvendas.jba@demarcoveiculos.com.br;;cotech.smo@demarcoveiculos.com.br</v>
      </c>
    </row>
    <row r="47" spans="1:14" hidden="1">
      <c r="A47" s="6"/>
      <c r="B47" s="2">
        <v>7600641</v>
      </c>
      <c r="C47" t="s">
        <v>179</v>
      </c>
      <c r="D47" s="2">
        <v>1</v>
      </c>
      <c r="E47" s="2">
        <v>4</v>
      </c>
      <c r="F47" t="s">
        <v>180</v>
      </c>
      <c r="G47"/>
      <c r="H47" t="s">
        <v>164</v>
      </c>
      <c r="I47" t="s">
        <v>166</v>
      </c>
      <c r="J47"/>
      <c r="K47"/>
      <c r="L47"/>
      <c r="M47" t="s">
        <v>175</v>
      </c>
      <c r="N47" s="18" t="str">
        <f t="shared" si="0"/>
        <v>adriano@demarcoveiculos.com.br;;danth@demarcoveiculos.com.br; gerente.vda@demarcoveiculos.com.br;posvenda@demarcoveiculos.com.br; posvendas.jba@demarcoveiculos.com.br;;cotech.jba@demarcoveiculos.com.br</v>
      </c>
    </row>
    <row r="48" spans="1:14" hidden="1">
      <c r="A48" s="6"/>
      <c r="B48" s="2">
        <v>7600888</v>
      </c>
      <c r="C48" t="s">
        <v>181</v>
      </c>
      <c r="D48" s="2">
        <v>1</v>
      </c>
      <c r="E48" s="2">
        <v>4</v>
      </c>
      <c r="F48" t="s">
        <v>182</v>
      </c>
      <c r="G48"/>
      <c r="H48" t="s">
        <v>164</v>
      </c>
      <c r="I48" t="s">
        <v>166</v>
      </c>
      <c r="J48"/>
      <c r="K48"/>
      <c r="L48"/>
      <c r="M48" t="s">
        <v>169</v>
      </c>
      <c r="N48" s="18" t="str">
        <f t="shared" si="0"/>
        <v>adriano@demarcoveiculos.com.br;;danth@demarcoveiculos.com.br; gerente.xxe@demarcoveiculos.com.br;posvenda@demarcoveiculos.com.br; posvendas.jba@demarcoveiculos.com.br;;cotech.cco@demarcoveiculos.com.br</v>
      </c>
    </row>
    <row r="49" spans="1:14" hidden="1">
      <c r="A49" s="6"/>
      <c r="B49" s="2">
        <v>7601148</v>
      </c>
      <c r="C49" t="s">
        <v>119</v>
      </c>
      <c r="D49" s="2">
        <v>1</v>
      </c>
      <c r="E49" s="2">
        <v>4</v>
      </c>
      <c r="F49" s="1" t="s">
        <v>1257</v>
      </c>
      <c r="G49" t="s">
        <v>121</v>
      </c>
      <c r="H49" t="s">
        <v>120</v>
      </c>
      <c r="I49"/>
      <c r="J49"/>
      <c r="K49" t="s">
        <v>123</v>
      </c>
      <c r="L49"/>
      <c r="M49" t="s">
        <v>1258</v>
      </c>
      <c r="N49" s="18" t="str">
        <f t="shared" si="0"/>
        <v>julio.csilva@gruposaga.com.br;alex.minas@gruposaga.com.br;gerson.sjunior@gruposaga.com.br;jeovanne.aprado@gruposaga.com.br;;ana.psales@gruposaga.com.br;joyce.pbarreto@gruposaga.com.br; tamy.asilva@gruposaga.com.br;jeovane.dmachado@gruposaga.com.br ;hennesthayane.aguiar@gruposaga.com.br;ester.sboabaide@gruposaga.com.br;lorraynne.gsilva@gruposaga.com.br</v>
      </c>
    </row>
    <row r="50" spans="1:14" hidden="1">
      <c r="A50" s="6"/>
      <c r="B50" s="2">
        <v>7600990</v>
      </c>
      <c r="C50" t="s">
        <v>125</v>
      </c>
      <c r="D50" s="2">
        <v>1</v>
      </c>
      <c r="E50" s="2">
        <v>4</v>
      </c>
      <c r="F50" s="1" t="s">
        <v>126</v>
      </c>
      <c r="G50" t="s">
        <v>121</v>
      </c>
      <c r="H50" t="s">
        <v>120</v>
      </c>
      <c r="I50"/>
      <c r="J50"/>
      <c r="K50" t="s">
        <v>123</v>
      </c>
      <c r="L50"/>
      <c r="M50" t="s">
        <v>1258</v>
      </c>
      <c r="N50" s="18" t="str">
        <f t="shared" si="0"/>
        <v>julio.csilva@gruposaga.com.br;alex.minas@gruposaga.com.br;hellen.spaz@gruposaga.com.br;;ana.psales@gruposaga.com.br;joyce.pbarreto@gruposaga.com.br; tamy.asilva@gruposaga.com.br;jeovane.dmachado@gruposaga.com.br ;hennesthayane.aguiar@gruposaga.com.br;ester.sboabaide@gruposaga.com.br;lorraynne.gsilva@gruposaga.com.br</v>
      </c>
    </row>
    <row r="51" spans="1:14" hidden="1">
      <c r="A51" s="6"/>
      <c r="B51" s="2">
        <v>7600671</v>
      </c>
      <c r="C51" t="s">
        <v>297</v>
      </c>
      <c r="D51" s="2">
        <v>1</v>
      </c>
      <c r="E51" s="2">
        <v>4</v>
      </c>
      <c r="F51" t="s">
        <v>299</v>
      </c>
      <c r="G51"/>
      <c r="H51" t="s">
        <v>298</v>
      </c>
      <c r="I51" t="s">
        <v>300</v>
      </c>
      <c r="J51"/>
      <c r="K51"/>
      <c r="L51"/>
      <c r="M51" t="s">
        <v>302</v>
      </c>
      <c r="N51" s="18" t="str">
        <f t="shared" si="0"/>
        <v>priscilla@renaultmorel.com.br; claudio@renaultmorel.com.br;;vendas@renaultmorel.com.br;posvendas@renaultmorel.com.br; posvendas@grupovianorte.com.br;;garantia@renaultmorel.com.br; pecas@renaultmorel.com.br; cotech@renaultmorel.com.br</v>
      </c>
    </row>
    <row r="52" spans="1:14" hidden="1">
      <c r="A52" s="6"/>
      <c r="B52" s="2">
        <v>7600993</v>
      </c>
      <c r="C52" t="s">
        <v>208</v>
      </c>
      <c r="D52" s="2">
        <v>1</v>
      </c>
      <c r="E52" s="2">
        <v>5</v>
      </c>
      <c r="F52" s="1" t="s">
        <v>215</v>
      </c>
      <c r="G52" s="1" t="s">
        <v>210</v>
      </c>
      <c r="H52" s="1" t="s">
        <v>1259</v>
      </c>
      <c r="I52" s="1" t="s">
        <v>212</v>
      </c>
      <c r="J52"/>
      <c r="K52" t="s">
        <v>213</v>
      </c>
      <c r="L52"/>
      <c r="M52" s="1" t="s">
        <v>1260</v>
      </c>
      <c r="N52" s="18" t="str">
        <f t="shared" si="0"/>
        <v>ernani@nissulgala.com;marcelo@nissulgala.com;jose@nissulgala.com;estevao.crestani@nissulgala.com;priscila.vargas@nissulgala.com;adriana.cabreira@nissulgala.com;bruna.bandeira@nissulgala.com;joelise@nissulgala.com;ana.dias@nissulgala.com;rogerio@nissulgala.com</v>
      </c>
    </row>
    <row r="53" spans="1:14" hidden="1">
      <c r="A53" s="6"/>
      <c r="B53" s="2">
        <v>7600983</v>
      </c>
      <c r="C53" t="s">
        <v>214</v>
      </c>
      <c r="D53" s="2">
        <v>1</v>
      </c>
      <c r="E53" s="2">
        <v>5</v>
      </c>
      <c r="F53" s="1" t="s">
        <v>1261</v>
      </c>
      <c r="G53" s="1" t="s">
        <v>210</v>
      </c>
      <c r="H53" s="1" t="s">
        <v>1259</v>
      </c>
      <c r="I53" s="1" t="s">
        <v>212</v>
      </c>
      <c r="J53"/>
      <c r="K53" t="s">
        <v>213</v>
      </c>
      <c r="L53"/>
      <c r="M53" s="1" t="s">
        <v>1260</v>
      </c>
      <c r="N53" s="18" t="str">
        <f t="shared" si="0"/>
        <v>ernani@nissulgala.com;marcelo@nissulgala.com;jose@nissulgala.com;pedro.feijo@nissulgala.com;priscila.vargas@nissulgala.com;adriana.cabreira@nissulgala.com;bruna.bandeira@nissulgala.com;joelise@nissulgala.com;ana.dias@nissulgala.com;rogerio@nissulgala.com</v>
      </c>
    </row>
    <row r="54" spans="1:14" hidden="1">
      <c r="A54" s="6"/>
      <c r="B54" s="2">
        <v>7600154</v>
      </c>
      <c r="C54" t="s">
        <v>224</v>
      </c>
      <c r="D54" s="2">
        <v>1</v>
      </c>
      <c r="E54" s="2">
        <v>5</v>
      </c>
      <c r="F54" t="s">
        <v>227</v>
      </c>
      <c r="G54" t="s">
        <v>226</v>
      </c>
      <c r="H54" t="s">
        <v>1262</v>
      </c>
      <c r="I54" t="s">
        <v>228</v>
      </c>
      <c r="J54"/>
      <c r="K54" t="s">
        <v>229</v>
      </c>
      <c r="L54"/>
      <c r="M54"/>
      <c r="N54" s="18" t="str">
        <f t="shared" si="0"/>
        <v>vitor.rade@grupoiesa.com.br;ari.campanhol@grupoiesa.com.br; luis.dias@grupoiesa.com.br;thiago@grupoiesa.com.br;flavia.simphronio@grupoiesa.com.br;bethielle.molina@grupoiesa.com.br;cleusa.rosa@grupoiesa.com.br; brenda.taborda@grupoiesa.com.br;</v>
      </c>
    </row>
    <row r="55" spans="1:14" hidden="1">
      <c r="A55" s="6"/>
      <c r="B55" s="2">
        <v>7600860</v>
      </c>
      <c r="C55" t="s">
        <v>231</v>
      </c>
      <c r="D55" s="2">
        <v>1</v>
      </c>
      <c r="E55" s="2">
        <v>5</v>
      </c>
      <c r="F55" t="s">
        <v>232</v>
      </c>
      <c r="G55" t="s">
        <v>226</v>
      </c>
      <c r="H55" t="s">
        <v>1262</v>
      </c>
      <c r="I55" s="1" t="s">
        <v>1263</v>
      </c>
      <c r="J55"/>
      <c r="K55" t="s">
        <v>229</v>
      </c>
      <c r="L55"/>
      <c r="M55"/>
      <c r="N55" s="18" t="str">
        <f t="shared" si="0"/>
        <v>vitor.rade@grupoiesa.com.br;ari.campanhol@grupoiesa.com.br; luis.dias@grupoiesa.com.br;thiago@grupoiesa.com.br;peterson.souza@grupoiesa.com.br;andre.dare@grupoiesa.com.br;;cleusa.rosa@grupoiesa.com.br; brenda.taborda@grupoiesa.com.br;</v>
      </c>
    </row>
    <row r="56" spans="1:14" hidden="1">
      <c r="A56" s="6"/>
      <c r="B56" s="2">
        <v>7600887</v>
      </c>
      <c r="C56" t="s">
        <v>235</v>
      </c>
      <c r="D56" s="2">
        <v>1</v>
      </c>
      <c r="E56" s="2">
        <v>5</v>
      </c>
      <c r="F56" s="1" t="s">
        <v>250</v>
      </c>
      <c r="G56" t="s">
        <v>226</v>
      </c>
      <c r="H56" t="s">
        <v>1262</v>
      </c>
      <c r="I56" s="1" t="s">
        <v>1264</v>
      </c>
      <c r="J56"/>
      <c r="K56" t="s">
        <v>229</v>
      </c>
      <c r="L56"/>
      <c r="M56" t="s">
        <v>236</v>
      </c>
      <c r="N56" s="18" t="str">
        <f t="shared" si="0"/>
        <v xml:space="preserve">vitor.rade@grupoiesa.com.br;ari.campanhol@grupoiesa.com.br; luis.dias@grupoiesa.com.br;thiago@grupoiesa.com.br;saymon.avila@grupoiesa.com.br;lucas.silva@grupoiesa.com.br;cleusa.rosa@grupoiesa.com.br; brenda.taborda@grupoiesa.com.br;saymon.avila@grupoiesa.com.br; </v>
      </c>
    </row>
    <row r="57" spans="1:14" hidden="1">
      <c r="A57" s="6"/>
      <c r="B57" s="2">
        <v>7601199</v>
      </c>
      <c r="C57" t="s">
        <v>237</v>
      </c>
      <c r="D57" s="2">
        <v>1</v>
      </c>
      <c r="E57" s="2">
        <v>5</v>
      </c>
      <c r="F57" t="s">
        <v>238</v>
      </c>
      <c r="G57" t="s">
        <v>226</v>
      </c>
      <c r="H57" t="s">
        <v>1262</v>
      </c>
      <c r="I57" s="1" t="s">
        <v>1265</v>
      </c>
      <c r="J57"/>
      <c r="K57" t="s">
        <v>229</v>
      </c>
      <c r="L57"/>
      <c r="M57"/>
      <c r="N57" s="18" t="str">
        <f t="shared" si="0"/>
        <v>vitor.rade@grupoiesa.com.br;ari.campanhol@grupoiesa.com.br; luis.dias@grupoiesa.com.br;thiago@grupoiesa.com.br;pedro.santos@grupoiesa.com.br;claudia.bertotto@grupoiesa.com.br;cleusa.rosa@grupoiesa.com.br; brenda.taborda@grupoiesa.com.br;</v>
      </c>
    </row>
    <row r="58" spans="1:14" hidden="1">
      <c r="A58" s="6"/>
      <c r="B58" s="2">
        <v>7600602</v>
      </c>
      <c r="C58" t="s">
        <v>240</v>
      </c>
      <c r="D58" s="2">
        <v>1</v>
      </c>
      <c r="E58" s="2">
        <v>5</v>
      </c>
      <c r="F58" t="s">
        <v>241</v>
      </c>
      <c r="G58" t="s">
        <v>226</v>
      </c>
      <c r="H58" t="s">
        <v>1262</v>
      </c>
      <c r="I58" t="s">
        <v>242</v>
      </c>
      <c r="J58"/>
      <c r="K58" t="s">
        <v>229</v>
      </c>
      <c r="L58"/>
      <c r="M58" t="s">
        <v>241</v>
      </c>
      <c r="N58" s="18" t="str">
        <f t="shared" si="0"/>
        <v>vitor.rade@grupoiesa.com.br;ari.campanhol@grupoiesa.com.br; luis.dias@grupoiesa.com.br;thiago@grupoiesa.com.br;edson.junior@grupoiesa.com.br;ana.amaral@grupoiesa.com.br;cleusa.rosa@grupoiesa.com.br; brenda.taborda@grupoiesa.com.br;edson.junior@grupoiesa.com.br</v>
      </c>
    </row>
    <row r="59" spans="1:14" hidden="1">
      <c r="A59" s="6"/>
      <c r="B59" s="2">
        <v>7600854</v>
      </c>
      <c r="C59" t="s">
        <v>243</v>
      </c>
      <c r="D59" s="2">
        <v>1</v>
      </c>
      <c r="E59" s="2">
        <v>5</v>
      </c>
      <c r="F59" t="s">
        <v>244</v>
      </c>
      <c r="G59" t="s">
        <v>226</v>
      </c>
      <c r="H59" t="s">
        <v>1262</v>
      </c>
      <c r="I59" s="1" t="s">
        <v>1266</v>
      </c>
      <c r="J59"/>
      <c r="K59" t="s">
        <v>229</v>
      </c>
      <c r="L59"/>
      <c r="M59"/>
      <c r="N59" s="18" t="str">
        <f t="shared" si="0"/>
        <v>vitor.rade@grupoiesa.com.br;ari.campanhol@grupoiesa.com.br; luis.dias@grupoiesa.com.br;thiago@grupoiesa.com.br;alex.martins@grupoiesa.com.br;andre.dare@grupoiesa.com.br;cleusa.rosa@grupoiesa.com.br; brenda.taborda@grupoiesa.com.br;</v>
      </c>
    </row>
    <row r="60" spans="1:14" hidden="1">
      <c r="A60" s="6"/>
      <c r="B60" s="2">
        <v>7601197</v>
      </c>
      <c r="C60" t="s">
        <v>246</v>
      </c>
      <c r="D60" s="2">
        <v>1</v>
      </c>
      <c r="E60" s="2">
        <v>5</v>
      </c>
      <c r="F60" t="s">
        <v>247</v>
      </c>
      <c r="G60" t="s">
        <v>226</v>
      </c>
      <c r="H60" t="s">
        <v>1262</v>
      </c>
      <c r="I60" s="1" t="s">
        <v>228</v>
      </c>
      <c r="J60"/>
      <c r="K60" t="s">
        <v>229</v>
      </c>
      <c r="L60"/>
      <c r="M60"/>
      <c r="N60" s="18" t="str">
        <f t="shared" si="0"/>
        <v>vitor.rade@grupoiesa.com.br;ari.campanhol@grupoiesa.com.br; luis.dias@grupoiesa.com.br;thiago@grupoiesa.com.br;ethiene.melo@grupoiesa.com.br;bethielle.molina@grupoiesa.com.br;cleusa.rosa@grupoiesa.com.br; brenda.taborda@grupoiesa.com.br;</v>
      </c>
    </row>
    <row r="61" spans="1:14" hidden="1">
      <c r="A61" s="6"/>
      <c r="B61" s="2">
        <v>7600012</v>
      </c>
      <c r="C61" t="s">
        <v>249</v>
      </c>
      <c r="D61" s="2">
        <v>1</v>
      </c>
      <c r="E61" s="2">
        <v>5</v>
      </c>
      <c r="F61" t="s">
        <v>250</v>
      </c>
      <c r="G61" t="s">
        <v>226</v>
      </c>
      <c r="H61" t="s">
        <v>1262</v>
      </c>
      <c r="I61" s="1" t="s">
        <v>1265</v>
      </c>
      <c r="J61"/>
      <c r="K61" t="s">
        <v>229</v>
      </c>
      <c r="L61"/>
      <c r="M61" s="1"/>
      <c r="N61" s="18" t="str">
        <f t="shared" si="0"/>
        <v>vitor.rade@grupoiesa.com.br;ari.campanhol@grupoiesa.com.br; luis.dias@grupoiesa.com.br;thiago@grupoiesa.com.br;saymon.avila@grupoiesa.com.br;claudia.bertotto@grupoiesa.com.br;cleusa.rosa@grupoiesa.com.br; brenda.taborda@grupoiesa.com.br;</v>
      </c>
    </row>
    <row r="62" spans="1:14" hidden="1">
      <c r="A62" s="6"/>
      <c r="B62" s="2">
        <v>7601299</v>
      </c>
      <c r="C62" t="s">
        <v>1267</v>
      </c>
      <c r="D62" s="2">
        <v>1</v>
      </c>
      <c r="E62" s="2">
        <v>5</v>
      </c>
      <c r="F62" s="1" t="s">
        <v>1268</v>
      </c>
      <c r="G62" t="s">
        <v>226</v>
      </c>
      <c r="H62" t="s">
        <v>1269</v>
      </c>
      <c r="I62" s="1" t="s">
        <v>242</v>
      </c>
      <c r="J62"/>
      <c r="K62" s="1" t="s">
        <v>1270</v>
      </c>
      <c r="L62"/>
      <c r="M62" s="1" t="s">
        <v>1271</v>
      </c>
      <c r="N62" s="18" t="str">
        <f t="shared" si="0"/>
        <v>vitor.rade@grupoiesa.com.br;ari.campanhol@grupoiesa.com.br; luis.dias@grupoiesa.com.br;;thiago@grupoiesa.com.br;alexandre.cancellier@grupoiesa.com.br;ana.amaral@grupoiesa.com.br;brenda.taborda@grupoiesa.com.br;brenda.castro@grupoiesa.com.br; monica.lessa@grupoiesa.com.br; carmen.barbosa@grupoiesa.com.br</v>
      </c>
    </row>
    <row r="63" spans="1:14" hidden="1">
      <c r="A63" s="6"/>
      <c r="B63" s="2">
        <v>7600816</v>
      </c>
      <c r="C63" t="s">
        <v>216</v>
      </c>
      <c r="D63" s="2">
        <v>1</v>
      </c>
      <c r="E63" s="2">
        <v>5</v>
      </c>
      <c r="F63" t="s">
        <v>217</v>
      </c>
      <c r="G63" s="1" t="s">
        <v>210</v>
      </c>
      <c r="H63" s="1" t="s">
        <v>1259</v>
      </c>
      <c r="I63" s="1" t="s">
        <v>212</v>
      </c>
      <c r="J63"/>
      <c r="K63" t="s">
        <v>213</v>
      </c>
      <c r="L63"/>
      <c r="M63" s="1" t="s">
        <v>1260</v>
      </c>
      <c r="N63" s="18" t="str">
        <f t="shared" si="0"/>
        <v>ernani@nissulgala.com;marcelo@nissulgala.com;jose@nissulgala.com;joao.marcus@nissulgala.com;priscila.vargas@nissulgala.com;adriana.cabreira@nissulgala.com;bruna.bandeira@nissulgala.com;joelise@nissulgala.com;ana.dias@nissulgala.com;rogerio@nissulgala.com</v>
      </c>
    </row>
    <row r="64" spans="1:14" hidden="1">
      <c r="A64" s="6"/>
      <c r="B64" s="2">
        <v>7600442</v>
      </c>
      <c r="C64" t="s">
        <v>218</v>
      </c>
      <c r="D64" s="2">
        <v>1</v>
      </c>
      <c r="E64" s="2">
        <v>5</v>
      </c>
      <c r="F64" t="s">
        <v>219</v>
      </c>
      <c r="G64" s="1" t="s">
        <v>210</v>
      </c>
      <c r="H64" s="1" t="s">
        <v>1259</v>
      </c>
      <c r="I64" t="s">
        <v>220</v>
      </c>
      <c r="J64"/>
      <c r="K64" t="s">
        <v>213</v>
      </c>
      <c r="L64"/>
      <c r="M64" s="1" t="s">
        <v>1260</v>
      </c>
      <c r="N64" s="18" t="str">
        <f t="shared" si="0"/>
        <v>ernani@nissulgala.com;marcelo@nissulgala.com;jose@nissulgala.com;michael.silva@nissulgala.com;alberto.souza@nissulgala.com;adriana.cabreira@nissulgala.com;bruna.bandeira@nissulgala.com;joelise@nissulgala.com;ana.dias@nissulgala.com;rogerio@nissulgala.com</v>
      </c>
    </row>
    <row r="65" spans="1:14" hidden="1">
      <c r="A65" s="6"/>
      <c r="B65" s="2">
        <v>7600601</v>
      </c>
      <c r="C65" t="s">
        <v>221</v>
      </c>
      <c r="D65" s="2">
        <v>1</v>
      </c>
      <c r="E65" s="2">
        <v>5</v>
      </c>
      <c r="F65" t="s">
        <v>222</v>
      </c>
      <c r="G65" s="1" t="s">
        <v>210</v>
      </c>
      <c r="H65" s="1" t="s">
        <v>1259</v>
      </c>
      <c r="I65" t="s">
        <v>223</v>
      </c>
      <c r="J65"/>
      <c r="K65" t="s">
        <v>213</v>
      </c>
      <c r="L65"/>
      <c r="M65" s="1" t="s">
        <v>1260</v>
      </c>
      <c r="N65" s="18" t="str">
        <f t="shared" si="0"/>
        <v>ernani@nissulgala.com;marcelo@nissulgala.com;jose@nissulgala.com;leticia.carvalho@nissulgala.com;daniel.moura@nissulgala.com;adriana.cabreira@nissulgala.com;bruna.bandeira@nissulgala.com;joelise@nissulgala.com;ana.dias@nissulgala.com;rogerio@nissulgala.com</v>
      </c>
    </row>
    <row r="66" spans="1:14" hidden="1">
      <c r="A66" s="6"/>
      <c r="B66" s="2">
        <v>7600192</v>
      </c>
      <c r="C66" t="s">
        <v>183</v>
      </c>
      <c r="D66" s="2">
        <v>1</v>
      </c>
      <c r="E66" s="2">
        <v>6</v>
      </c>
      <c r="F66" t="s">
        <v>1272</v>
      </c>
      <c r="G66" t="s">
        <v>185</v>
      </c>
      <c r="H66" t="s">
        <v>184</v>
      </c>
      <c r="I66" s="1" t="s">
        <v>1273</v>
      </c>
      <c r="J66"/>
      <c r="K66" t="s">
        <v>187</v>
      </c>
      <c r="L66"/>
      <c r="M66" t="s">
        <v>188</v>
      </c>
      <c r="N66" s="18" t="str">
        <f t="shared" si="0"/>
        <v>vilson.caldas@drsul.com.br; giusepe.scapin@drsulveiculos.com.br;rafael.santarem@drsulveiculos.com.br;adriane.santarem@drsulveiculos.com.br;;luiz.federissi@drsulveiculos.com.br; vilson.caldas@drsul.com.br;jorge.castro@drsulveiculos.com.br;marcio.coelho@drsul.com.br;jorge.castro@drsulveiculos.com.br;ubirata.azevedo@drsul.com.br; matheus.ribeiro@drsul.com.br</v>
      </c>
    </row>
    <row r="67" spans="1:14" hidden="1">
      <c r="A67" s="6"/>
      <c r="B67" s="2">
        <v>7600692</v>
      </c>
      <c r="C67" t="s">
        <v>189</v>
      </c>
      <c r="D67" s="2">
        <v>1</v>
      </c>
      <c r="E67" s="2">
        <v>6</v>
      </c>
      <c r="F67" t="s">
        <v>190</v>
      </c>
      <c r="G67" t="s">
        <v>185</v>
      </c>
      <c r="H67" t="s">
        <v>184</v>
      </c>
      <c r="I67" s="1" t="s">
        <v>1274</v>
      </c>
      <c r="J67"/>
      <c r="K67" t="s">
        <v>187</v>
      </c>
      <c r="L67"/>
      <c r="M67" t="s">
        <v>188</v>
      </c>
      <c r="N67" s="18" t="str">
        <f t="shared" si="0"/>
        <v>vilson.caldas@drsul.com.br; giusepe.scapin@drsulveiculos.com.br;rafael.santarem@drsulveiculos.com.br;adriane.santarem@drsulveiculos.com.br;;alexandre.oliveira@drsul.com.br; vilson.caldas@drsul.com.br;Eber.vier@drsulveiculos.com.br;jorge.castro@drsulveiculos.com.br;ubirata.azevedo@drsul.com.br; matheus.ribeiro@drsul.com.br</v>
      </c>
    </row>
    <row r="68" spans="1:14" hidden="1">
      <c r="A68" s="6"/>
      <c r="B68" s="2">
        <v>7600762</v>
      </c>
      <c r="C68" t="s">
        <v>192</v>
      </c>
      <c r="D68" s="2">
        <v>1</v>
      </c>
      <c r="E68" s="2">
        <v>6</v>
      </c>
      <c r="F68" t="s">
        <v>1275</v>
      </c>
      <c r="G68" t="s">
        <v>185</v>
      </c>
      <c r="H68" t="s">
        <v>184</v>
      </c>
      <c r="I68" s="1" t="s">
        <v>1276</v>
      </c>
      <c r="J68"/>
      <c r="K68" t="s">
        <v>187</v>
      </c>
      <c r="L68"/>
      <c r="M68" t="s">
        <v>188</v>
      </c>
      <c r="N68" s="18" t="str">
        <f t="shared" ref="N68:N131" si="1">H68&amp;";"&amp;G68&amp;";"&amp;F68&amp;";"&amp;I68&amp;";"&amp;K68&amp;";"&amp;M68</f>
        <v>vilson.caldas@drsul.com.br; giusepe.scapin@drsulveiculos.com.br;rafael.santarem@drsulveiculos.com.br;adriane.santarem@drsulveiculos.com.br;;Michel.almeida@drsul.com.br; vilson.caldas@drsul.com.br;sigrid.rutzen@drsul.com.br;jorge.castro@drsulveiculos.com.br;ubirata.azevedo@drsul.com.br; matheus.ribeiro@drsul.com.br</v>
      </c>
    </row>
    <row r="69" spans="1:14" hidden="1">
      <c r="A69" s="6"/>
      <c r="B69" s="2">
        <v>7600109</v>
      </c>
      <c r="C69" t="s">
        <v>195</v>
      </c>
      <c r="D69" s="2">
        <v>1</v>
      </c>
      <c r="E69" s="2">
        <v>6</v>
      </c>
      <c r="F69" t="s">
        <v>196</v>
      </c>
      <c r="G69" t="s">
        <v>185</v>
      </c>
      <c r="H69" t="s">
        <v>184</v>
      </c>
      <c r="I69" s="1" t="s">
        <v>1277</v>
      </c>
      <c r="J69"/>
      <c r="K69" t="s">
        <v>187</v>
      </c>
      <c r="L69"/>
      <c r="M69" t="s">
        <v>188</v>
      </c>
      <c r="N69" s="18" t="str">
        <f t="shared" si="1"/>
        <v>vilson.caldas@drsul.com.br; giusepe.scapin@drsulveiculos.com.br;rafael.santarem@drsulveiculos.com.br;adriane.santarem@drsulveiculos.com.br;;cristiane.costa@drsul.com.br; vilson.caldas@drsul.com.br;Daniel.valente@drsul.com.br;jorge.castro@drsulveiculos.com.br;ubirata.azevedo@drsul.com.br; matheus.ribeiro@drsul.com.br</v>
      </c>
    </row>
    <row r="70" spans="1:14" hidden="1">
      <c r="A70" s="6"/>
      <c r="B70" s="2">
        <v>7601198</v>
      </c>
      <c r="C70" t="s">
        <v>197</v>
      </c>
      <c r="D70" s="2">
        <v>1</v>
      </c>
      <c r="E70" s="2">
        <v>6</v>
      </c>
      <c r="F70" t="s">
        <v>198</v>
      </c>
      <c r="G70" t="s">
        <v>185</v>
      </c>
      <c r="H70" t="s">
        <v>184</v>
      </c>
      <c r="I70" s="1" t="s">
        <v>1278</v>
      </c>
      <c r="J70"/>
      <c r="K70" t="s">
        <v>187</v>
      </c>
      <c r="L70"/>
      <c r="M70" t="s">
        <v>188</v>
      </c>
      <c r="N70" s="18" t="str">
        <f t="shared" si="1"/>
        <v>vilson.caldas@drsul.com.br; giusepe.scapin@drsulveiculos.com.br;rafael.santarem@drsulveiculos.com.br;adriane.santarem@drsulveiculos.com.br;;rogerio.boeira@drsul.com.br; vilson.caldas@drsul.com.br;marcio.coelho@drsul.com.br;jorge.castro@drsulveiculos.com.br;ubirata.azevedo@drsul.com.br; matheus.ribeiro@drsul.com.br</v>
      </c>
    </row>
    <row r="71" spans="1:14" hidden="1">
      <c r="A71" s="6"/>
      <c r="B71" s="2">
        <v>7600871</v>
      </c>
      <c r="C71" t="s">
        <v>200</v>
      </c>
      <c r="D71" s="2">
        <v>1</v>
      </c>
      <c r="E71" s="2">
        <v>6</v>
      </c>
      <c r="F71" t="s">
        <v>201</v>
      </c>
      <c r="G71" t="s">
        <v>185</v>
      </c>
      <c r="H71" t="s">
        <v>184</v>
      </c>
      <c r="I71" t="s">
        <v>202</v>
      </c>
      <c r="J71"/>
      <c r="K71" t="s">
        <v>187</v>
      </c>
      <c r="L71"/>
      <c r="M71" t="s">
        <v>188</v>
      </c>
      <c r="N71" s="18" t="str">
        <f t="shared" si="1"/>
        <v>vilson.caldas@drsul.com.br; giusepe.scapin@drsulveiculos.com.br;rafael.santarem@drsulveiculos.com.br;adriane.santarem@drsulveiculos.com.br;;lorisete.freitas@drsul.com.br; vilson.caldas@drsul.com.br;eber.vier@drsulveiculos.com.br;jorge.castro@drsulveiculos.com.br;ubirata.azevedo@drsul.com.br; matheus.ribeiro@drsul.com.br</v>
      </c>
    </row>
    <row r="72" spans="1:14" hidden="1">
      <c r="A72" s="6"/>
      <c r="B72" s="2">
        <v>7600963</v>
      </c>
      <c r="C72" t="s">
        <v>203</v>
      </c>
      <c r="D72" s="2">
        <v>1</v>
      </c>
      <c r="E72" s="2">
        <v>6</v>
      </c>
      <c r="F72" s="1" t="s">
        <v>1279</v>
      </c>
      <c r="G72" t="s">
        <v>185</v>
      </c>
      <c r="H72" t="s">
        <v>184</v>
      </c>
      <c r="I72" s="1" t="s">
        <v>1280</v>
      </c>
      <c r="J72"/>
      <c r="K72" t="s">
        <v>187</v>
      </c>
      <c r="L72"/>
      <c r="M72" t="s">
        <v>188</v>
      </c>
      <c r="N72" s="18" t="str">
        <f t="shared" si="1"/>
        <v>vilson.caldas@drsul.com.br; giusepe.scapin@drsulveiculos.com.br;rafael.santarem@drsulveiculos.com.br;adriane.santarem@drsulveiculos.com.br;;wilson.costa@drsul.com.br;;Sigrid.rutzen@drsul.com.br;jorge.castro@drsulveiculos.com.br;ubirata.azevedo@drsul.com.br; matheus.ribeiro@drsul.com.br</v>
      </c>
    </row>
    <row r="73" spans="1:14" hidden="1">
      <c r="A73" s="6"/>
      <c r="B73" s="2">
        <v>7600808</v>
      </c>
      <c r="C73" t="s">
        <v>204</v>
      </c>
      <c r="D73" s="2">
        <v>1</v>
      </c>
      <c r="E73" s="2">
        <v>6</v>
      </c>
      <c r="F73" t="s">
        <v>1281</v>
      </c>
      <c r="G73" t="s">
        <v>185</v>
      </c>
      <c r="H73" t="s">
        <v>184</v>
      </c>
      <c r="I73" t="s">
        <v>202</v>
      </c>
      <c r="J73"/>
      <c r="K73" t="s">
        <v>187</v>
      </c>
      <c r="L73"/>
      <c r="M73" t="s">
        <v>188</v>
      </c>
      <c r="N73" s="18" t="str">
        <f t="shared" si="1"/>
        <v>vilson.caldas@drsul.com.br; giusepe.scapin@drsulveiculos.com.br;rafael.santarem@drsulveiculos.com.br;adriane.santarem@drsulveiculos.com.br;;Luiz.pinhatti@drsul.com.br; vilson.caldas@drsul.com.br;eber.vier@drsulveiculos.com.br;jorge.castro@drsulveiculos.com.br;ubirata.azevedo@drsul.com.br; matheus.ribeiro@drsul.com.br</v>
      </c>
    </row>
    <row r="74" spans="1:14" hidden="1">
      <c r="A74" s="6"/>
      <c r="B74" s="2">
        <v>7600788</v>
      </c>
      <c r="C74" t="s">
        <v>206</v>
      </c>
      <c r="D74" s="2">
        <v>1</v>
      </c>
      <c r="E74" s="2">
        <v>6</v>
      </c>
      <c r="F74" t="s">
        <v>207</v>
      </c>
      <c r="G74" t="s">
        <v>185</v>
      </c>
      <c r="H74" t="s">
        <v>184</v>
      </c>
      <c r="I74" t="s">
        <v>202</v>
      </c>
      <c r="J74"/>
      <c r="K74" t="s">
        <v>187</v>
      </c>
      <c r="L74"/>
      <c r="M74" t="s">
        <v>188</v>
      </c>
      <c r="N74" s="18" t="str">
        <f t="shared" si="1"/>
        <v>vilson.caldas@drsul.com.br; giusepe.scapin@drsulveiculos.com.br;rafael.santarem@drsulveiculos.com.br;adriane.santarem@drsulveiculos.com.br;;luiz.pinhatti@drsul.com.br; vilson.caldas@drsul.com.br;eber.vier@drsulveiculos.com.br;jorge.castro@drsulveiculos.com.br;ubirata.azevedo@drsul.com.br; matheus.ribeiro@drsul.com.br</v>
      </c>
    </row>
    <row r="75" spans="1:14" hidden="1">
      <c r="A75" s="6"/>
      <c r="B75" s="2">
        <v>7601293</v>
      </c>
      <c r="C75" t="s">
        <v>1173</v>
      </c>
      <c r="D75" s="2">
        <v>1</v>
      </c>
      <c r="E75" s="2">
        <v>6</v>
      </c>
      <c r="F75" s="1" t="s">
        <v>1282</v>
      </c>
      <c r="G75" t="s">
        <v>185</v>
      </c>
      <c r="H75" t="s">
        <v>184</v>
      </c>
      <c r="I75" s="1" t="s">
        <v>1283</v>
      </c>
      <c r="J75"/>
      <c r="K75" t="s">
        <v>187</v>
      </c>
      <c r="L75"/>
      <c r="M75" t="s">
        <v>188</v>
      </c>
      <c r="N75" s="18" t="str">
        <f t="shared" si="1"/>
        <v>vilson.caldas@drsul.com.br; giusepe.scapin@drsulveiculos.com.br;rafael.santarem@drsulveiculos.com.br;adriane.santarem@drsulveiculos.com.br;;Rodrigo.muller@drsul.com.br;Denis.bernardo@drsul.com.br; juvenil@vipcarlg.com.br;jorge.castro@drsulveiculos.com.br;ubirata.azevedo@drsul.com.br; matheus.ribeiro@drsul.com.br</v>
      </c>
    </row>
    <row r="76" spans="1:14" hidden="1">
      <c r="A76" s="6"/>
      <c r="B76" s="2">
        <v>7601294</v>
      </c>
      <c r="C76" t="s">
        <v>1174</v>
      </c>
      <c r="D76" s="2">
        <v>1</v>
      </c>
      <c r="E76" s="2">
        <v>6</v>
      </c>
      <c r="F76" s="1" t="s">
        <v>1284</v>
      </c>
      <c r="G76" t="s">
        <v>185</v>
      </c>
      <c r="H76" t="s">
        <v>184</v>
      </c>
      <c r="I76" s="1" t="s">
        <v>1283</v>
      </c>
      <c r="J76"/>
      <c r="K76" t="s">
        <v>187</v>
      </c>
      <c r="L76"/>
      <c r="M76" t="s">
        <v>188</v>
      </c>
      <c r="N76" s="18" t="str">
        <f t="shared" si="1"/>
        <v>vilson.caldas@drsul.com.br; giusepe.scapin@drsulveiculos.com.br;rafael.santarem@drsulveiculos.com.br;adriane.santarem@drsulveiculos.com.br;;Eduardo.sousa@drsul.com.br;Denis.bernardo@drsul.com.br; juvenil@vipcarlg.com.br;jorge.castro@drsulveiculos.com.br;ubirata.azevedo@drsul.com.br; matheus.ribeiro@drsul.com.br</v>
      </c>
    </row>
    <row r="77" spans="1:14" hidden="1">
      <c r="A77" s="6"/>
      <c r="B77" s="2">
        <v>7601295</v>
      </c>
      <c r="C77" t="s">
        <v>1175</v>
      </c>
      <c r="D77" s="2">
        <v>1</v>
      </c>
      <c r="E77" s="2">
        <v>6</v>
      </c>
      <c r="F77" s="1" t="s">
        <v>1285</v>
      </c>
      <c r="G77" t="s">
        <v>185</v>
      </c>
      <c r="H77" t="s">
        <v>184</v>
      </c>
      <c r="I77" s="1" t="s">
        <v>1283</v>
      </c>
      <c r="J77"/>
      <c r="K77" t="s">
        <v>187</v>
      </c>
      <c r="L77"/>
      <c r="M77" t="s">
        <v>188</v>
      </c>
      <c r="N77" s="18" t="str">
        <f t="shared" si="1"/>
        <v>vilson.caldas@drsul.com.br; giusepe.scapin@drsulveiculos.com.br;rafael.santarem@drsulveiculos.com.br;adriane.santarem@drsulveiculos.com.br;;filipe.guimaraes@drsul.com.br;Denis.bernardo@drsul.com.br; juvenil@vipcarlg.com.br;jorge.castro@drsulveiculos.com.br;ubirata.azevedo@drsul.com.br; matheus.ribeiro@drsul.com.br</v>
      </c>
    </row>
    <row r="78" spans="1:14" hidden="1">
      <c r="A78" s="6"/>
      <c r="B78" s="2">
        <v>7601234</v>
      </c>
      <c r="C78" t="s">
        <v>287</v>
      </c>
      <c r="D78" s="2">
        <v>1</v>
      </c>
      <c r="E78" s="2">
        <v>7</v>
      </c>
      <c r="F78" s="1" t="s">
        <v>1286</v>
      </c>
      <c r="G78" t="s">
        <v>289</v>
      </c>
      <c r="H78" t="s">
        <v>288</v>
      </c>
      <c r="I78" t="s">
        <v>1287</v>
      </c>
      <c r="J78"/>
      <c r="K78" t="s">
        <v>292</v>
      </c>
      <c r="L78"/>
      <c r="M78" s="1" t="s">
        <v>1288</v>
      </c>
      <c r="N78" s="18" t="str">
        <f t="shared" si="1"/>
        <v>dago@fancar.com.br;;fabio@grupofancar.com.br; angelica@grupofancar.com.br; nelvio@grupofancar.com.br;;thiago.marques@fancar.com.br;kelly.s@fancar.com.br; bruno.ror@fancar.com.br;qualidade1@grupofancar.com.br;cotech.ror@fancar.com.br;geovane.santos@fancar.com.br</v>
      </c>
    </row>
    <row r="79" spans="1:14" hidden="1">
      <c r="A79" s="6"/>
      <c r="B79" s="2">
        <v>7601105</v>
      </c>
      <c r="C79" t="s">
        <v>294</v>
      </c>
      <c r="D79" s="2">
        <v>1</v>
      </c>
      <c r="E79" s="2">
        <v>7</v>
      </c>
      <c r="F79" s="1" t="s">
        <v>1286</v>
      </c>
      <c r="G79" t="s">
        <v>289</v>
      </c>
      <c r="H79" t="s">
        <v>288</v>
      </c>
      <c r="I79" t="s">
        <v>295</v>
      </c>
      <c r="J79"/>
      <c r="K79" t="s">
        <v>292</v>
      </c>
      <c r="L79"/>
      <c r="M79" t="s">
        <v>296</v>
      </c>
      <c r="N79" s="18" t="str">
        <f t="shared" si="1"/>
        <v>dago@fancar.com.br;;fabio@grupofancar.com.br; angelica@grupofancar.com.br; nelvio@grupofancar.com.br;;thiago.marques@fancar.com.br;bruno.ror@fancar.com.br; thiago.marques@fancar.com.br;qualidade1@grupofancar.com.br;cotech.ror@fancar.com.br</v>
      </c>
    </row>
    <row r="80" spans="1:14" hidden="1">
      <c r="A80" s="6"/>
      <c r="B80" s="2">
        <v>7600258</v>
      </c>
      <c r="C80" t="s">
        <v>303</v>
      </c>
      <c r="D80" s="2">
        <v>1</v>
      </c>
      <c r="E80" s="2">
        <v>7</v>
      </c>
      <c r="F80" t="s">
        <v>306</v>
      </c>
      <c r="G80" t="s">
        <v>305</v>
      </c>
      <c r="H80" t="s">
        <v>304</v>
      </c>
      <c r="I80" t="s">
        <v>307</v>
      </c>
      <c r="J80"/>
      <c r="K80" t="s">
        <v>308</v>
      </c>
      <c r="L80"/>
      <c r="M80" t="s">
        <v>1289</v>
      </c>
      <c r="N80" s="18" t="str">
        <f t="shared" si="1"/>
        <v>diretoria@openveiculos.com.br;marcos@openveiculos.com.br;gerenciacvel@openveiculos.com.br;posvendas@openveiculos.com.br;qualidade@openveiculos.com.br;gerentegeral@openveiculos.com.br;treinamento@openveiculos.com.br;cotech1@openveiculos.net.br; agendamento01@hyundaiopen.com.br</v>
      </c>
    </row>
    <row r="81" spans="1:14" hidden="1">
      <c r="A81" s="6"/>
      <c r="B81" s="2">
        <v>7600277</v>
      </c>
      <c r="C81" t="s">
        <v>310</v>
      </c>
      <c r="D81" s="2">
        <v>1</v>
      </c>
      <c r="E81" s="2">
        <v>7</v>
      </c>
      <c r="F81" t="s">
        <v>311</v>
      </c>
      <c r="G81" t="s">
        <v>305</v>
      </c>
      <c r="H81" t="s">
        <v>304</v>
      </c>
      <c r="I81" t="s">
        <v>307</v>
      </c>
      <c r="J81"/>
      <c r="K81" t="s">
        <v>308</v>
      </c>
      <c r="L81"/>
      <c r="M81" t="s">
        <v>1290</v>
      </c>
      <c r="N81" s="18" t="str">
        <f t="shared" si="1"/>
        <v>diretoria@openveiculos.com.br;marcos@openveiculos.com.br;gerentefoz@openveiculos.net.br;posvendas@openveiculos.com.br;qualidade@openveiculos.com.br;gerentegeral@openveiculos.com.br;treinamento@openveiculos.com.br;cotech-foz@openveiculos.net.br; agendamento01@hyundaiopen.com.br</v>
      </c>
    </row>
    <row r="82" spans="1:14" hidden="1">
      <c r="A82" s="6"/>
      <c r="B82" s="2">
        <v>7600263</v>
      </c>
      <c r="C82" t="s">
        <v>313</v>
      </c>
      <c r="D82" s="2">
        <v>1</v>
      </c>
      <c r="E82" s="2">
        <v>7</v>
      </c>
      <c r="F82" t="s">
        <v>314</v>
      </c>
      <c r="G82" t="s">
        <v>305</v>
      </c>
      <c r="H82" t="s">
        <v>304</v>
      </c>
      <c r="I82" t="s">
        <v>307</v>
      </c>
      <c r="J82"/>
      <c r="K82" t="s">
        <v>308</v>
      </c>
      <c r="L82"/>
      <c r="M82" t="s">
        <v>1291</v>
      </c>
      <c r="N82" s="18" t="str">
        <f t="shared" si="1"/>
        <v>diretoria@openveiculos.com.br;marcos@openveiculos.com.br;gerenciatoledo@openveiculos.com.br;posvendas@openveiculos.com.br;qualidade@openveiculos.com.br;gerentegeral@openveiculos.com.br;treinamento@openveiculos.com.br;cotech-too@openveiculos.net.br; agendamento01@hyundaiopen.com.br</v>
      </c>
    </row>
    <row r="83" spans="1:14" hidden="1">
      <c r="A83" s="6"/>
      <c r="B83" s="2">
        <v>7601297</v>
      </c>
      <c r="C83" t="s">
        <v>1171</v>
      </c>
      <c r="D83" s="2">
        <v>1</v>
      </c>
      <c r="E83" s="2">
        <v>7</v>
      </c>
      <c r="F83" t="s">
        <v>1292</v>
      </c>
      <c r="G83" t="s">
        <v>305</v>
      </c>
      <c r="H83" t="s">
        <v>304</v>
      </c>
      <c r="I83" t="s">
        <v>307</v>
      </c>
      <c r="J83"/>
      <c r="K83" t="s">
        <v>308</v>
      </c>
      <c r="L83"/>
      <c r="M83" t="s">
        <v>1291</v>
      </c>
      <c r="N83" s="18" t="str">
        <f t="shared" si="1"/>
        <v>diretoria@openveiculos.com.br;marcos@openveiculos.com.br;gerentefb@openveiculos.com.br;posvendas@openveiculos.com.br;qualidade@openveiculos.com.br;gerentegeral@openveiculos.com.br;treinamento@openveiculos.com.br;cotech-too@openveiculos.net.br; agendamento01@hyundaiopen.com.br</v>
      </c>
    </row>
    <row r="84" spans="1:14" hidden="1">
      <c r="A84" s="6"/>
      <c r="B84" s="2">
        <v>7600604</v>
      </c>
      <c r="C84" t="s">
        <v>530</v>
      </c>
      <c r="D84" s="2">
        <v>2</v>
      </c>
      <c r="E84" s="2">
        <v>1</v>
      </c>
      <c r="F84" t="s">
        <v>533</v>
      </c>
      <c r="G84" s="1" t="s">
        <v>1293</v>
      </c>
      <c r="H84" t="s">
        <v>531</v>
      </c>
      <c r="I84" t="s">
        <v>533</v>
      </c>
      <c r="J84"/>
      <c r="K84" t="s">
        <v>1294</v>
      </c>
      <c r="L84"/>
      <c r="M84" t="s">
        <v>1295</v>
      </c>
      <c r="N84" s="18" t="str">
        <f t="shared" si="1"/>
        <v>osmar.peixoto@estorilrenault.com.br;;armandoperalta@grupoapf.com.br;rafael.silva@estorilrenault.com.br;rafael.silva@estorilrenault.com.br;denys.morelli@estorilrenault.com.br; juliana.melo@estorilrenault.com.br; sabrina.barrio@estorilrenault.com.br;rogerio.oliveira@estorilrenault.com.br; debora.oliveira@estorilrenault.com.br;</v>
      </c>
    </row>
    <row r="85" spans="1:14" hidden="1">
      <c r="A85" s="6"/>
      <c r="B85" s="2">
        <v>7600108</v>
      </c>
      <c r="C85" t="s">
        <v>535</v>
      </c>
      <c r="D85" s="2">
        <v>2</v>
      </c>
      <c r="E85" s="2">
        <v>1</v>
      </c>
      <c r="F85" t="s">
        <v>536</v>
      </c>
      <c r="G85" s="1" t="s">
        <v>1293</v>
      </c>
      <c r="H85" t="s">
        <v>531</v>
      </c>
      <c r="I85" t="s">
        <v>536</v>
      </c>
      <c r="J85"/>
      <c r="K85" t="s">
        <v>1296</v>
      </c>
      <c r="L85"/>
      <c r="M85"/>
      <c r="N85" s="18" t="str">
        <f t="shared" si="1"/>
        <v>osmar.peixoto@estorilrenault.com.br;;armandoperalta@grupoapf.com.br;leonardo.ranha@estorilrenault.com.br;leonardo.ranha@estorilrenault.com.br;debora.oliveira@estorilrenault.com.br; bruna.costa@estorilrenault.com.br; adriana.barbosa@estorilrenault.com.br; thaisa.santos@estorilrenault.com.br;</v>
      </c>
    </row>
    <row r="86" spans="1:14" hidden="1">
      <c r="A86" s="6"/>
      <c r="B86" s="2">
        <v>7600992</v>
      </c>
      <c r="C86" t="s">
        <v>568</v>
      </c>
      <c r="D86" s="2">
        <v>2</v>
      </c>
      <c r="E86" s="2">
        <v>1</v>
      </c>
      <c r="F86" t="s">
        <v>571</v>
      </c>
      <c r="G86"/>
      <c r="H86" t="s">
        <v>569</v>
      </c>
      <c r="I86" s="1" t="s">
        <v>1297</v>
      </c>
      <c r="J86"/>
      <c r="K86"/>
      <c r="L86"/>
      <c r="M86" t="s">
        <v>1298</v>
      </c>
      <c r="N86" s="18" t="str">
        <f t="shared" si="1"/>
        <v>renatosaraiva@eurorenault.com.br; ; bressan@atri.com.br;;supervisor.eurofr@eurorenault.com.br;supervisor.eurofr@eurorenault.com.br;pablo@ortovel.com.br;;bruna.miranda@eurorenault.com.br; brenda.lanca@eurorenault.com.br; assistente.vendasdiretas@eurorenault.com.br; amanda.souza@eurorenault.com.br; hugo.leonardo@eurorenault.com.br;arthur.assis@eurorenault.com.br</v>
      </c>
    </row>
    <row r="87" spans="1:14" hidden="1">
      <c r="A87" s="6"/>
      <c r="B87" s="2">
        <v>7600973</v>
      </c>
      <c r="C87" t="s">
        <v>574</v>
      </c>
      <c r="D87" s="2">
        <v>2</v>
      </c>
      <c r="E87" s="2">
        <v>1</v>
      </c>
      <c r="F87" s="1" t="s">
        <v>1299</v>
      </c>
      <c r="G87"/>
      <c r="H87" t="s">
        <v>575</v>
      </c>
      <c r="I87" s="1" t="s">
        <v>1300</v>
      </c>
      <c r="J87"/>
      <c r="K87"/>
      <c r="L87"/>
      <c r="M87" t="s">
        <v>1301</v>
      </c>
      <c r="N87" s="18" t="str">
        <f t="shared" si="1"/>
        <v>;renatosaraiva@eurorenault.com.br;;;assistente.vendasdiretas@eurorenault.com.br;benigno.junior@eurorenault.com.br;anderson.galoni@eurorenault.com.br;pablo@ortovel.com.br;;ANDRE.LIMA@EURORENAULT.COM.BR; bruna.miranda@eurorenault.com.br; brenda.lanca@eurorenault.com.br; assistente.vendasdiretas@eurorenault.com.br; marina.maschio@eurorenault.com.br; hugo.leonardo@eurorenault.com.br;arthur.assis@eurorenault.com.br</v>
      </c>
    </row>
    <row r="88" spans="1:14" hidden="1">
      <c r="A88" s="6"/>
      <c r="B88" s="2">
        <v>7601268</v>
      </c>
      <c r="C88" s="4" t="s">
        <v>1176</v>
      </c>
      <c r="D88" s="2">
        <v>2</v>
      </c>
      <c r="E88" s="2">
        <v>1</v>
      </c>
      <c r="F88" s="1" t="s">
        <v>1302</v>
      </c>
      <c r="G88"/>
      <c r="H88" s="1" t="s">
        <v>1303</v>
      </c>
      <c r="I88" s="1" t="s">
        <v>1304</v>
      </c>
      <c r="J88"/>
      <c r="K88" s="1" t="s">
        <v>1305</v>
      </c>
      <c r="L88"/>
      <c r="M88" s="1" t="s">
        <v>1306</v>
      </c>
      <c r="N88" s="18" t="str">
        <f t="shared" si="1"/>
        <v>renatosaraiva@eurorenault.com.br; ;;supervisor.eurofr@eurorenault.com.br;assistente.vendasdiretas@eurorenault.com.br;eder.nardin@eurorenault.com.br;pedro.silva@eurorenault.com.br;pablo@ortovel.com.br;amanda.souza@eurorenault.com.br;;bruna.miranda@eurorenault.com.br;brenda.lanca@eurorenault.com.br; juliana@atri.com.br;hugo.leonardo@eurorenault.com.br;arthur.assis@eurorenault.com.br</v>
      </c>
    </row>
    <row r="89" spans="1:14" hidden="1">
      <c r="A89" s="6"/>
      <c r="B89" s="2">
        <v>7600187</v>
      </c>
      <c r="C89" t="s">
        <v>507</v>
      </c>
      <c r="D89" s="2">
        <v>2</v>
      </c>
      <c r="E89" s="2">
        <v>1</v>
      </c>
      <c r="F89" t="s">
        <v>1307</v>
      </c>
      <c r="G89" t="s">
        <v>1308</v>
      </c>
      <c r="H89" t="s">
        <v>1309</v>
      </c>
      <c r="I89" t="s">
        <v>1310</v>
      </c>
      <c r="J89"/>
      <c r="K89" t="s">
        <v>1311</v>
      </c>
      <c r="L89"/>
      <c r="M89" s="1" t="s">
        <v>1312</v>
      </c>
      <c r="N89" s="18" t="str">
        <f t="shared" si="1"/>
        <v>jonas.fandrade@itavemafrance.com.br;waiter.psantos@itavema.com.br;felipefranco@itavema.com.br;marcos.rmorais@itavemafrance.com.br;mbetuker@itavema.com.br;andrea.monteiro@itavemafrance.com.br; gabriela.gsilva@itavemafrance.com.br;gabriela.bbsilva@itavemafrance.com.br;mayara.sgonzaga@itavemafrance.com.br;</v>
      </c>
    </row>
    <row r="90" spans="1:14" hidden="1">
      <c r="A90" s="6"/>
      <c r="B90" s="2">
        <v>7600152</v>
      </c>
      <c r="C90" t="s">
        <v>514</v>
      </c>
      <c r="D90" s="2">
        <v>2</v>
      </c>
      <c r="E90" s="2">
        <v>1</v>
      </c>
      <c r="F90" t="s">
        <v>1313</v>
      </c>
      <c r="G90" t="s">
        <v>1308</v>
      </c>
      <c r="H90" t="s">
        <v>1309</v>
      </c>
      <c r="I90" t="s">
        <v>1314</v>
      </c>
      <c r="J90"/>
      <c r="K90" t="s">
        <v>1311</v>
      </c>
      <c r="L90"/>
      <c r="M90" s="1" t="s">
        <v>1312</v>
      </c>
      <c r="N90" s="18" t="str">
        <f t="shared" si="1"/>
        <v>jonas.fandrade@itavemafrance.com.br;waiter.psantos@itavema.com.br;felipefranco@itavema.com.br;sergio.msalves@itavemafrance.com.br;marco.lsalinas@itavemafrance.com.br;andrea.monteiro@itavemafrance.com.br; gabriela.gsilva@itavemafrance.com.br;gabriela.bbsilva@itavemafrance.com.br;mayara.sgonzaga@itavemafrance.com.br;</v>
      </c>
    </row>
    <row r="91" spans="1:14" hidden="1">
      <c r="A91" s="6"/>
      <c r="B91" s="2">
        <v>7600566</v>
      </c>
      <c r="C91" t="s">
        <v>521</v>
      </c>
      <c r="D91" s="2">
        <v>2</v>
      </c>
      <c r="E91" s="2">
        <v>1</v>
      </c>
      <c r="F91" t="s">
        <v>1315</v>
      </c>
      <c r="G91" t="s">
        <v>1308</v>
      </c>
      <c r="H91" t="s">
        <v>1309</v>
      </c>
      <c r="I91" t="s">
        <v>1316</v>
      </c>
      <c r="J91"/>
      <c r="K91" t="s">
        <v>1311</v>
      </c>
      <c r="L91"/>
      <c r="M91" s="1" t="s">
        <v>1312</v>
      </c>
      <c r="N91" s="18" t="str">
        <f t="shared" si="1"/>
        <v>jonas.fandrade@itavemafrance.com.br;waiter.psantos@itavema.com.br;felipefranco@itavema.com.br;melissa.rdducco@itavemafrance.com.br;luciana.ccredigolo@itavemafrance.com.br;andrea.monteiro@itavemafrance.com.br; gabriela.gsilva@itavemafrance.com.br;gabriela.bbsilva@itavemafrance.com.br;mayara.sgonzaga@itavemafrance.com.br;</v>
      </c>
    </row>
    <row r="92" spans="1:14" hidden="1">
      <c r="A92" s="6"/>
      <c r="B92" s="2">
        <v>7600353</v>
      </c>
      <c r="C92" t="s">
        <v>526</v>
      </c>
      <c r="D92" s="2">
        <v>2</v>
      </c>
      <c r="E92" s="2">
        <v>1</v>
      </c>
      <c r="F92" t="s">
        <v>1317</v>
      </c>
      <c r="G92" t="s">
        <v>1308</v>
      </c>
      <c r="H92" t="s">
        <v>1309</v>
      </c>
      <c r="I92" t="s">
        <v>1316</v>
      </c>
      <c r="J92"/>
      <c r="K92" t="s">
        <v>1311</v>
      </c>
      <c r="L92"/>
      <c r="M92" s="1" t="s">
        <v>1312</v>
      </c>
      <c r="N92" s="18" t="str">
        <f t="shared" si="1"/>
        <v>jonas.fandrade@itavemafrance.com.br;waiter.psantos@itavema.com.br;felipefranco@itavema.com.br;anderson.msmidi@itavemafrance.com.br;luciana.ccredigolo@itavemafrance.com.br;andrea.monteiro@itavemafrance.com.br; gabriela.gsilva@itavemafrance.com.br;gabriela.bbsilva@itavemafrance.com.br;mayara.sgonzaga@itavemafrance.com.br;</v>
      </c>
    </row>
    <row r="93" spans="1:14" hidden="1">
      <c r="A93" s="6"/>
      <c r="B93" s="2">
        <v>7601097</v>
      </c>
      <c r="C93" t="s">
        <v>579</v>
      </c>
      <c r="D93" s="2">
        <v>2</v>
      </c>
      <c r="E93" s="2">
        <v>1</v>
      </c>
      <c r="F93" t="s">
        <v>582</v>
      </c>
      <c r="G93" t="s">
        <v>581</v>
      </c>
      <c r="H93" t="s">
        <v>1318</v>
      </c>
      <c r="I93" t="s">
        <v>583</v>
      </c>
      <c r="J93"/>
      <c r="K93" t="s">
        <v>583</v>
      </c>
      <c r="L93"/>
      <c r="M93" t="s">
        <v>584</v>
      </c>
      <c r="N93" s="18" t="str">
        <f t="shared" si="1"/>
        <v>luciano@muchiutt.com.br;;valter@muchiutt.com.br;luciano@muchiutt.com.br;;vendas01prudente@muchiutt.com.br;;oficina01prudente@muchiutt.com.br;oficina01prudente@muchiutt.com.br;pecas01prudente@muchiutt.com.br</v>
      </c>
    </row>
    <row r="94" spans="1:14" hidden="1">
      <c r="A94" s="6"/>
      <c r="B94" s="2">
        <v>7601165</v>
      </c>
      <c r="C94" t="s">
        <v>316</v>
      </c>
      <c r="D94" s="2">
        <v>2</v>
      </c>
      <c r="E94" s="2">
        <v>2</v>
      </c>
      <c r="F94" t="s">
        <v>1319</v>
      </c>
      <c r="G94" t="s">
        <v>318</v>
      </c>
      <c r="H94" t="s">
        <v>317</v>
      </c>
      <c r="I94" t="s">
        <v>320</v>
      </c>
      <c r="J94"/>
      <c r="K94" t="s">
        <v>321</v>
      </c>
      <c r="L94"/>
      <c r="M94"/>
      <c r="N94" s="18" t="str">
        <f t="shared" si="1"/>
        <v>cristiane.curci@grupoamazonas.com.br; luis.lima@grupoamazonas.com.br;victor@grupoamazonas.com.br; wladimir@grupoamazonas.com.br ;raquel.galdina@amazonasfrance.com.br;carlos.silvano@amazonasfrance.com.br ;marcela.rodrigues@grupoamazonas.com.br; felipe.paladini@amazonasfrance.com.br ;</v>
      </c>
    </row>
    <row r="95" spans="1:14" hidden="1">
      <c r="A95" s="6"/>
      <c r="B95" s="2">
        <v>7601062</v>
      </c>
      <c r="C95" t="s">
        <v>322</v>
      </c>
      <c r="D95" s="2">
        <v>2</v>
      </c>
      <c r="E95" s="2">
        <v>2</v>
      </c>
      <c r="F95" t="s">
        <v>1320</v>
      </c>
      <c r="G95" t="s">
        <v>318</v>
      </c>
      <c r="H95" t="s">
        <v>317</v>
      </c>
      <c r="I95" t="s">
        <v>324</v>
      </c>
      <c r="J95"/>
      <c r="K95" t="s">
        <v>321</v>
      </c>
      <c r="L95"/>
      <c r="M95"/>
      <c r="N95" s="18" t="str">
        <f t="shared" si="1"/>
        <v>cristiane.curci@grupoamazonas.com.br; luis.lima@grupoamazonas.com.br;victor@grupoamazonas.com.br; wladimir@grupoamazonas.com.br ;roberlei.junior@amazonasfrance.com.br;rene.silva@amazonasfrance.com.br ;marcela.rodrigues@grupoamazonas.com.br; felipe.paladini@amazonasfrance.com.br ;</v>
      </c>
    </row>
    <row r="96" spans="1:14" hidden="1">
      <c r="A96" s="6"/>
      <c r="B96" s="2">
        <v>7600449</v>
      </c>
      <c r="C96" t="s">
        <v>325</v>
      </c>
      <c r="D96" s="2">
        <v>2</v>
      </c>
      <c r="E96" s="2">
        <v>2</v>
      </c>
      <c r="F96" t="s">
        <v>1321</v>
      </c>
      <c r="G96" t="s">
        <v>326</v>
      </c>
      <c r="H96" t="s">
        <v>326</v>
      </c>
      <c r="I96" t="s">
        <v>328</v>
      </c>
      <c r="J96"/>
      <c r="K96" t="s">
        <v>1322</v>
      </c>
      <c r="L96"/>
      <c r="M96" t="s">
        <v>1323</v>
      </c>
      <c r="N96" s="18" t="str">
        <f t="shared" si="1"/>
        <v>diretoria.admfinanceiro@grupoandreta.com.br;;diretoria.admfinanceiro@grupoandreta.com.br;;gergeral.andretaamericana@grupoandreta.com.br;geroficina.andretaamericana@grupoandreta.com.br;liderkaizen.mercantilandreta@grupoandreta.com.br;liderkaizen02.mercantilandreta@grupoandreta.com.br;SAC - sac@grupoandreta.com.br</v>
      </c>
    </row>
    <row r="97" spans="1:14" hidden="1">
      <c r="A97" s="6"/>
      <c r="B97" s="2">
        <v>7601236</v>
      </c>
      <c r="C97" t="s">
        <v>331</v>
      </c>
      <c r="D97" s="2">
        <v>2</v>
      </c>
      <c r="E97" s="2">
        <v>2</v>
      </c>
      <c r="F97" t="s">
        <v>332</v>
      </c>
      <c r="G97" t="s">
        <v>326</v>
      </c>
      <c r="H97" t="s">
        <v>326</v>
      </c>
      <c r="I97" t="s">
        <v>333</v>
      </c>
      <c r="J97"/>
      <c r="K97" t="s">
        <v>1322</v>
      </c>
      <c r="L97"/>
      <c r="M97" t="s">
        <v>1323</v>
      </c>
      <c r="N97" s="18" t="str">
        <f t="shared" si="1"/>
        <v>diretoria.admfinanceiro@grupoandreta.com.br;;diretoria.admfinanceiro@grupoandreta.com.br;;gergeral.mercantilatibaia@grupoandreta.com.br;geroficina.mercantilatibaia@grupoandreta.com.br;liderkaizen.mercantilandreta@grupoandreta.com.br;liderkaizen02.mercantilandreta@grupoandreta.com.br;SAC - sac@grupoandreta.com.br</v>
      </c>
    </row>
    <row r="98" spans="1:14" hidden="1">
      <c r="A98" s="6"/>
      <c r="B98" s="2">
        <v>7601235</v>
      </c>
      <c r="C98" t="s">
        <v>335</v>
      </c>
      <c r="D98" s="2">
        <v>2</v>
      </c>
      <c r="E98" s="2">
        <v>2</v>
      </c>
      <c r="F98" t="s">
        <v>336</v>
      </c>
      <c r="G98" t="s">
        <v>326</v>
      </c>
      <c r="H98" t="s">
        <v>326</v>
      </c>
      <c r="I98" t="s">
        <v>337</v>
      </c>
      <c r="J98"/>
      <c r="K98" t="s">
        <v>1322</v>
      </c>
      <c r="L98"/>
      <c r="M98" t="s">
        <v>1323</v>
      </c>
      <c r="N98" s="18" t="str">
        <f t="shared" si="1"/>
        <v>diretoria.admfinanceiro@grupoandreta.com.br;;diretoria.admfinanceiro@grupoandreta.com.br;;gergeral.mercantilbraganca@grupoandreta.com.br;geroficina.mercantilbraganca@grupoandreta.com.br;liderkaizen.mercantilandreta@grupoandreta.com.br;liderkaizen02.mercantilandreta@grupoandreta.com.br;SAC - sac@grupoandreta.com.br</v>
      </c>
    </row>
    <row r="99" spans="1:14" hidden="1">
      <c r="A99" s="6"/>
      <c r="B99" s="2">
        <v>7601112</v>
      </c>
      <c r="C99" t="s">
        <v>339</v>
      </c>
      <c r="D99" s="2">
        <v>2</v>
      </c>
      <c r="E99" s="2">
        <v>2</v>
      </c>
      <c r="F99" t="s">
        <v>1324</v>
      </c>
      <c r="G99" t="s">
        <v>326</v>
      </c>
      <c r="H99" t="s">
        <v>326</v>
      </c>
      <c r="I99" t="s">
        <v>340</v>
      </c>
      <c r="J99"/>
      <c r="K99" t="s">
        <v>1322</v>
      </c>
      <c r="L99"/>
      <c r="M99" t="s">
        <v>1323</v>
      </c>
      <c r="N99" s="18" t="str">
        <f t="shared" si="1"/>
        <v>diretoria.admfinanceiro@grupoandreta.com.br;;diretoria.admfinanceiro@grupoandreta.com.br;;gergeral.mercantilcampinas@grupoandreta.com.br;geroficina.mercantilcampinas@grupoandreta.com.br;liderkaizen.mercantilandreta@grupoandreta.com.br;liderkaizen02.mercantilandreta@grupoandreta.com.br;SAC - sac@grupoandreta.com.br</v>
      </c>
    </row>
    <row r="100" spans="1:14" hidden="1">
      <c r="A100" s="6"/>
      <c r="B100" s="2">
        <v>7600550</v>
      </c>
      <c r="C100" t="s">
        <v>342</v>
      </c>
      <c r="D100" s="2">
        <v>2</v>
      </c>
      <c r="E100" s="2">
        <v>2</v>
      </c>
      <c r="F100" t="s">
        <v>1325</v>
      </c>
      <c r="G100" t="s">
        <v>326</v>
      </c>
      <c r="H100" t="s">
        <v>326</v>
      </c>
      <c r="I100" t="s">
        <v>343</v>
      </c>
      <c r="J100"/>
      <c r="K100" t="s">
        <v>1322</v>
      </c>
      <c r="L100"/>
      <c r="M100" t="s">
        <v>1323</v>
      </c>
      <c r="N100" s="18" t="str">
        <f t="shared" si="1"/>
        <v>diretoria.admfinanceiro@grupoandreta.com.br;;diretoria.admfinanceiro@grupoandreta.com.br;;gergeral.andretalimeira@grupoandreta.com.br;geroficina.andretalimeira@grupoandreta.com.br;liderkaizen.mercantilandreta@grupoandreta.com.br;liderkaizen02.mercantilandreta@grupoandreta.com.br;SAC - sac@grupoandreta.com.br</v>
      </c>
    </row>
    <row r="101" spans="1:14" hidden="1">
      <c r="A101" s="6"/>
      <c r="B101" s="2">
        <v>7600610</v>
      </c>
      <c r="C101" t="s">
        <v>345</v>
      </c>
      <c r="D101" s="2">
        <v>2</v>
      </c>
      <c r="E101" s="2">
        <v>2</v>
      </c>
      <c r="F101" t="s">
        <v>1326</v>
      </c>
      <c r="G101" t="s">
        <v>326</v>
      </c>
      <c r="H101" t="s">
        <v>326</v>
      </c>
      <c r="I101" t="s">
        <v>346</v>
      </c>
      <c r="J101"/>
      <c r="K101" t="s">
        <v>1322</v>
      </c>
      <c r="L101"/>
      <c r="M101" t="s">
        <v>1323</v>
      </c>
      <c r="N101" s="18" t="str">
        <f t="shared" si="1"/>
        <v>diretoria.admfinanceiro@grupoandreta.com.br;;diretoria.admfinanceiro@grupoandreta.com.br;;gergeral.andretamogi@grupoandreta.com.br;geroficina.andretamogi@grupoandreta.com.br;liderkaizen.mercantilandreta@grupoandreta.com.br;liderkaizen02.mercantilandreta@grupoandreta.com.br;SAC - sac@grupoandreta.com.br</v>
      </c>
    </row>
    <row r="102" spans="1:14" hidden="1">
      <c r="A102" s="6"/>
      <c r="B102" s="2">
        <v>7600382</v>
      </c>
      <c r="C102" t="s">
        <v>348</v>
      </c>
      <c r="D102" s="2">
        <v>2</v>
      </c>
      <c r="E102" s="2">
        <v>2</v>
      </c>
      <c r="F102" t="s">
        <v>349</v>
      </c>
      <c r="G102" t="s">
        <v>326</v>
      </c>
      <c r="H102" t="s">
        <v>326</v>
      </c>
      <c r="I102" t="s">
        <v>350</v>
      </c>
      <c r="J102"/>
      <c r="K102" t="s">
        <v>1322</v>
      </c>
      <c r="L102"/>
      <c r="M102" t="s">
        <v>1323</v>
      </c>
      <c r="N102" s="18" t="str">
        <f t="shared" si="1"/>
        <v>diretoria.admfinanceiro@grupoandreta.com.br;;diretoria.admfinanceiro@grupoandreta.com.br;;gergeral.mercantilandreta@grupoandreta.com.br;geroficina.mercantilandreta@grupoandreta.com.br;liderkaizen.mercantilandreta@grupoandreta.com.br;liderkaizen02.mercantilandreta@grupoandreta.com.br;SAC - sac@grupoandreta.com.br</v>
      </c>
    </row>
    <row r="103" spans="1:14" hidden="1">
      <c r="A103" s="6"/>
      <c r="B103" s="2">
        <v>7601298</v>
      </c>
      <c r="C103" t="s">
        <v>1177</v>
      </c>
      <c r="D103" s="2">
        <v>2</v>
      </c>
      <c r="E103" s="2">
        <v>2</v>
      </c>
      <c r="F103" t="s">
        <v>1327</v>
      </c>
      <c r="G103" t="s">
        <v>326</v>
      </c>
      <c r="H103" t="s">
        <v>326</v>
      </c>
      <c r="I103" t="s">
        <v>1328</v>
      </c>
      <c r="J103"/>
      <c r="K103" t="s">
        <v>1322</v>
      </c>
      <c r="L103"/>
      <c r="M103" t="s">
        <v>1323</v>
      </c>
      <c r="N103" s="18" t="str">
        <f t="shared" si="1"/>
        <v>diretoria.admfinanceiro@grupoandreta.com.br;;diretoria.admfinanceiro@grupoandreta.com.br;;gergeral.mercantilvinhedo@grupoandreta.com.br;geroficina.mercantilvinhedo@grupoandreta.com.br;liderkaizen.mercantilandreta@grupoandreta.com.br;liderkaizen02.mercantilandreta@grupoandreta.com.br;SAC - sac@grupoandreta.com.br</v>
      </c>
    </row>
    <row r="104" spans="1:14" hidden="1">
      <c r="A104" s="6"/>
      <c r="B104" s="2">
        <v>7600446</v>
      </c>
      <c r="C104" t="s">
        <v>352</v>
      </c>
      <c r="D104" s="2">
        <v>2</v>
      </c>
      <c r="E104" s="2">
        <v>2</v>
      </c>
      <c r="F104" s="1" t="s">
        <v>1329</v>
      </c>
      <c r="G104" t="s">
        <v>1330</v>
      </c>
      <c r="H104" s="1" t="s">
        <v>1331</v>
      </c>
      <c r="I104" s="1" t="s">
        <v>356</v>
      </c>
      <c r="J104"/>
      <c r="K104" s="1" t="s">
        <v>1332</v>
      </c>
      <c r="L104"/>
      <c r="M104" t="s">
        <v>358</v>
      </c>
      <c r="N104" s="18" t="str">
        <f t="shared" si="1"/>
        <v>moacir.bartolomei@grupoville.com.br;andersonpazzini@grupoville.com.br;ortiz.araujo@grupoville.com.br;clopes@grupoville.com.br;luciano.olivi@grupoville.com.br; alexandre.bozola@grupoville.com.br;felipe.zanforlin@grupoville.com.br;ari.junior@grupoville.com.br;leonardo.harte@grupoville.com.br;cotech.ata@grupoville.com.br; ; Leonardo.harte@grupoville.com.br;</v>
      </c>
    </row>
    <row r="105" spans="1:14" hidden="1">
      <c r="A105" s="6"/>
      <c r="B105" s="2">
        <v>7600691</v>
      </c>
      <c r="C105" t="s">
        <v>359</v>
      </c>
      <c r="D105" s="2">
        <v>2</v>
      </c>
      <c r="E105" s="2">
        <v>2</v>
      </c>
      <c r="F105" s="1" t="s">
        <v>1333</v>
      </c>
      <c r="G105" t="s">
        <v>1330</v>
      </c>
      <c r="H105" s="1" t="s">
        <v>1331</v>
      </c>
      <c r="I105" t="s">
        <v>361</v>
      </c>
      <c r="J105"/>
      <c r="K105" s="1" t="s">
        <v>1332</v>
      </c>
      <c r="L105"/>
      <c r="M105" t="s">
        <v>362</v>
      </c>
      <c r="N105" s="18" t="str">
        <f t="shared" si="1"/>
        <v>moacir.bartolomei@grupoville.com.br;andersonpazzini@grupoville.com.br;ortiz.araujo@grupoville.com.br;clopes@grupoville.com.br;luciano.olivi@grupoville.com.br; alexandre.bozola@grupoville.com.br;joao.ossana@grupoville.com.br;ronieri.azevedo@grupoville.com.br;leonardo.harte@grupoville.com.br;ronieri.azevedo@grupoville.com.br; ; Leonardo.harte@grupoville.com.br;</v>
      </c>
    </row>
    <row r="106" spans="1:14" hidden="1">
      <c r="A106" s="6"/>
      <c r="B106" s="2">
        <v>7600440</v>
      </c>
      <c r="C106" t="s">
        <v>363</v>
      </c>
      <c r="D106" s="2">
        <v>2</v>
      </c>
      <c r="E106" s="2">
        <v>2</v>
      </c>
      <c r="F106" s="1" t="s">
        <v>1334</v>
      </c>
      <c r="G106" t="s">
        <v>1330</v>
      </c>
      <c r="H106" s="1" t="s">
        <v>1331</v>
      </c>
      <c r="I106" s="1" t="s">
        <v>1335</v>
      </c>
      <c r="J106"/>
      <c r="K106" s="1" t="s">
        <v>1332</v>
      </c>
      <c r="L106"/>
      <c r="M106" t="s">
        <v>366</v>
      </c>
      <c r="N106" s="18" t="str">
        <f t="shared" si="1"/>
        <v>moacir.bartolomei@grupoville.com.br;andersonpazzini@grupoville.com.br;ortiz.araujo@grupoville.com.br;clopes@grupoville.com.br;luciano.olivi@grupoville.com.br; alexandre.bozola@grupoville.com.br;andre.paiola@grupoville.com.br;carlos.cerqueira@grupoville.com.br;leonardo.harte@grupoville.com.br;jose.henrique@grupoville.com.br; ; Leonardo.harte@grupoville.com.br;</v>
      </c>
    </row>
    <row r="107" spans="1:14" hidden="1">
      <c r="A107" s="6"/>
      <c r="B107" s="2">
        <v>7600598</v>
      </c>
      <c r="C107" t="s">
        <v>367</v>
      </c>
      <c r="D107" s="2">
        <v>2</v>
      </c>
      <c r="E107" s="2">
        <v>2</v>
      </c>
      <c r="F107" s="1" t="s">
        <v>369</v>
      </c>
      <c r="G107" t="s">
        <v>1330</v>
      </c>
      <c r="H107" s="1" t="s">
        <v>1331</v>
      </c>
      <c r="I107" t="s">
        <v>369</v>
      </c>
      <c r="J107"/>
      <c r="K107" s="1" t="s">
        <v>1332</v>
      </c>
      <c r="L107"/>
      <c r="M107" s="1" t="s">
        <v>1336</v>
      </c>
      <c r="N107" s="18" t="str">
        <f t="shared" si="1"/>
        <v>moacir.bartolomei@grupoville.com.br;andersonpazzini@grupoville.com.br;ortiz.araujo@grupoville.com.br;clopes@grupoville.com.br;luciano.olivi@grupoville.com.br; alexandre.bozola@grupoville.com.br;jefferson.silva@grupoville.com.br;jefferson.silva@grupoville.com.br;leonardo.harte@grupoville.com.br;leonaldo.zanelatto@grupoville.com.br;Leonardo.harte@grupoville.com.br;</v>
      </c>
    </row>
    <row r="108" spans="1:14" hidden="1">
      <c r="A108" s="6"/>
      <c r="B108" s="2">
        <v>7601152</v>
      </c>
      <c r="C108" t="s">
        <v>481</v>
      </c>
      <c r="D108" s="2">
        <v>2</v>
      </c>
      <c r="E108" s="2">
        <v>3</v>
      </c>
      <c r="F108" t="s">
        <v>483</v>
      </c>
      <c r="G108" t="s">
        <v>482</v>
      </c>
      <c r="H108"/>
      <c r="I108" t="s">
        <v>484</v>
      </c>
      <c r="J108"/>
      <c r="K108" t="s">
        <v>485</v>
      </c>
      <c r="L108"/>
      <c r="M108" t="s">
        <v>486</v>
      </c>
      <c r="N108" s="18" t="str">
        <f t="shared" si="1"/>
        <v>;diretoria@abraoreze.com.br;diretoria@abraoreze.com.br;;matheus.salata@abraoreze.com.br;rafael@abraoreze.com.br;giovana.nascimento@abraoreze.com.br; jessica.brasil@abraoreze.com.br;plinio.santana@abraoreze.com.br</v>
      </c>
    </row>
    <row r="109" spans="1:14" hidden="1">
      <c r="A109" s="6"/>
      <c r="B109" s="2">
        <v>7600824</v>
      </c>
      <c r="C109" t="s">
        <v>475</v>
      </c>
      <c r="D109" s="2">
        <v>2</v>
      </c>
      <c r="E109" s="2">
        <v>3</v>
      </c>
      <c r="F109" t="s">
        <v>478</v>
      </c>
      <c r="G109" t="s">
        <v>477</v>
      </c>
      <c r="H109" t="s">
        <v>476</v>
      </c>
      <c r="I109" t="s">
        <v>478</v>
      </c>
      <c r="J109"/>
      <c r="K109" t="s">
        <v>1337</v>
      </c>
      <c r="L109"/>
      <c r="M109" t="s">
        <v>1338</v>
      </c>
      <c r="N109" s="18" t="str">
        <f t="shared" si="1"/>
        <v>felipe@balilla.com.br;toninho@balilla.com.br;luiscarlos@balilla.com.br;waine@balilla.com.br;zito@balilla.com.br;;nahor@balilla.com.br;nahor@balilla.com.br;qualidade@balilla.com.br; gabrielle.freitas@balilla.com.br; atendimento@balilla.com.br;marcelo.rltind@balilla.com.br; felipe@balilla.com.br; sonia@balilla.com.br;</v>
      </c>
    </row>
    <row r="110" spans="1:14" hidden="1">
      <c r="A110" s="6"/>
      <c r="B110" s="2">
        <v>7601151</v>
      </c>
      <c r="C110" t="s">
        <v>487</v>
      </c>
      <c r="D110" s="2">
        <v>2</v>
      </c>
      <c r="E110" s="2">
        <v>3</v>
      </c>
      <c r="F110" t="s">
        <v>490</v>
      </c>
      <c r="G110" t="s">
        <v>489</v>
      </c>
      <c r="H110" t="s">
        <v>488</v>
      </c>
      <c r="I110" t="s">
        <v>491</v>
      </c>
      <c r="J110"/>
      <c r="K110" t="s">
        <v>492</v>
      </c>
      <c r="L110"/>
      <c r="M110" t="s">
        <v>493</v>
      </c>
      <c r="N110" s="18" t="str">
        <f t="shared" si="1"/>
        <v>adrianocubas@somaautomoveis.com.br; rossi@somaautomoveis.com.br;paulo@fiatsoma.com.br;gerencia.itapeva@somafrance.com.br;gedson.santos@somaautomoveis.com.br;ana.telles@somaautomoveis.com.br;liderkaizen@somafrance.com.br</v>
      </c>
    </row>
    <row r="111" spans="1:14" hidden="1">
      <c r="A111" s="6"/>
      <c r="B111" s="2">
        <v>7600932</v>
      </c>
      <c r="C111" t="s">
        <v>494</v>
      </c>
      <c r="D111" s="2">
        <v>2</v>
      </c>
      <c r="E111" s="2">
        <v>3</v>
      </c>
      <c r="F111" t="s">
        <v>495</v>
      </c>
      <c r="G111" t="s">
        <v>489</v>
      </c>
      <c r="H111" t="s">
        <v>488</v>
      </c>
      <c r="I111" t="s">
        <v>496</v>
      </c>
      <c r="J111"/>
      <c r="K111" t="s">
        <v>492</v>
      </c>
      <c r="L111"/>
      <c r="M111" t="s">
        <v>493</v>
      </c>
      <c r="N111" s="18" t="str">
        <f t="shared" si="1"/>
        <v>adrianocubas@somaautomoveis.com.br; rossi@somaautomoveis.com.br;paulo@fiatsoma.com.br;gerencia@somafrance.com.br;gabriel.bueno@somaautomoveis.com.br;ana.telles@somaautomoveis.com.br;liderkaizen@somafrance.com.br</v>
      </c>
    </row>
    <row r="112" spans="1:14" hidden="1">
      <c r="A112" s="6"/>
      <c r="B112" s="2">
        <v>7601219</v>
      </c>
      <c r="C112" t="s">
        <v>497</v>
      </c>
      <c r="D112" s="2">
        <v>2</v>
      </c>
      <c r="E112" s="2">
        <v>3</v>
      </c>
      <c r="F112" t="s">
        <v>495</v>
      </c>
      <c r="G112" t="s">
        <v>489</v>
      </c>
      <c r="H112" t="s">
        <v>488</v>
      </c>
      <c r="I112" t="s">
        <v>496</v>
      </c>
      <c r="J112"/>
      <c r="K112" t="s">
        <v>492</v>
      </c>
      <c r="L112"/>
      <c r="M112" t="s">
        <v>493</v>
      </c>
      <c r="N112" s="18" t="str">
        <f t="shared" si="1"/>
        <v>adrianocubas@somaautomoveis.com.br; rossi@somaautomoveis.com.br;paulo@fiatsoma.com.br;gerencia@somafrance.com.br;gabriel.bueno@somaautomoveis.com.br;ana.telles@somaautomoveis.com.br;liderkaizen@somafrance.com.br</v>
      </c>
    </row>
    <row r="113" spans="1:14" ht="14.85" hidden="1" customHeight="1">
      <c r="A113" s="6"/>
      <c r="B113" s="2">
        <v>7601087</v>
      </c>
      <c r="C113" t="s">
        <v>538</v>
      </c>
      <c r="D113" s="2">
        <v>2</v>
      </c>
      <c r="E113" s="2">
        <v>4</v>
      </c>
      <c r="F113" t="s">
        <v>540</v>
      </c>
      <c r="G113" t="s">
        <v>539</v>
      </c>
      <c r="H113"/>
      <c r="I113" t="s">
        <v>1339</v>
      </c>
      <c r="J113"/>
      <c r="K113"/>
      <c r="L113"/>
      <c r="M113" t="s">
        <v>1340</v>
      </c>
      <c r="N113" s="18" t="str">
        <f t="shared" si="1"/>
        <v>;jaime@velmax.com.br;;gerente.novos@maxveltatui.com.br;gerenteposvenda.tatui@velmax.com.br;;adm.tatui@velmax.com.br; rui@velmax.com.br</v>
      </c>
    </row>
    <row r="114" spans="1:14" hidden="1">
      <c r="A114" s="6"/>
      <c r="B114" s="2">
        <v>7601141</v>
      </c>
      <c r="C114" t="s">
        <v>549</v>
      </c>
      <c r="D114" s="2">
        <v>2</v>
      </c>
      <c r="E114" s="2">
        <v>4</v>
      </c>
      <c r="F114"/>
      <c r="G114" t="s">
        <v>1341</v>
      </c>
      <c r="H114" t="s">
        <v>550</v>
      </c>
      <c r="I114" t="s">
        <v>553</v>
      </c>
      <c r="J114"/>
      <c r="K114" t="s">
        <v>554</v>
      </c>
      <c r="L114"/>
      <c r="M114" t="s">
        <v>555</v>
      </c>
      <c r="N114" s="18" t="str">
        <f t="shared" si="1"/>
        <v>vando@valecrenault.com.br;luciano@luchini.com.br; doriluchini@valecrenault.com.br; gunther@luchini.com.br;;priscila.mitre@valecrenault.com.br;andressa.pussa@valecrenault.com.br;magno@valecrenault.com.br</v>
      </c>
    </row>
    <row r="115" spans="1:14" hidden="1">
      <c r="A115" s="6"/>
      <c r="B115" s="2">
        <v>7600075</v>
      </c>
      <c r="C115" t="s">
        <v>556</v>
      </c>
      <c r="D115" s="2">
        <v>2</v>
      </c>
      <c r="E115" s="2">
        <v>4</v>
      </c>
      <c r="F115" t="s">
        <v>557</v>
      </c>
      <c r="G115" t="s">
        <v>1341</v>
      </c>
      <c r="H115" t="s">
        <v>550</v>
      </c>
      <c r="I115" t="s">
        <v>558</v>
      </c>
      <c r="J115"/>
      <c r="K115" t="s">
        <v>554</v>
      </c>
      <c r="L115"/>
      <c r="M115" t="s">
        <v>555</v>
      </c>
      <c r="N115" s="18" t="str">
        <f t="shared" si="1"/>
        <v>vando@valecrenault.com.br;luciano@luchini.com.br; doriluchini@valecrenault.com.br; gunther@luchini.com.br;elmer@valecrenault.com.br;helton.jacinto@valecrenault.com.br;andressa.pussa@valecrenault.com.br;magno@valecrenault.com.br</v>
      </c>
    </row>
    <row r="116" spans="1:14" hidden="1">
      <c r="A116" s="6"/>
      <c r="B116" s="2">
        <v>7600383</v>
      </c>
      <c r="C116" t="s">
        <v>559</v>
      </c>
      <c r="D116" s="2">
        <v>2</v>
      </c>
      <c r="E116" s="2">
        <v>4</v>
      </c>
      <c r="F116" t="s">
        <v>560</v>
      </c>
      <c r="G116" t="s">
        <v>1341</v>
      </c>
      <c r="H116" t="s">
        <v>550</v>
      </c>
      <c r="I116" t="s">
        <v>561</v>
      </c>
      <c r="J116"/>
      <c r="K116" t="s">
        <v>554</v>
      </c>
      <c r="L116"/>
      <c r="M116" t="s">
        <v>555</v>
      </c>
      <c r="N116" s="18" t="str">
        <f t="shared" si="1"/>
        <v>vando@valecrenault.com.br;luciano@luchini.com.br; doriluchini@valecrenault.com.br; gunther@luchini.com.br;debora.monzani@valecrenault.com.br;luis.olavo@valecrenault.com.br;andressa.pussa@valecrenault.com.br;magno@valecrenault.com.br</v>
      </c>
    </row>
    <row r="117" spans="1:14" hidden="1">
      <c r="A117" s="6"/>
      <c r="B117" s="2">
        <v>7600156</v>
      </c>
      <c r="C117" t="s">
        <v>562</v>
      </c>
      <c r="D117" s="2">
        <v>2</v>
      </c>
      <c r="E117" s="2">
        <v>4</v>
      </c>
      <c r="F117" t="s">
        <v>563</v>
      </c>
      <c r="G117" t="s">
        <v>1341</v>
      </c>
      <c r="H117" t="s">
        <v>550</v>
      </c>
      <c r="I117" s="1" t="s">
        <v>1342</v>
      </c>
      <c r="J117"/>
      <c r="K117" t="s">
        <v>554</v>
      </c>
      <c r="L117"/>
      <c r="M117" t="s">
        <v>555</v>
      </c>
      <c r="N117" s="18" t="str">
        <f t="shared" si="1"/>
        <v>vando@valecrenault.com.br;luciano@luchini.com.br; doriluchini@valecrenault.com.br; gunther@luchini.com.br;flavio.riceto@valecrenault.com.br;clayton.dias@valecrenault.com.br;andressa.pussa@valecrenault.com.br;magno@valecrenault.com.br</v>
      </c>
    </row>
    <row r="118" spans="1:14" hidden="1">
      <c r="A118" s="6"/>
      <c r="B118" s="2">
        <v>7600608</v>
      </c>
      <c r="C118" t="s">
        <v>565</v>
      </c>
      <c r="D118" s="2">
        <v>2</v>
      </c>
      <c r="E118" s="2">
        <v>4</v>
      </c>
      <c r="F118" t="s">
        <v>1343</v>
      </c>
      <c r="G118" t="s">
        <v>1341</v>
      </c>
      <c r="H118" t="s">
        <v>550</v>
      </c>
      <c r="I118" t="s">
        <v>567</v>
      </c>
      <c r="J118"/>
      <c r="K118" t="s">
        <v>554</v>
      </c>
      <c r="L118"/>
      <c r="M118" t="s">
        <v>555</v>
      </c>
      <c r="N118" s="18" t="str">
        <f t="shared" si="1"/>
        <v>vando@valecrenault.com.br;luciano@luchini.com.br; doriluchini@valecrenault.com.br; gunther@luchini.com.br;thiago.zafatoshi@valecrenault.com.br;juarez.junior@valecrenault.com.br;andressa.pussa@valecrenault.com.br;magno@valecrenault.com.br</v>
      </c>
    </row>
    <row r="119" spans="1:14" ht="13.35" hidden="1" customHeight="1">
      <c r="A119" s="6"/>
      <c r="B119" s="2">
        <v>7601123</v>
      </c>
      <c r="C119" t="s">
        <v>394</v>
      </c>
      <c r="D119" s="2">
        <v>2</v>
      </c>
      <c r="E119" s="2">
        <v>5</v>
      </c>
      <c r="F119" t="s">
        <v>1344</v>
      </c>
      <c r="G119" t="s">
        <v>396</v>
      </c>
      <c r="H119" t="s">
        <v>395</v>
      </c>
      <c r="I119" t="s">
        <v>398</v>
      </c>
      <c r="J119"/>
      <c r="K119" t="s">
        <v>1345</v>
      </c>
      <c r="L119"/>
      <c r="M119" s="1" t="s">
        <v>1346</v>
      </c>
      <c r="N119" s="18" t="str">
        <f t="shared" si="1"/>
        <v>edemar.nunes@grupofaberge.com.br; denis@grupofaberge.com.br;roberto.faberge@grupofaberge.com.br;cidnilson.sanchez@renaultfaberge.com.br;andre.collier@renaultfaberge.com.br;lais.murray@grupofaberge.com.br;;qualidade5@grupofaberge.com.br;Jane.mary@grupofaberge.com.br</v>
      </c>
    </row>
    <row r="120" spans="1:14" hidden="1">
      <c r="A120" s="6"/>
      <c r="B120" s="2">
        <v>7601110</v>
      </c>
      <c r="C120" t="s">
        <v>376</v>
      </c>
      <c r="D120" s="2">
        <v>2</v>
      </c>
      <c r="E120" s="2">
        <v>5</v>
      </c>
      <c r="F120" s="1" t="s">
        <v>1347</v>
      </c>
      <c r="G120" t="s">
        <v>378</v>
      </c>
      <c r="H120" t="s">
        <v>377</v>
      </c>
      <c r="I120" t="s">
        <v>380</v>
      </c>
      <c r="J120"/>
      <c r="K120" t="s">
        <v>381</v>
      </c>
      <c r="L120"/>
      <c r="M120" t="s">
        <v>382</v>
      </c>
      <c r="N120" s="18" t="str">
        <f t="shared" si="1"/>
        <v>andremassola@proeste.com.br;;pardal@proeste.com.br;;felipe.rodrigues@proeste.com.br;nelinho@proeste.com.br;;afonso.simoes@proeste.com.br; thiagomassola@proeste.com.br;;cotech.renaultava@proeste.com.br; oficina.renaultava@proeste.com.br;</v>
      </c>
    </row>
    <row r="121" spans="1:14" hidden="1">
      <c r="A121" s="6"/>
      <c r="B121" s="2">
        <v>7600895</v>
      </c>
      <c r="C121" t="s">
        <v>383</v>
      </c>
      <c r="D121" s="2">
        <v>2</v>
      </c>
      <c r="E121" s="2">
        <v>5</v>
      </c>
      <c r="F121" s="1" t="s">
        <v>1348</v>
      </c>
      <c r="G121" t="s">
        <v>378</v>
      </c>
      <c r="H121" t="s">
        <v>377</v>
      </c>
      <c r="I121" t="s">
        <v>380</v>
      </c>
      <c r="J121"/>
      <c r="K121" t="s">
        <v>385</v>
      </c>
      <c r="L121"/>
      <c r="M121" t="s">
        <v>386</v>
      </c>
      <c r="N121" s="18" t="str">
        <f t="shared" si="1"/>
        <v>andremassola@proeste.com.br;;pardal@proeste.com.br;;lourdes.silva@proeste.com.br;nelinho@proeste.com.br;;afonso.simoes@proeste.com.br; thiagomassola@proeste.com.br; ;cotech.renaultbu@proeste.com.br; ludimila.zuccari@proeste.com.br</v>
      </c>
    </row>
    <row r="122" spans="1:14" ht="16.5" hidden="1" customHeight="1">
      <c r="A122" s="6"/>
      <c r="B122" s="2">
        <v>7600920</v>
      </c>
      <c r="C122" t="s">
        <v>387</v>
      </c>
      <c r="D122" s="2">
        <v>2</v>
      </c>
      <c r="E122" s="2">
        <v>5</v>
      </c>
      <c r="F122" s="1" t="s">
        <v>1349</v>
      </c>
      <c r="G122" t="s">
        <v>378</v>
      </c>
      <c r="H122" t="s">
        <v>377</v>
      </c>
      <c r="I122" t="s">
        <v>380</v>
      </c>
      <c r="J122"/>
      <c r="K122" t="s">
        <v>388</v>
      </c>
      <c r="L122"/>
      <c r="M122"/>
      <c r="N122" s="18" t="str">
        <f t="shared" si="1"/>
        <v>andremassola@proeste.com.br;;pardal@proeste.com.br;;eduardo.noronha@proeste.com.br;nelinho@proeste.com.br;;afonso.simoes@proeste.com.br; thiagomassola@proeste.com.br; junior.renaultbtu@proeste.com.br;;</v>
      </c>
    </row>
    <row r="123" spans="1:14" hidden="1">
      <c r="A123" s="6"/>
      <c r="B123" s="2">
        <v>7600918</v>
      </c>
      <c r="C123" t="s">
        <v>389</v>
      </c>
      <c r="D123" s="2">
        <v>2</v>
      </c>
      <c r="E123" s="2">
        <v>5</v>
      </c>
      <c r="F123" s="1" t="s">
        <v>1350</v>
      </c>
      <c r="G123" t="s">
        <v>378</v>
      </c>
      <c r="H123" t="s">
        <v>377</v>
      </c>
      <c r="I123" t="s">
        <v>380</v>
      </c>
      <c r="J123"/>
      <c r="K123" t="s">
        <v>385</v>
      </c>
      <c r="L123"/>
      <c r="M123" t="s">
        <v>391</v>
      </c>
      <c r="N123" s="18" t="str">
        <f t="shared" si="1"/>
        <v>andremassola@proeste.com.br;;pardal@proeste.com.br;;nicholas.toledo@proeste.com.br;nelinho@proeste.com.br;;afonso.simoes@proeste.com.br; thiagomassola@proeste.com.br; ;cotech.renaultju@proeste.com.br</v>
      </c>
    </row>
    <row r="124" spans="1:14" hidden="1">
      <c r="A124" s="6"/>
      <c r="B124" s="2">
        <v>7600921</v>
      </c>
      <c r="C124" t="s">
        <v>392</v>
      </c>
      <c r="D124" s="2">
        <v>2</v>
      </c>
      <c r="E124" s="2">
        <v>5</v>
      </c>
      <c r="F124" s="1" t="s">
        <v>1351</v>
      </c>
      <c r="G124" t="s">
        <v>378</v>
      </c>
      <c r="H124" t="s">
        <v>377</v>
      </c>
      <c r="I124" t="s">
        <v>380</v>
      </c>
      <c r="J124"/>
      <c r="K124" t="s">
        <v>385</v>
      </c>
      <c r="L124"/>
      <c r="M124" t="s">
        <v>393</v>
      </c>
      <c r="N124" s="18" t="str">
        <f t="shared" si="1"/>
        <v>andremassola@proeste.com.br;;pardal@proeste.com.br;;eder.ferreira@proeste.com.br;nelinho@proeste.com.br;;afonso.simoes@proeste.com.br; thiagomassola@proeste.com.br; ;cotech.renaultmr@proeste.com.br</v>
      </c>
    </row>
    <row r="125" spans="1:14" hidden="1">
      <c r="A125" s="6"/>
      <c r="B125" s="2">
        <v>7600954</v>
      </c>
      <c r="C125" t="s">
        <v>401</v>
      </c>
      <c r="D125" s="2">
        <v>2</v>
      </c>
      <c r="E125" s="2">
        <v>5</v>
      </c>
      <c r="F125"/>
      <c r="G125" t="s">
        <v>403</v>
      </c>
      <c r="H125" s="1" t="s">
        <v>1352</v>
      </c>
      <c r="I125" s="1" t="s">
        <v>1353</v>
      </c>
      <c r="J125"/>
      <c r="K125" s="1" t="s">
        <v>1354</v>
      </c>
      <c r="L125"/>
      <c r="M125" t="s">
        <v>1355</v>
      </c>
      <c r="N125" s="18" t="str">
        <f t="shared" si="1"/>
        <v>luiz.henrique@grupotoriba.com.br; wilson.arrojo@grupotoriba.com.br; barbara.messi@grupotoriba.com.br;rodrigo.faria@grupotoriba.com.br;;luiz.claudio@grupotoriba.com.br;vanessa.barbosa@grupotoriba.com.br; leticia.vasconcelos@grupotoriba.com.br; julia.bernardo@grupotoriba.com.br;luiz.henrique@grupotoriba.com.br</v>
      </c>
    </row>
    <row r="126" spans="1:14" hidden="1">
      <c r="A126" s="6"/>
      <c r="B126" s="2">
        <v>7600953</v>
      </c>
      <c r="C126" t="s">
        <v>407</v>
      </c>
      <c r="D126" s="2">
        <v>2</v>
      </c>
      <c r="E126" s="2">
        <v>5</v>
      </c>
      <c r="F126"/>
      <c r="G126" t="s">
        <v>403</v>
      </c>
      <c r="H126" s="1" t="s">
        <v>1352</v>
      </c>
      <c r="I126" s="1" t="s">
        <v>1353</v>
      </c>
      <c r="J126"/>
      <c r="K126" s="1" t="s">
        <v>1354</v>
      </c>
      <c r="L126"/>
      <c r="M126" t="s">
        <v>1355</v>
      </c>
      <c r="N126" s="18" t="str">
        <f t="shared" si="1"/>
        <v>luiz.henrique@grupotoriba.com.br; wilson.arrojo@grupotoriba.com.br; barbara.messi@grupotoriba.com.br;rodrigo.faria@grupotoriba.com.br;;luiz.claudio@grupotoriba.com.br;vanessa.barbosa@grupotoriba.com.br; leticia.vasconcelos@grupotoriba.com.br; julia.bernardo@grupotoriba.com.br;luiz.henrique@grupotoriba.com.br</v>
      </c>
    </row>
    <row r="127" spans="1:14" hidden="1">
      <c r="A127" s="6"/>
      <c r="B127" s="2">
        <v>7600332</v>
      </c>
      <c r="C127" t="s">
        <v>440</v>
      </c>
      <c r="D127" s="2">
        <v>2</v>
      </c>
      <c r="E127" s="2">
        <v>6</v>
      </c>
      <c r="F127" t="s">
        <v>442</v>
      </c>
      <c r="G127" t="s">
        <v>1356</v>
      </c>
      <c r="H127" t="s">
        <v>1356</v>
      </c>
      <c r="I127" t="s">
        <v>443</v>
      </c>
      <c r="J127"/>
      <c r="K127" t="s">
        <v>444</v>
      </c>
      <c r="L127"/>
      <c r="M127"/>
      <c r="N127" s="18" t="str">
        <f t="shared" si="1"/>
        <v>fabio.oliveira@grupodestaque.com.br; fabricio@grupodestaque.com.br;fabio.oliveira@grupodestaque.com.br; fabricio@grupodestaque.com.br;francemogi@grupodestaque.com.br;posvendas.renault@grupodestaque.com.br;qualidade.renault@grupodestaque.com.br;</v>
      </c>
    </row>
    <row r="128" spans="1:14" hidden="1">
      <c r="A128" s="6"/>
      <c r="B128" s="2">
        <v>7600845</v>
      </c>
      <c r="C128" t="s">
        <v>445</v>
      </c>
      <c r="D128" s="2">
        <v>2</v>
      </c>
      <c r="E128" s="2">
        <v>6</v>
      </c>
      <c r="F128" t="s">
        <v>446</v>
      </c>
      <c r="G128" t="s">
        <v>1356</v>
      </c>
      <c r="H128" t="s">
        <v>1356</v>
      </c>
      <c r="I128" t="s">
        <v>447</v>
      </c>
      <c r="J128"/>
      <c r="K128" t="s">
        <v>444</v>
      </c>
      <c r="L128"/>
      <c r="M128"/>
      <c r="N128" s="18" t="str">
        <f t="shared" si="1"/>
        <v>fabio.oliveira@grupodestaque.com.br; fabricio@grupodestaque.com.br;fabio.oliveira@grupodestaque.com.br; fabricio@grupodestaque.com.br;vendas.francepoa@grupodestaque.com.br;posvendas.francepoa@grupodestaque.com.br;qualidade.renault@grupodestaque.com.br;</v>
      </c>
    </row>
    <row r="129" spans="1:14" hidden="1">
      <c r="A129" s="6"/>
      <c r="B129" s="2">
        <v>7600567</v>
      </c>
      <c r="C129" t="s">
        <v>466</v>
      </c>
      <c r="D129" s="2">
        <v>2</v>
      </c>
      <c r="E129" s="2">
        <v>6</v>
      </c>
      <c r="F129" t="s">
        <v>1357</v>
      </c>
      <c r="G129" t="s">
        <v>427</v>
      </c>
      <c r="H129" t="s">
        <v>1358</v>
      </c>
      <c r="I129" t="s">
        <v>1359</v>
      </c>
      <c r="J129"/>
      <c r="K129" t="s">
        <v>428</v>
      </c>
      <c r="L129"/>
      <c r="M129" t="s">
        <v>1360</v>
      </c>
      <c r="N129" s="18" t="str">
        <f t="shared" si="1"/>
        <v xml:space="preserve">rodrigo@santaemilia.com.br; marcelomagrin@santaemilia.com.br;;rodrigo@santaemilia.com.br;ruiflavio@santaemilia.com.br;vinho@santaemilia.com.br;dado@santaemilia.com.br;;alex.eugenio@santaemilia.com.br;agnaldo.sousa@santaemilia.com.br;nelson.hiroshi@santaemilia.com.br;michele.christofoletti@santaemilia.com.br; </v>
      </c>
    </row>
    <row r="130" spans="1:14" hidden="1">
      <c r="A130" s="6"/>
      <c r="B130" s="2">
        <v>7600614</v>
      </c>
      <c r="C130" t="s">
        <v>471</v>
      </c>
      <c r="D130" s="2">
        <v>2</v>
      </c>
      <c r="E130" s="2">
        <v>6</v>
      </c>
      <c r="F130" t="s">
        <v>472</v>
      </c>
      <c r="G130" t="s">
        <v>427</v>
      </c>
      <c r="H130" t="s">
        <v>1358</v>
      </c>
      <c r="I130" t="s">
        <v>473</v>
      </c>
      <c r="J130"/>
      <c r="K130" t="s">
        <v>428</v>
      </c>
      <c r="L130"/>
      <c r="M130" t="s">
        <v>1360</v>
      </c>
      <c r="N130" s="18" t="str">
        <f t="shared" si="1"/>
        <v xml:space="preserve">rodrigo@santaemilia.com.br; marcelomagrin@santaemilia.com.br;;rodrigo@santaemilia.com.br;ruiflavio@santaemilia.com.br;vinho@santaemilia.com.br;dado@santaemilia.com.br;;thais.guerra@santaemilia.com.br; ;thais.guerra@santaemilia.com.br;nelson.hiroshi@santaemilia.com.br;michele.christofoletti@santaemilia.com.br; </v>
      </c>
    </row>
    <row r="131" spans="1:14" hidden="1">
      <c r="A131" s="6"/>
      <c r="B131" s="2">
        <v>7600519</v>
      </c>
      <c r="C131" t="s">
        <v>425</v>
      </c>
      <c r="D131" s="2">
        <v>2</v>
      </c>
      <c r="E131" s="2">
        <v>6</v>
      </c>
      <c r="F131" t="s">
        <v>1361</v>
      </c>
      <c r="G131" t="s">
        <v>427</v>
      </c>
      <c r="H131" t="s">
        <v>426</v>
      </c>
      <c r="I131" t="s">
        <v>1362</v>
      </c>
      <c r="J131"/>
      <c r="K131" t="s">
        <v>428</v>
      </c>
      <c r="L131"/>
      <c r="M131" t="s">
        <v>1360</v>
      </c>
      <c r="N131" s="18" t="str">
        <f t="shared" si="1"/>
        <v xml:space="preserve">rodrigo@santaemilia.com.br;marcelomagrin@santaemilia.com.br;rodrigo@santaemilia.com.br;ruiflavio@santaemilia.com.br;vinho@santaemilia.com.br;dado@santaemilia.com.br;;marcelo.vancin@santaemilia.com.br ;lucas.costa@santaemilia.com.br;nelson.hiroshi@santaemilia.com.br;michele.christofoletti@santaemilia.com.br; </v>
      </c>
    </row>
    <row r="132" spans="1:14" hidden="1">
      <c r="A132" s="6"/>
      <c r="B132" s="2">
        <v>7600093</v>
      </c>
      <c r="C132" t="s">
        <v>454</v>
      </c>
      <c r="D132" s="2">
        <v>2</v>
      </c>
      <c r="E132" s="2">
        <v>7</v>
      </c>
      <c r="F132"/>
      <c r="G132" t="s">
        <v>449</v>
      </c>
      <c r="H132"/>
      <c r="I132" t="s">
        <v>451</v>
      </c>
      <c r="J132"/>
      <c r="K132" t="s">
        <v>1363</v>
      </c>
      <c r="L132"/>
      <c r="M132" t="s">
        <v>455</v>
      </c>
      <c r="N132" s="18" t="str">
        <f t="shared" ref="N132:N195" si="2">H132&amp;";"&amp;G132&amp;";"&amp;F132&amp;";"&amp;I132&amp;";"&amp;K132&amp;";"&amp;M132</f>
        <v>;rodrigo@armandoveiculos.com.br; fernando@armandoveiculos.com.br;;;Ismael@armandoveiculos.com.br;qualidade@armandoveiculos.com.br; tainarasouza@armandoveiculos.com.br;monicabelice@armandoveiculos.com.br;; cotech_dpedro@armandoveiculos.com.br; ; consultor_dpedro1@armandoveiculos.com.br; consultor_dpedro2@armandoveiculos.com.br</v>
      </c>
    </row>
    <row r="133" spans="1:14" hidden="1">
      <c r="A133" s="6"/>
      <c r="B133" s="2">
        <v>7600713</v>
      </c>
      <c r="C133" t="s">
        <v>456</v>
      </c>
      <c r="D133" s="2">
        <v>2</v>
      </c>
      <c r="E133" s="2">
        <v>7</v>
      </c>
      <c r="F133" t="s">
        <v>459</v>
      </c>
      <c r="G133" t="s">
        <v>458</v>
      </c>
      <c r="H133" t="s">
        <v>457</v>
      </c>
      <c r="I133" t="s">
        <v>451</v>
      </c>
      <c r="J133"/>
      <c r="K133" t="s">
        <v>1363</v>
      </c>
      <c r="L133"/>
      <c r="M133" t="s">
        <v>460</v>
      </c>
      <c r="N133" s="18" t="str">
        <f t="shared" si="2"/>
        <v xml:space="preserve">monicabelice@armandoveiculos.com.br;rodrigo@armandoveiculos.com.br; fernando@armandoveiculos.com.br; lucianocarvalho@armandoveiculos.com.br;elainecarvalho@armandoveiculos.com.br;Ismael@armandoveiculos.com.br;qualidade@armandoveiculos.com.br; tainarasouza@armandoveiculos.com.br;fernando@armandoveiculos.com.br;rodrigo@armandoveiculos.com.br; ; </v>
      </c>
    </row>
    <row r="134" spans="1:14" hidden="1">
      <c r="A134" s="6"/>
      <c r="B134" s="2">
        <v>7600033</v>
      </c>
      <c r="C134" t="s">
        <v>461</v>
      </c>
      <c r="D134" s="2">
        <v>2</v>
      </c>
      <c r="E134" s="2">
        <v>7</v>
      </c>
      <c r="F134" t="s">
        <v>462</v>
      </c>
      <c r="G134" t="s">
        <v>458</v>
      </c>
      <c r="H134" t="s">
        <v>457</v>
      </c>
      <c r="I134" t="s">
        <v>451</v>
      </c>
      <c r="J134"/>
      <c r="K134" t="s">
        <v>1363</v>
      </c>
      <c r="L134"/>
      <c r="M134" t="s">
        <v>463</v>
      </c>
      <c r="N134" s="18" t="str">
        <f t="shared" si="2"/>
        <v>monicabelice@armandoveiculos.com.br;rodrigo@armandoveiculos.com.br; fernando@armandoveiculos.com.br; lucianocarvalho@armandoveiculos.com.br;monicamg1@armandoveiculos.com.br;Ismael@armandoveiculos.com.br;qualidade@armandoveiculos.com.br; tainarasouza@armandoveiculos.com.br;fernando@armandoveiculos.com.br;rodrigo@armandoveiculos.com.br; consultor_ap1@armandoveiculos.com.br; recepcaopv_ap@armandoveiculos.com.br</v>
      </c>
    </row>
    <row r="135" spans="1:14" hidden="1">
      <c r="A135" s="6"/>
      <c r="B135" s="2">
        <v>7600951</v>
      </c>
      <c r="C135" t="s">
        <v>464</v>
      </c>
      <c r="D135" s="2">
        <v>2</v>
      </c>
      <c r="E135" s="2">
        <v>7</v>
      </c>
      <c r="F135"/>
      <c r="G135" t="s">
        <v>449</v>
      </c>
      <c r="H135"/>
      <c r="I135" t="s">
        <v>451</v>
      </c>
      <c r="J135"/>
      <c r="K135" t="s">
        <v>1363</v>
      </c>
      <c r="L135"/>
      <c r="M135" t="s">
        <v>1364</v>
      </c>
      <c r="N135" s="18" t="str">
        <f t="shared" si="2"/>
        <v>;rodrigo@armandoveiculos.com.br; fernando@armandoveiculos.com.br;;;Ismael@armandoveiculos.com.br;qualidade@armandoveiculos.com.br; tainarasouza@armandoveiculos.com.br;monicabelice@armandoveiculos.com.br; biancaalves@armandoveiculos.com.br</v>
      </c>
    </row>
    <row r="136" spans="1:14">
      <c r="A136" s="6"/>
      <c r="B136" s="2">
        <v>7600917</v>
      </c>
      <c r="C136" t="s">
        <v>542</v>
      </c>
      <c r="D136" s="2">
        <v>2</v>
      </c>
      <c r="E136" s="2">
        <v>7</v>
      </c>
      <c r="F136" s="1" t="s">
        <v>1365</v>
      </c>
      <c r="G136" t="s">
        <v>1366</v>
      </c>
      <c r="H136" t="s">
        <v>499</v>
      </c>
      <c r="I136" s="1" t="s">
        <v>1367</v>
      </c>
      <c r="J136"/>
      <c r="K136" s="1" t="s">
        <v>1368</v>
      </c>
      <c r="L136"/>
      <c r="M136" s="1" t="s">
        <v>1369</v>
      </c>
      <c r="N136" s="18" t="str">
        <f t="shared" si="2"/>
        <v>devincer.miguel@rpoint.com.br;alessandro.soldi@automob.com.br;mary.nascimento@rpoint.com.br;helio.soares@sonnervig.com.br;lillian.martins@rpoint.com.br;samira.freitas@rpoint.com.br; robson.frsilva@sonnervig.com.br; marcos.aurelio@rpoint.com.br</v>
      </c>
    </row>
    <row r="137" spans="1:14">
      <c r="A137" s="6"/>
      <c r="B137" s="2">
        <v>7600916</v>
      </c>
      <c r="C137" t="s">
        <v>546</v>
      </c>
      <c r="D137" s="2">
        <v>2</v>
      </c>
      <c r="E137" s="2">
        <v>7</v>
      </c>
      <c r="F137" s="1" t="s">
        <v>1370</v>
      </c>
      <c r="G137" t="s">
        <v>1366</v>
      </c>
      <c r="H137" t="s">
        <v>499</v>
      </c>
      <c r="I137" s="1" t="s">
        <v>1371</v>
      </c>
      <c r="J137"/>
      <c r="K137" s="1" t="s">
        <v>1368</v>
      </c>
      <c r="L137"/>
      <c r="M137" s="1" t="s">
        <v>1372</v>
      </c>
      <c r="N137" s="18" t="str">
        <f t="shared" si="2"/>
        <v>devincer.miguel@rpoint.com.br;alessandro.soldi@automob.com.br;bruno.jannuzzi@rpoint.com.br;helio.soares@sonnervig.com.br; marcos.aurelio@rpoint.com.br;lillian.martins@rpoint.com.br;johnata.rodrigues@rpoint.com.br; robson.frsilva@sonnervig.com.br; marcos.aurelio@rpoint.com.br</v>
      </c>
    </row>
    <row r="138" spans="1:14">
      <c r="A138" s="6"/>
      <c r="B138" s="2">
        <v>7600528</v>
      </c>
      <c r="C138" t="s">
        <v>498</v>
      </c>
      <c r="D138" s="2">
        <v>2</v>
      </c>
      <c r="E138" s="2">
        <v>7</v>
      </c>
      <c r="F138" s="1" t="s">
        <v>1373</v>
      </c>
      <c r="G138" t="s">
        <v>1366</v>
      </c>
      <c r="H138" s="1" t="s">
        <v>499</v>
      </c>
      <c r="I138" s="1" t="s">
        <v>1374</v>
      </c>
      <c r="J138"/>
      <c r="K138" s="1" t="s">
        <v>1368</v>
      </c>
      <c r="L138"/>
      <c r="M138" s="1" t="s">
        <v>1375</v>
      </c>
      <c r="N138" s="18" t="str">
        <f t="shared" si="2"/>
        <v>devincer.miguel@rpoint.com.br;alessandro.soldi@automob.com.br;henrique.franco@rpoint.com.br;helio.soares@sonnervig.com.br; suellen.tavares@rpoint.com.br;lillian.martins@rpoint.com.br;pedro.dcamargo@rpoint.com.br; kelcy.guimaraes@rpoint.com.br; lucas.marcondes@rpoint.com.br; robson.frsilva@sonnervig.com.br; suellen.tavares@rpoint.com.br</v>
      </c>
    </row>
    <row r="139" spans="1:14">
      <c r="A139" s="6"/>
      <c r="B139" s="2">
        <v>7600584</v>
      </c>
      <c r="C139" t="s">
        <v>504</v>
      </c>
      <c r="D139" s="2">
        <v>2</v>
      </c>
      <c r="E139" s="2">
        <v>7</v>
      </c>
      <c r="F139" s="1" t="s">
        <v>1376</v>
      </c>
      <c r="G139" t="s">
        <v>1366</v>
      </c>
      <c r="H139" t="s">
        <v>499</v>
      </c>
      <c r="I139" s="1" t="s">
        <v>1374</v>
      </c>
      <c r="J139"/>
      <c r="K139" s="1" t="s">
        <v>1368</v>
      </c>
      <c r="L139"/>
      <c r="M139" s="1" t="s">
        <v>1377</v>
      </c>
      <c r="N139" s="18" t="str">
        <f t="shared" si="2"/>
        <v>devincer.miguel@rpoint.com.br;alessandro.soldi@automob.com.br;paulo.pinheiro@rpoint.com.br;helio.soares@sonnervig.com.br; suellen.tavares@rpoint.com.br;lillian.martins@rpoint.com.br;claudenir.souza@rpoint.com.br; lucas.beneton@rpoint.com.br; robson.frsilva@sonnervig.com.br; suellen.tavares@rpoint.com.br</v>
      </c>
    </row>
    <row r="140" spans="1:14" hidden="1">
      <c r="A140" s="6"/>
      <c r="B140" s="2">
        <v>7600922</v>
      </c>
      <c r="C140" t="s">
        <v>430</v>
      </c>
      <c r="D140" s="2">
        <v>2</v>
      </c>
      <c r="E140" s="2">
        <v>7</v>
      </c>
      <c r="F140" s="1" t="s">
        <v>1378</v>
      </c>
      <c r="G140" s="1" t="s">
        <v>1379</v>
      </c>
      <c r="H140" s="1" t="s">
        <v>1380</v>
      </c>
      <c r="I140" s="1" t="s">
        <v>1381</v>
      </c>
      <c r="J140"/>
      <c r="K140" s="1" t="s">
        <v>1382</v>
      </c>
      <c r="L140"/>
      <c r="M140"/>
      <c r="N140" s="18" t="str">
        <f t="shared" si="2"/>
        <v>penna@gruposinal.com;alexandre.tarin@gruposinal.com;graziella@gruposinal.com ;wilson.nakasima@gruposinal.com;robson.vieira@gruposinal.com;edson.rodrigues@gruposinal.com;marcello.bruno@gruposinal.com;giovanna.gasparotto@gruposinal.com;pedro.ferreira@gruposinal.com;guilherme.barbosa@gruposinal.com;</v>
      </c>
    </row>
    <row r="141" spans="1:14" hidden="1">
      <c r="A141" s="6"/>
      <c r="B141" s="2">
        <v>7600929</v>
      </c>
      <c r="C141" t="s">
        <v>433</v>
      </c>
      <c r="D141" s="2">
        <v>2</v>
      </c>
      <c r="E141" s="2">
        <v>7</v>
      </c>
      <c r="F141" s="1" t="s">
        <v>1383</v>
      </c>
      <c r="G141" s="1" t="s">
        <v>1379</v>
      </c>
      <c r="H141" s="1" t="s">
        <v>1380</v>
      </c>
      <c r="I141"/>
      <c r="J141"/>
      <c r="K141" s="1" t="s">
        <v>1382</v>
      </c>
      <c r="L141"/>
      <c r="M141"/>
      <c r="N141" s="18" t="str">
        <f t="shared" si="2"/>
        <v>penna@gruposinal.com;alexandre.tarin@gruposinal.com;graziella@gruposinal.com ;cristhian.santos@gruposinal.com;robson.vieira@gruposinal.com;;giovanna.gasparotto@gruposinal.com;pedro.ferreira@gruposinal.com;guilherme.barbosa@gruposinal.com;</v>
      </c>
    </row>
    <row r="142" spans="1:14" hidden="1">
      <c r="A142" s="6"/>
      <c r="B142" s="2">
        <v>7600549</v>
      </c>
      <c r="C142" t="s">
        <v>410</v>
      </c>
      <c r="D142" s="2">
        <v>2</v>
      </c>
      <c r="E142" s="2">
        <v>7</v>
      </c>
      <c r="F142" s="1" t="s">
        <v>1384</v>
      </c>
      <c r="G142" s="1" t="s">
        <v>1379</v>
      </c>
      <c r="H142" s="1" t="s">
        <v>1380</v>
      </c>
      <c r="I142" s="1" t="s">
        <v>1385</v>
      </c>
      <c r="J142"/>
      <c r="K142" s="1" t="s">
        <v>1382</v>
      </c>
      <c r="L142"/>
      <c r="M142"/>
      <c r="N142" s="18" t="str">
        <f t="shared" si="2"/>
        <v>penna@gruposinal.com;alexandre.tarin@gruposinal.com;graziella@gruposinal.com ;sergio.pomelli@gruposinal.com;robson.vieira@gruposinal.com;adriano.moura@gruposinal.com;marcello.bruno@gruposinal.com;giovanna.gasparotto@gruposinal.com;pedro.ferreira@gruposinal.com;guilherme.barbosa@gruposinal.com;</v>
      </c>
    </row>
    <row r="143" spans="1:14" hidden="1">
      <c r="A143" s="6"/>
      <c r="B143" s="2">
        <v>7600939</v>
      </c>
      <c r="C143" t="s">
        <v>435</v>
      </c>
      <c r="D143" s="2">
        <v>2</v>
      </c>
      <c r="E143" s="2">
        <v>7</v>
      </c>
      <c r="F143" s="1" t="s">
        <v>1386</v>
      </c>
      <c r="G143" s="1" t="s">
        <v>1379</v>
      </c>
      <c r="H143" s="1" t="s">
        <v>1380</v>
      </c>
      <c r="I143" s="1" t="s">
        <v>1387</v>
      </c>
      <c r="J143"/>
      <c r="K143" s="1" t="s">
        <v>1382</v>
      </c>
      <c r="L143"/>
      <c r="M143"/>
      <c r="N143" s="18" t="str">
        <f t="shared" si="2"/>
        <v>penna@gruposinal.com;alexandre.tarin@gruposinal.com;graziella@gruposinal.com ;thiago.marcondes@gruposinal.com;robson.vieira@gruposinal.com;thiago.cardoso@gruposinal.com;marcello.bruno@gruposinal.com;giovanna.gasparotto@gruposinal.com;pedro.ferreira@gruposinal.com;guilherme.barbosa@gruposinal.com;</v>
      </c>
    </row>
    <row r="144" spans="1:14" hidden="1">
      <c r="A144" s="6"/>
      <c r="B144" s="2">
        <v>7600819</v>
      </c>
      <c r="C144" t="s">
        <v>1147</v>
      </c>
      <c r="D144" s="2">
        <v>2</v>
      </c>
      <c r="E144" s="2">
        <v>7</v>
      </c>
      <c r="F144" s="1" t="s">
        <v>1388</v>
      </c>
      <c r="G144" s="1" t="s">
        <v>1379</v>
      </c>
      <c r="H144" s="1" t="s">
        <v>1380</v>
      </c>
      <c r="I144" s="1" t="s">
        <v>1389</v>
      </c>
      <c r="J144"/>
      <c r="K144" s="1" t="s">
        <v>1382</v>
      </c>
      <c r="L144"/>
      <c r="M144"/>
      <c r="N144" s="18" t="str">
        <f t="shared" si="2"/>
        <v>penna@gruposinal.com;alexandre.tarin@gruposinal.com;graziella@gruposinal.com ;bruno.souza@gruposinal.com;robson.vieira@gruposinal.com;;andre.naaman@gruposinal.com;marcello.bruno@gruposinal.com;giovanna.gasparotto@gruposinal.com;pedro.ferreira@gruposinal.com;guilherme.barbosa@gruposinal.com;</v>
      </c>
    </row>
    <row r="145" spans="1:14" hidden="1">
      <c r="A145" s="6"/>
      <c r="B145" s="2">
        <v>7600817</v>
      </c>
      <c r="C145" t="s">
        <v>419</v>
      </c>
      <c r="D145" s="2">
        <v>2</v>
      </c>
      <c r="E145" s="2">
        <v>7</v>
      </c>
      <c r="F145" s="1" t="s">
        <v>1390</v>
      </c>
      <c r="G145" s="1" t="s">
        <v>1379</v>
      </c>
      <c r="H145" s="1" t="s">
        <v>1380</v>
      </c>
      <c r="I145" s="1" t="s">
        <v>1391</v>
      </c>
      <c r="J145"/>
      <c r="K145" s="1" t="s">
        <v>1382</v>
      </c>
      <c r="L145"/>
      <c r="M145"/>
      <c r="N145" s="18" t="str">
        <f t="shared" si="2"/>
        <v>penna@gruposinal.com;alexandre.tarin@gruposinal.com;graziella@gruposinal.com ;rodrigo.braz@gruposinal.com;robson.vieira@gruposinal.com;carlos.rey@gruposinal.com;marcello.bruno@gruposinal.com;giovanna.gasparotto@gruposinal.com;pedro.ferreira@gruposinal.com;guilherme.barbosa@gruposinal.com;</v>
      </c>
    </row>
    <row r="146" spans="1:14" hidden="1">
      <c r="A146" s="6"/>
      <c r="B146" s="2">
        <v>7600618</v>
      </c>
      <c r="C146" t="s">
        <v>422</v>
      </c>
      <c r="D146" s="2">
        <v>2</v>
      </c>
      <c r="E146" s="2">
        <v>7</v>
      </c>
      <c r="F146" s="1" t="s">
        <v>1392</v>
      </c>
      <c r="G146" s="1" t="s">
        <v>1379</v>
      </c>
      <c r="H146" s="1" t="s">
        <v>1380</v>
      </c>
      <c r="I146" s="1" t="s">
        <v>1393</v>
      </c>
      <c r="J146"/>
      <c r="K146" s="1" t="s">
        <v>1382</v>
      </c>
      <c r="L146"/>
      <c r="M146"/>
      <c r="N146" s="18" t="str">
        <f t="shared" si="2"/>
        <v>penna@gruposinal.com;alexandre.tarin@gruposinal.com;graziella@gruposinal.com ;alvaro.alves@gruposinal.com;robson.vieira@gruposinal.com;filipe.carvalho@gruposinal.com;marcello.bruno@gruposinal.com;giovanna.gasparotto@gruposinal.com;pedro.ferreira@gruposinal.com;guilherme.barbosa@gruposinal.com;</v>
      </c>
    </row>
    <row r="147" spans="1:14" hidden="1">
      <c r="A147" s="6"/>
      <c r="B147" s="2">
        <v>7600931</v>
      </c>
      <c r="C147" t="s">
        <v>438</v>
      </c>
      <c r="D147" s="2">
        <v>2</v>
      </c>
      <c r="E147" s="2">
        <v>7</v>
      </c>
      <c r="F147" s="1"/>
      <c r="G147" s="1" t="s">
        <v>1379</v>
      </c>
      <c r="H147" s="1" t="s">
        <v>1380</v>
      </c>
      <c r="I147" s="1" t="s">
        <v>1394</v>
      </c>
      <c r="J147"/>
      <c r="K147" s="1" t="s">
        <v>1382</v>
      </c>
      <c r="L147"/>
      <c r="M147"/>
      <c r="N147" s="18" t="str">
        <f t="shared" si="2"/>
        <v>penna@gruposinal.com;alexandre.tarin@gruposinal.com;graziella@gruposinal.com ;;mailson.oliveira@gruposinal.com;marcello.bruno@gruposinal.com;giovanna.gasparotto@gruposinal.com;pedro.ferreira@gruposinal.com;guilherme.barbosa@gruposinal.com;</v>
      </c>
    </row>
    <row r="148" spans="1:14" hidden="1">
      <c r="A148" s="6"/>
      <c r="B148" s="2">
        <v>7600839</v>
      </c>
      <c r="C148" t="s">
        <v>585</v>
      </c>
      <c r="D148" s="2">
        <v>3</v>
      </c>
      <c r="E148" s="2">
        <v>1</v>
      </c>
      <c r="F148" t="s">
        <v>588</v>
      </c>
      <c r="G148" t="s">
        <v>587</v>
      </c>
      <c r="H148" t="s">
        <v>586</v>
      </c>
      <c r="I148" s="1" t="s">
        <v>1395</v>
      </c>
      <c r="J148"/>
      <c r="K148" t="s">
        <v>590</v>
      </c>
      <c r="L148"/>
      <c r="M148" t="s">
        <v>591</v>
      </c>
      <c r="N148" s="18" t="str">
        <f t="shared" si="2"/>
        <v xml:space="preserve">jtjunior@navesa.com.br; ;; jtjunior@navesa.com.br; ; ;leo.soyer@navesa.com.br;marcos.maia@navesa.com.br;keilaaugusta@navesa.com.br;THAMER.MUNIZ@NAVESA.COM.BR; </v>
      </c>
    </row>
    <row r="149" spans="1:14" hidden="1">
      <c r="A149" s="6"/>
      <c r="B149" s="2">
        <v>7600811</v>
      </c>
      <c r="C149" t="s">
        <v>592</v>
      </c>
      <c r="D149" s="2">
        <v>3</v>
      </c>
      <c r="E149" s="2">
        <v>1</v>
      </c>
      <c r="F149"/>
      <c r="G149" t="s">
        <v>594</v>
      </c>
      <c r="H149" t="s">
        <v>593</v>
      </c>
      <c r="I149" t="s">
        <v>595</v>
      </c>
      <c r="J149"/>
      <c r="K149"/>
      <c r="L149"/>
      <c r="M149"/>
      <c r="N149" s="18" t="str">
        <f t="shared" si="2"/>
        <v>romildo@pinauto.com.br;edmoneto@pinauto.com.br; brenopinheiro@pinauto.com.br;;marcos.delgado@pinauto.com.br; vilmar.silva@pinauto.com.br;;</v>
      </c>
    </row>
    <row r="150" spans="1:14" hidden="1">
      <c r="A150" s="6"/>
      <c r="B150" s="2">
        <v>7600832</v>
      </c>
      <c r="C150" t="s">
        <v>596</v>
      </c>
      <c r="D150" s="2">
        <v>3</v>
      </c>
      <c r="E150" s="2">
        <v>1</v>
      </c>
      <c r="F150" t="s">
        <v>598</v>
      </c>
      <c r="G150" t="s">
        <v>597</v>
      </c>
      <c r="H150" t="s">
        <v>597</v>
      </c>
      <c r="I150" t="s">
        <v>599</v>
      </c>
      <c r="J150"/>
      <c r="K150" t="s">
        <v>600</v>
      </c>
      <c r="L150"/>
      <c r="M150"/>
      <c r="N150" s="18" t="str">
        <f t="shared" si="2"/>
        <v>flavio@ravelrenault.com.br;flavio@ravelrenault.com.br;rodrigo@ravelrenault.com.br;ismael@ravelrenault.com.br;crm@ravelrenault.com.br;</v>
      </c>
    </row>
    <row r="151" spans="1:14" hidden="1">
      <c r="A151" s="6"/>
      <c r="B151" s="2">
        <v>7600520</v>
      </c>
      <c r="C151" t="s">
        <v>601</v>
      </c>
      <c r="D151" s="2">
        <v>3</v>
      </c>
      <c r="E151" s="2">
        <v>1</v>
      </c>
      <c r="F151" s="1" t="s">
        <v>1396</v>
      </c>
      <c r="G151" t="s">
        <v>603</v>
      </c>
      <c r="H151" t="s">
        <v>602</v>
      </c>
      <c r="I151"/>
      <c r="J151"/>
      <c r="K151" t="s">
        <v>606</v>
      </c>
      <c r="L151"/>
      <c r="M151" s="1" t="s">
        <v>1397</v>
      </c>
      <c r="N151" s="18" t="str">
        <f t="shared" si="2"/>
        <v>marcio.macedo@tecar.com.br;JHN@TECAR.COM.BR;jordan.dias@tecar.com.br;;luma.campos@tecar.com.br;hugo.costa@tecar.com.br</v>
      </c>
    </row>
    <row r="152" spans="1:14" hidden="1">
      <c r="A152" s="6"/>
      <c r="B152" s="2">
        <v>7600312</v>
      </c>
      <c r="C152" t="s">
        <v>607</v>
      </c>
      <c r="D152" s="2">
        <v>3</v>
      </c>
      <c r="E152" s="2">
        <v>2</v>
      </c>
      <c r="F152" t="s">
        <v>610</v>
      </c>
      <c r="G152" t="s">
        <v>609</v>
      </c>
      <c r="H152" t="s">
        <v>608</v>
      </c>
      <c r="I152" t="s">
        <v>611</v>
      </c>
      <c r="J152"/>
      <c r="K152" t="s">
        <v>612</v>
      </c>
      <c r="L152"/>
      <c r="M152" t="s">
        <v>613</v>
      </c>
      <c r="N152" s="18" t="str">
        <f t="shared" si="2"/>
        <v>vitorleta@grupoleauto.com.br;rodrigoleta@grupoleauto.com.br;gabrielleta@grupoleauto.com.br;rafaelleta@grupoleauto.com.br;alfredoleta@grupoleauto.com.br;marcoleta@grupoleauto.com.br;francescoleta@grupoleauto.com.br;;gervnrab@grupoleauto.com.br;supofrab@grupoleauto.com.br;Qualidade@grupoleauto.com.br;gergeralpv@grupoleauto.com.br;gergeralpc@grupoleauto.com.br</v>
      </c>
    </row>
    <row r="153" spans="1:14" hidden="1">
      <c r="A153" s="6"/>
      <c r="B153" s="2">
        <v>7600013</v>
      </c>
      <c r="C153" t="s">
        <v>614</v>
      </c>
      <c r="D153" s="2">
        <v>3</v>
      </c>
      <c r="E153" s="2">
        <v>2</v>
      </c>
      <c r="F153" t="s">
        <v>616</v>
      </c>
      <c r="G153" t="s">
        <v>615</v>
      </c>
      <c r="H153" t="s">
        <v>608</v>
      </c>
      <c r="I153" t="s">
        <v>617</v>
      </c>
      <c r="J153"/>
      <c r="K153" t="s">
        <v>612</v>
      </c>
      <c r="L153"/>
      <c r="M153" t="s">
        <v>613</v>
      </c>
      <c r="N153" s="18" t="str">
        <f t="shared" si="2"/>
        <v>vitorleta@grupoleauto.com.br;rodrigoleta@grupoleauto.com.br;gabrielleta@grupoleauto.com.br;rafaelleta@grupoleauto.com.br;alfredoleta@grupoleauto.com.br;marcoleta@grupoleauto.com.br;francescoleta@grupoleauto.com.br;gervnrbf@grupoleauto.com.br;gerofbf@grupoleauto.com.br;Qualidade@grupoleauto.com.br;gergeralpv@grupoleauto.com.br;gergeralpc@grupoleauto.com.br</v>
      </c>
    </row>
    <row r="154" spans="1:14" hidden="1">
      <c r="A154" s="6"/>
      <c r="B154" s="2">
        <v>7600526</v>
      </c>
      <c r="C154" t="s">
        <v>618</v>
      </c>
      <c r="D154" s="2">
        <v>3</v>
      </c>
      <c r="E154" s="2">
        <v>2</v>
      </c>
      <c r="F154" t="s">
        <v>619</v>
      </c>
      <c r="G154" t="s">
        <v>609</v>
      </c>
      <c r="H154" t="s">
        <v>608</v>
      </c>
      <c r="I154" t="s">
        <v>620</v>
      </c>
      <c r="J154"/>
      <c r="K154" t="s">
        <v>612</v>
      </c>
      <c r="L154"/>
      <c r="M154" t="s">
        <v>613</v>
      </c>
      <c r="N154" s="18" t="str">
        <f t="shared" si="2"/>
        <v>vitorleta@grupoleauto.com.br;rodrigoleta@grupoleauto.com.br;gabrielleta@grupoleauto.com.br;rafaelleta@grupoleauto.com.br;alfredoleta@grupoleauto.com.br;marcoleta@grupoleauto.com.br;francescoleta@grupoleauto.com.br;;supvnrpe@grupoleauto.com.br;gerofrpe@grupoleauto.com.br;Qualidade@grupoleauto.com.br;gergeralpv@grupoleauto.com.br;gergeralpc@grupoleauto.com.br</v>
      </c>
    </row>
    <row r="155" spans="1:14" hidden="1">
      <c r="A155" s="6"/>
      <c r="B155" s="2">
        <v>7600213</v>
      </c>
      <c r="C155" t="s">
        <v>621</v>
      </c>
      <c r="D155" s="2">
        <v>3</v>
      </c>
      <c r="E155" s="2">
        <v>2</v>
      </c>
      <c r="F155" t="s">
        <v>622</v>
      </c>
      <c r="G155" t="s">
        <v>615</v>
      </c>
      <c r="H155" t="s">
        <v>608</v>
      </c>
      <c r="I155" t="s">
        <v>623</v>
      </c>
      <c r="J155"/>
      <c r="K155" t="s">
        <v>612</v>
      </c>
      <c r="L155"/>
      <c r="M155" t="s">
        <v>613</v>
      </c>
      <c r="N155" s="18" t="str">
        <f t="shared" si="2"/>
        <v>vitorleta@grupoleauto.com.br;rodrigoleta@grupoleauto.com.br;gabrielleta@grupoleauto.com.br;rafaelleta@grupoleauto.com.br;alfredoleta@grupoleauto.com.br;marcoleta@grupoleauto.com.br;francescoleta@grupoleauto.com.br;supvnrtj@grupoleauto.com.br;geroftj@grupoleauto.com.br;Qualidade@grupoleauto.com.br;gergeralpv@grupoleauto.com.br;gergeralpc@grupoleauto.com.br</v>
      </c>
    </row>
    <row r="156" spans="1:14" hidden="1">
      <c r="A156" s="6"/>
      <c r="B156" s="2">
        <v>7600592</v>
      </c>
      <c r="C156" t="s">
        <v>624</v>
      </c>
      <c r="D156" s="2">
        <v>3</v>
      </c>
      <c r="E156" s="2">
        <v>2</v>
      </c>
      <c r="F156" t="s">
        <v>627</v>
      </c>
      <c r="G156" t="s">
        <v>626</v>
      </c>
      <c r="H156" t="s">
        <v>625</v>
      </c>
      <c r="I156" t="s">
        <v>628</v>
      </c>
      <c r="J156"/>
      <c r="K156"/>
      <c r="L156"/>
      <c r="M156" t="s">
        <v>629</v>
      </c>
      <c r="N156" s="18" t="str">
        <f t="shared" si="2"/>
        <v>guilherme@levarenault.com.br;carolina@levarenault.com.br;joao@levarenault.com.br;diretoria@levarenault.com.br;gvn@levarenault.com.br;rpv@levarenault.com.br;;oficina@levarenault.com.br; controller@levarenault.com.br</v>
      </c>
    </row>
    <row r="157" spans="1:14" hidden="1">
      <c r="A157" s="6"/>
      <c r="B157" s="2">
        <v>7601201</v>
      </c>
      <c r="C157" t="s">
        <v>630</v>
      </c>
      <c r="D157" s="2">
        <v>3</v>
      </c>
      <c r="E157" s="2">
        <v>2</v>
      </c>
      <c r="F157" t="s">
        <v>633</v>
      </c>
      <c r="G157" t="s">
        <v>632</v>
      </c>
      <c r="H157" t="s">
        <v>631</v>
      </c>
      <c r="I157" t="s">
        <v>628</v>
      </c>
      <c r="J157"/>
      <c r="K157"/>
      <c r="L157"/>
      <c r="M157" t="s">
        <v>634</v>
      </c>
      <c r="N157" s="18" t="str">
        <f t="shared" si="2"/>
        <v>guilherme@levarenault.com.br; rpv@levarenault.com.br;carolina@levarenault.com.br;ti2@levarenault.com.br; rpv@levarenault.com.br;rpv@levarenault.com.br;;controller@levarenault.com.br</v>
      </c>
    </row>
    <row r="158" spans="1:14" hidden="1">
      <c r="A158" s="6"/>
      <c r="B158" s="2">
        <v>7601104</v>
      </c>
      <c r="C158" t="s">
        <v>635</v>
      </c>
      <c r="D158" s="2">
        <v>3</v>
      </c>
      <c r="E158" s="2">
        <v>2</v>
      </c>
      <c r="F158" t="s">
        <v>637</v>
      </c>
      <c r="G158" t="s">
        <v>636</v>
      </c>
      <c r="H158"/>
      <c r="I158" t="s">
        <v>637</v>
      </c>
      <c r="J158"/>
      <c r="K158" t="s">
        <v>638</v>
      </c>
      <c r="L158"/>
      <c r="M158" t="s">
        <v>639</v>
      </c>
      <c r="N158" s="18" t="str">
        <f t="shared" si="2"/>
        <v>;maxwelllage@grupomulticar.com.br;;gerentepvgv.re@grupomulticar.com.br;gerentepvgv.re@grupomulticar.com.br;qualidade.gv@kobeveiculos.com.br; comercial.re@grupomulticar.com.br; gerentepvgv.re@grupomulticar.com.br; wagner.g@kobeveiculos.com.br; qualidade.gv@kobeveiculos.com.br;cotechgv.re@grupomulticar.com.br; qualidade.gv@kobeveiculos.com.br;</v>
      </c>
    </row>
    <row r="159" spans="1:14" hidden="1">
      <c r="A159" s="6"/>
      <c r="B159" s="2">
        <v>7600249</v>
      </c>
      <c r="C159" t="s">
        <v>640</v>
      </c>
      <c r="D159" s="2">
        <v>3</v>
      </c>
      <c r="E159" s="2">
        <v>2</v>
      </c>
      <c r="F159" t="s">
        <v>1398</v>
      </c>
      <c r="G159" t="s">
        <v>641</v>
      </c>
      <c r="H159" s="1" t="s">
        <v>1399</v>
      </c>
      <c r="I159" t="s">
        <v>1400</v>
      </c>
      <c r="J159"/>
      <c r="K159" t="s">
        <v>1401</v>
      </c>
      <c r="L159"/>
      <c r="M159" t="s">
        <v>645</v>
      </c>
      <c r="N159" s="18" t="str">
        <f t="shared" si="2"/>
        <v>marcio.macedo@tecar.com.br;Leo.pascoal@tecar.com.br;jhn@tecar.com.br; jmn@tecar.com.br;;piter.rodrigues@tecar.com.br; jackeline.silva@tecar.com.br; eudes.silva@tecar.com.br;piter.rodrigues@tecar.com.br; divina.silva@tecar.com.br;jackeline.silva@tecar.com.br; beatriz.lopes@tecar.com.br;osmano.alves@tecar.com.br; maria.nazare@tecar.com.br</v>
      </c>
    </row>
    <row r="160" spans="1:14" hidden="1">
      <c r="A160" s="6"/>
      <c r="B160" s="2">
        <v>7600770</v>
      </c>
      <c r="C160" t="s">
        <v>646</v>
      </c>
      <c r="D160" s="2">
        <v>3</v>
      </c>
      <c r="E160" s="2">
        <v>3</v>
      </c>
      <c r="F160" t="s">
        <v>648</v>
      </c>
      <c r="G160" t="s">
        <v>647</v>
      </c>
      <c r="H160"/>
      <c r="I160" t="s">
        <v>649</v>
      </c>
      <c r="J160"/>
      <c r="K160" t="s">
        <v>650</v>
      </c>
      <c r="L160"/>
      <c r="M160" t="s">
        <v>651</v>
      </c>
      <c r="N160" s="18" t="str">
        <f t="shared" si="2"/>
        <v xml:space="preserve">;geraldo.oggioni@grupoautomotive.com.br;joao@grupoautomotive.com.br;rita.oggioni@grupoautomotive.com.br;;g2.pv@renaultautofrance.com.br;g2.pv@renaultautofrance.com.br; pv1@grupoautomotive.com.br;; qualidade@grupoautomotive.com.br; fabio@grupoautomotive.com.br; aux.qualidade2@grupoautomotive.com.br; aux.qualidade@grupoautomotive.com.br;g2.cotech@renaultautofrance.com.br; pv1@grupoautomotive.com.br; g1.pv@renaultautofrance.com.br; g2.pv@renaultautofrance.com.br; g7.pv@renaultautofrance.com.br;  g10.pv@renaultautofrance.com.br; g1.vn@renaultautofrance.com.br; g2.vn@renaultautofrance.com.br;  g7.vn@renaultautofrance.com.br; g10.vn@renaultautofrance.com.br; qualidade@grupoautomotive.com.br; ;  </v>
      </c>
    </row>
    <row r="161" spans="1:14" hidden="1">
      <c r="A161" s="6"/>
      <c r="B161" s="2">
        <v>7600690</v>
      </c>
      <c r="C161" t="s">
        <v>652</v>
      </c>
      <c r="D161" s="2">
        <v>3</v>
      </c>
      <c r="E161" s="2">
        <v>3</v>
      </c>
      <c r="F161" t="s">
        <v>654</v>
      </c>
      <c r="G161" t="s">
        <v>653</v>
      </c>
      <c r="H161"/>
      <c r="I161" t="s">
        <v>655</v>
      </c>
      <c r="J161"/>
      <c r="K161" t="s">
        <v>650</v>
      </c>
      <c r="L161"/>
      <c r="M161" t="s">
        <v>656</v>
      </c>
      <c r="N161" s="18" t="str">
        <f t="shared" si="2"/>
        <v xml:space="preserve">;geraldo.oggioni@grupoautomotive.com.br;bharbara@grupoautomotive.com.br;rita.oggioni@grupoautomotive.com.br;joao@grupoautomotive.com.br;;g1.pv@renaultautofrance.com.br;g1.pv@renaultautofrance.com.br; pv1@grupoautomotive.com.br;; qualidade@grupoautomotive.com.br; fabio@grupoautomotive.com.br; aux.qualidade2@grupoautomotive.com.br; aux.qualidade@grupoautomotive.com.br;g1.cotech@renaultautofrance.com.br; pv1@grupoautomotive.com.br; g1.pv@renaultautofrance.com.br; g2.pv@renaultautofrance.com.br; g7.pv@renaultautofrance.com.br;  g10.pv@renaultautofrance.com.br; g1.vn@renaultautofrance.com.br; g2.vn@renaultautofrance.com.br;  g7.vn@renaultautofrance.com.br; g10.vn@renaultautofrance.com.br; qualidade@grupoautomotive.com.br; ;  </v>
      </c>
    </row>
    <row r="162" spans="1:14" hidden="1">
      <c r="A162" s="6"/>
      <c r="B162" s="2">
        <v>7600820</v>
      </c>
      <c r="C162" t="s">
        <v>657</v>
      </c>
      <c r="D162" s="2">
        <v>3</v>
      </c>
      <c r="E162" s="2">
        <v>3</v>
      </c>
      <c r="F162" t="s">
        <v>659</v>
      </c>
      <c r="G162" t="s">
        <v>658</v>
      </c>
      <c r="H162"/>
      <c r="I162" t="s">
        <v>660</v>
      </c>
      <c r="J162"/>
      <c r="K162" t="s">
        <v>650</v>
      </c>
      <c r="L162"/>
      <c r="M162" t="s">
        <v>661</v>
      </c>
      <c r="N162" s="18" t="str">
        <f t="shared" si="2"/>
        <v xml:space="preserve">;geraldo.oggioni@grupoautomotive.com.br;rita.oggioni@grupoautomotive.com.br;joao@grupoautomotive.com.br;;g10.pv@renaultautofrance.com.br;g10.pv@renaultautofrance.com.br; pv1@grupoautomotive.com.br;; qualidade@grupoautomotive.com.br; fabio@grupoautomotive.com.br; aux.qualidade2@grupoautomotive.com.br; aux.qualidade@grupoautomotive.com.br;pv1@grupoautomotive.com.br; g1.pv@renaultautofrance.com.br; g2.pv@renaultautofrance.com.br; g7.pv@renaultautofrance.com.br;  g10.pv@renaultautofrance.com.br; g1.vn@renaultautofrance.com.br; g2.vn@renaultautofrance.com.br;  g7.vn@renaultautofrance.com.br; g10.vn@renaultautofrance.com.br; qualidade@grupoautomotive.com.br; ;  </v>
      </c>
    </row>
    <row r="163" spans="1:14" hidden="1">
      <c r="A163" s="6"/>
      <c r="B163" s="2">
        <v>7600813</v>
      </c>
      <c r="C163" t="s">
        <v>662</v>
      </c>
      <c r="D163" s="2">
        <v>3</v>
      </c>
      <c r="E163" s="2">
        <v>3</v>
      </c>
      <c r="F163" t="s">
        <v>663</v>
      </c>
      <c r="G163" t="s">
        <v>658</v>
      </c>
      <c r="H163"/>
      <c r="I163" t="s">
        <v>664</v>
      </c>
      <c r="J163"/>
      <c r="K163" t="s">
        <v>650</v>
      </c>
      <c r="L163"/>
      <c r="M163" t="s">
        <v>665</v>
      </c>
      <c r="N163" s="18" t="str">
        <f t="shared" si="2"/>
        <v xml:space="preserve">;geraldo.oggioni@grupoautomotive.com.br;rita.oggioni@grupoautomotive.com.br;joao@grupoautomotive.com.br;;g7.pv@renaultautofrance.com.br&gt;;g7.pv@renaultautofrance.com.br; pv1@grupoautomotive.com.br;; qualidade@grupoautomotive.com.br; fabio@grupoautomotive.com.br; aux.qualidade2@grupoautomotive.com.br; aux.qualidade@grupoautomotive.com.br;; pv1@grupoautomotive.com.br; g1.pv@renaultautofrance.com.br; g2.pv@renaultautofrance.com.br; g7.pv@renaultautofrance.com.br;  g10.pv@renaultautofrance.com.br; g1.vn@renaultautofrance.com.br; g2.vn@renaultautofrance.com.br;  g7.vn@renaultautofrance.com.br; g10.vn@renaultautofrance.com.br; qualidade@grupoautomotive.com.br; ;  </v>
      </c>
    </row>
    <row r="164" spans="1:14" ht="17.100000000000001" hidden="1" customHeight="1">
      <c r="A164" s="6"/>
      <c r="B164" s="2">
        <v>7601134</v>
      </c>
      <c r="C164" t="s">
        <v>666</v>
      </c>
      <c r="D164" s="2">
        <v>3</v>
      </c>
      <c r="E164" s="2">
        <v>3</v>
      </c>
      <c r="F164" t="s">
        <v>1402</v>
      </c>
      <c r="G164" t="s">
        <v>1403</v>
      </c>
      <c r="H164" s="1" t="s">
        <v>1404</v>
      </c>
      <c r="I164" t="s">
        <v>670</v>
      </c>
      <c r="J164"/>
      <c r="K164" s="1" t="s">
        <v>1405</v>
      </c>
      <c r="L164"/>
      <c r="M164" s="369" t="s">
        <v>1406</v>
      </c>
      <c r="N164" s="18" t="str">
        <f t="shared" si="2"/>
        <v>sandro.of@azzurranet.com.br;bruno.vn@azzurranet.com.br;leandro.pc@azzurranet.com.br;lellopepe@azzurranet.com.br; pasquale@azzurranet.com.br;hugo@azzurranet.com.br;stefano@azzurranet.com.br;rafael.vn@azzurranet.com.br; vendas.barra@azzurranet.com.br;julio.of@azzurranet.com.br;aline.cqa@azzurranet.com.br;sabrina.cqa@azzurranet.com.br;vitoria.cqa@azzurranet.com.br;jessica.cqa@azzurranet.com.br;juliana.rh@azzurranet.com.br;ana.sac@azzurranet.com.br;eliene.crm@azzurranet.com.br;lucas@azzurranet.com.br</v>
      </c>
    </row>
    <row r="165" spans="1:14" ht="17.45" hidden="1" customHeight="1">
      <c r="A165" s="6"/>
      <c r="B165" s="2">
        <v>7600968</v>
      </c>
      <c r="C165" t="s">
        <v>673</v>
      </c>
      <c r="D165" s="2">
        <v>3</v>
      </c>
      <c r="E165" s="2">
        <v>3</v>
      </c>
      <c r="F165" s="1" t="s">
        <v>1407</v>
      </c>
      <c r="G165" t="s">
        <v>668</v>
      </c>
      <c r="H165" t="s">
        <v>667</v>
      </c>
      <c r="I165" t="s">
        <v>675</v>
      </c>
      <c r="J165"/>
      <c r="K165" t="s">
        <v>671</v>
      </c>
      <c r="L165"/>
      <c r="M165" s="369" t="s">
        <v>1408</v>
      </c>
      <c r="N165" s="18" t="str">
        <f t="shared" si="2"/>
        <v>sandro.of@azzurranet.com.br;
bruno.vn@azzurranet.com.br;
leandro.pc@azzurranet.com.br;lellopepe@azzurranet.com.br; 
pasquale@azzurranet.com.br;
hugo@azzurranet.com.br;
stefano@azzurranet.com.br;vinicius.vn@azzurranet.com.br;eduardo.of@azzurranet.com.br;aline.cqa@azzurranet.com.br;
sabrina.cqa@azzurranet.com.br;
vitoria.cqa@azzurranet.com.br;
jessica.cqa@azzurranet.com.br;juliana.rh@azzurranet.com.br;lucas@azzurranet.com.br;ana.sac@azzurranet.com.br;eliene.crm@azzurranet.com.br</v>
      </c>
    </row>
    <row r="166" spans="1:14" ht="15.6" hidden="1" customHeight="1">
      <c r="B166" s="2">
        <v>7600878</v>
      </c>
      <c r="C166" t="s">
        <v>1156</v>
      </c>
      <c r="D166" s="2">
        <v>3</v>
      </c>
      <c r="E166" s="2">
        <v>3</v>
      </c>
      <c r="F166" t="s">
        <v>1409</v>
      </c>
      <c r="G166" s="1" t="s">
        <v>1410</v>
      </c>
      <c r="H166" s="1" t="s">
        <v>1404</v>
      </c>
      <c r="I166" s="1" t="s">
        <v>1411</v>
      </c>
      <c r="J166"/>
      <c r="K166" s="1" t="s">
        <v>1405</v>
      </c>
      <c r="L166"/>
      <c r="M166" s="369" t="s">
        <v>1412</v>
      </c>
      <c r="N166" t="str">
        <f t="shared" si="2"/>
        <v>sandro.of@azzurranet.com.br;bruno.vn@azzurranet.com.br;leandro.pc@azzurranet.com.br;lellopepe@azzurranet.com.br;pasquale@azzurranet.com.br;hugo@azzurranet.com.br;stefano@azzurranet.com.br;rafaelmoreno.vn@azzurranet.com.br; vendas.rcg@azzurranet.com.br;gerenterenaultcg.of@azzurranet.com.br;aline.cqa@azzurranet.com.br;sabrina.cqa@azzurranet.com.br;vitoria.cqa@azzurranet.com.br;jessica.cqa@azzurranet.com.br;juliana.rh@azzurranet.com.br;ana.sac@azzurranet.com.br;eliene.crm@azzurranet.com.br;escvendascg@azzurranet.com.br;esc.renaultcg@azzurranet.com.br;lucas@azzurranet.com.br</v>
      </c>
    </row>
    <row r="167" spans="1:14" hidden="1">
      <c r="A167" s="6"/>
      <c r="B167" s="2">
        <v>7601188</v>
      </c>
      <c r="C167" t="s">
        <v>682</v>
      </c>
      <c r="D167" s="2">
        <v>3</v>
      </c>
      <c r="E167" s="2">
        <v>3</v>
      </c>
      <c r="F167" t="s">
        <v>684</v>
      </c>
      <c r="G167" t="s">
        <v>683</v>
      </c>
      <c r="H167"/>
      <c r="I167" t="s">
        <v>685</v>
      </c>
      <c r="J167"/>
      <c r="K167" t="s">
        <v>1413</v>
      </c>
      <c r="L167"/>
      <c r="M167"/>
      <c r="N167" s="18" t="str">
        <f t="shared" si="2"/>
        <v>;felippe.mota@renaultdijon.com.br; aloisio@renaultdijon.com.br;gvendas@renaultdijon.com.br; gvendasdiv@renaultdijon.com.br;aloisio@renaultdijon.com.br; gpvdiv@renaultdijon.com.br;jacqueline.nunes@nissannagai.com.br; admindijondiv@renaultdijon.com.br; maria.santos@renaultdijon.com.br;</v>
      </c>
    </row>
    <row r="168" spans="1:14" hidden="1">
      <c r="A168" s="6"/>
      <c r="B168" s="2">
        <v>7600417</v>
      </c>
      <c r="C168" t="s">
        <v>687</v>
      </c>
      <c r="D168" s="2">
        <v>3</v>
      </c>
      <c r="E168" s="2">
        <v>3</v>
      </c>
      <c r="F168" t="s">
        <v>1414</v>
      </c>
      <c r="G168" t="s">
        <v>683</v>
      </c>
      <c r="H168"/>
      <c r="I168" t="s">
        <v>1415</v>
      </c>
      <c r="J168"/>
      <c r="K168" t="s">
        <v>1416</v>
      </c>
      <c r="L168"/>
      <c r="M168"/>
      <c r="N168" s="18" t="str">
        <f t="shared" si="2"/>
        <v>;felippe.mota@renaultdijon.com.br; aloisio@renaultdijon.com.br;gvendas@renaultdijon.com.br; gvendasjf@renaultdijon.com.br;aloisio@renaultdijon.com.br; gpv@renaultdijon.com.br;joaovitor@renaultdijon.com.br;jocemara@renaultdijon.com.br;;</v>
      </c>
    </row>
    <row r="169" spans="1:14" hidden="1">
      <c r="A169" s="6"/>
      <c r="B169" s="2">
        <v>7601109</v>
      </c>
      <c r="C169" t="s">
        <v>691</v>
      </c>
      <c r="D169" s="2">
        <v>3</v>
      </c>
      <c r="E169" s="2">
        <v>3</v>
      </c>
      <c r="F169" t="s">
        <v>692</v>
      </c>
      <c r="G169" t="s">
        <v>683</v>
      </c>
      <c r="H169"/>
      <c r="I169" t="s">
        <v>1415</v>
      </c>
      <c r="J169"/>
      <c r="K169" t="s">
        <v>693</v>
      </c>
      <c r="L169"/>
      <c r="M169"/>
      <c r="N169" s="18" t="str">
        <f t="shared" si="2"/>
        <v>;felippe.mota@renaultdijon.com.br; aloisio@renaultdijon.com.br;gvendas@renaultdijon.com.br; vendasuba@renaultdijon.com.br;aloisio@renaultdijon.com.br; gpv@renaultdijon.com.br;joaovitor@renaultdijon.com.br;jocemara@renaultdijon.com.br; assistenteuba@renaultdijon.com.br;</v>
      </c>
    </row>
    <row r="170" spans="1:14" hidden="1">
      <c r="A170" s="6"/>
      <c r="B170" s="2">
        <v>7600848</v>
      </c>
      <c r="C170" t="s">
        <v>694</v>
      </c>
      <c r="D170" s="2">
        <v>3</v>
      </c>
      <c r="E170" s="2">
        <v>3</v>
      </c>
      <c r="F170" t="s">
        <v>696</v>
      </c>
      <c r="G170"/>
      <c r="H170" t="s">
        <v>1417</v>
      </c>
      <c r="I170" t="s">
        <v>697</v>
      </c>
      <c r="J170"/>
      <c r="K170" t="s">
        <v>698</v>
      </c>
      <c r="L170"/>
      <c r="M170"/>
      <c r="N170" s="18" t="str">
        <f t="shared" si="2"/>
        <v>breno@gruponasa.com.br; marcius.pimenta@gruponasa.com.br;;celio.junior@gruponasa.com.br;;thayrine.pereira@gruponasa.com.br;;gabryelle.rodrigues@gruponasa.com.br;</v>
      </c>
    </row>
    <row r="171" spans="1:14" hidden="1">
      <c r="A171" s="6"/>
      <c r="B171" s="2">
        <v>7601180</v>
      </c>
      <c r="C171" t="s">
        <v>699</v>
      </c>
      <c r="D171" s="2">
        <v>3</v>
      </c>
      <c r="E171" s="2">
        <v>4</v>
      </c>
      <c r="F171" t="s">
        <v>701</v>
      </c>
      <c r="G171" t="s">
        <v>700</v>
      </c>
      <c r="H171"/>
      <c r="I171"/>
      <c r="J171"/>
      <c r="K171" t="s">
        <v>702</v>
      </c>
      <c r="L171"/>
      <c r="M171" t="s">
        <v>703</v>
      </c>
      <c r="N171" s="18" t="str">
        <f t="shared" si="2"/>
        <v>;wagner.orletti@grupoorletti.com.br;willian.orletti@grupoorletti.com.br;;andre.bessi@orvelrenault.com.br;; huewerton.braganca@grupoorletti.com.br;; max.erikson@orvelrenault.com.br; joao.rodrigues@grupoorletti.com.br; max.erikson@orvelrenault.com.br; sabrina.borges@orvelrenault.com.br; bruno.fortes@orvelrenault.com.br; ;  ; hudson.junior@orvelrenault.com.br;</v>
      </c>
    </row>
    <row r="172" spans="1:14" hidden="1">
      <c r="A172" s="6"/>
      <c r="B172" s="2">
        <v>7600875</v>
      </c>
      <c r="C172" t="s">
        <v>707</v>
      </c>
      <c r="D172" s="2">
        <v>3</v>
      </c>
      <c r="E172" s="2">
        <v>4</v>
      </c>
      <c r="F172"/>
      <c r="G172" t="s">
        <v>700</v>
      </c>
      <c r="H172" t="s">
        <v>708</v>
      </c>
      <c r="I172" t="s">
        <v>709</v>
      </c>
      <c r="J172"/>
      <c r="K172" t="s">
        <v>710</v>
      </c>
      <c r="L172"/>
      <c r="M172" t="s">
        <v>711</v>
      </c>
      <c r="N172" s="18" t="str">
        <f t="shared" si="2"/>
        <v>;wagner.orletti@grupoorletti.com.br;wagner.orletti@grupoorletti.com.br;wagner.orletti@grupoorletti.com.br;willian.orletti@grupoorletti.com.br;;;antonio.rosa@orvelrenault.com.br;sabrina.borges@orvelrenault.com.br;  huewerton.braganca@grupoorletti.com.br;; joao.rodrigues@grupoorletti.com.br; max.erikson@orvelrenault.com.br;  sabrina.borges@orvelrenault.com.br; bruno.fortes@orvelrenault.com.br; ;  ; hudson.junior@orvelrenault.com.br; taendri.cardozo@orvelrenault.com.br</v>
      </c>
    </row>
    <row r="173" spans="1:14" hidden="1">
      <c r="A173" s="6"/>
      <c r="B173" s="2">
        <v>7600826</v>
      </c>
      <c r="C173" t="s">
        <v>712</v>
      </c>
      <c r="D173" s="2">
        <v>3</v>
      </c>
      <c r="E173" s="2">
        <v>4</v>
      </c>
      <c r="F173" t="s">
        <v>713</v>
      </c>
      <c r="G173" t="s">
        <v>700</v>
      </c>
      <c r="H173" t="s">
        <v>708</v>
      </c>
      <c r="I173" t="s">
        <v>709</v>
      </c>
      <c r="J173"/>
      <c r="K173" t="s">
        <v>710</v>
      </c>
      <c r="L173"/>
      <c r="M173" t="s">
        <v>714</v>
      </c>
      <c r="N173" s="18" t="str">
        <f t="shared" si="2"/>
        <v>;wagner.orletti@grupoorletti.com.br;wagner.orletti@grupoorletti.com.br;wagner.orletti@grupoorletti.com.br;willian.orletti@grupoorletti.com.br;;francisco.junior@orvelrenault.com.br;antonio.rosa@orvelrenault.com.br;sabrina.borges@orvelrenault.com.br;  huewerton.braganca@grupoorletti.com.br;; alexandre.barroso@orvelrenault.com.br; joao.rodrigues@grupoorletti.com.br; max.erikson@orvelrenault.com.br;  sabrina.borges@orvelrenault.com.br; bruno.fortes@orvelrenault.com.br; ;  ; hudson.junior@orvelrenault.com.br; taendri.cardozo@orvelrenault.com.br</v>
      </c>
    </row>
    <row r="174" spans="1:14" hidden="1">
      <c r="A174" s="6"/>
      <c r="B174" s="2">
        <v>7601179</v>
      </c>
      <c r="C174" t="s">
        <v>715</v>
      </c>
      <c r="D174" s="2">
        <v>3</v>
      </c>
      <c r="E174" s="2">
        <v>4</v>
      </c>
      <c r="F174" t="s">
        <v>716</v>
      </c>
      <c r="G174" t="s">
        <v>700</v>
      </c>
      <c r="H174"/>
      <c r="I174" t="s">
        <v>705</v>
      </c>
      <c r="J174"/>
      <c r="K174" t="s">
        <v>702</v>
      </c>
      <c r="L174"/>
      <c r="M174" t="s">
        <v>717</v>
      </c>
      <c r="N174" s="18" t="str">
        <f t="shared" si="2"/>
        <v>;wagner.orletti@grupoorletti.com.br;willian.orletti@grupoorletti.com.br;;hudson.junior@orvelrenault.com.br;max.erikson@orvelrenault.com.br; huewerton.braganca@grupoorletti.com.br;;joao.rodrigues@grupoorletti.com.br; max.erikson@orvelrenault.com.br;  sabrina.borges@orvelrenault.com.br; bruno.fortes@orvelrenault.com.br; ;  ; hudson.junior@orvelrenault.com.br; taendri.cardozo@orvelrenault.com.br</v>
      </c>
    </row>
    <row r="175" spans="1:14" hidden="1">
      <c r="A175" s="6"/>
      <c r="B175" s="2">
        <v>7600822</v>
      </c>
      <c r="C175" t="s">
        <v>718</v>
      </c>
      <c r="D175" s="2">
        <v>3</v>
      </c>
      <c r="E175" s="2">
        <v>4</v>
      </c>
      <c r="F175" t="s">
        <v>720</v>
      </c>
      <c r="G175" t="s">
        <v>700</v>
      </c>
      <c r="H175" t="s">
        <v>719</v>
      </c>
      <c r="I175" t="s">
        <v>705</v>
      </c>
      <c r="J175"/>
      <c r="K175" t="s">
        <v>710</v>
      </c>
      <c r="L175"/>
      <c r="M175" t="s">
        <v>721</v>
      </c>
      <c r="N175" s="18" t="str">
        <f t="shared" si="2"/>
        <v>;wagner.orletti@grupoorletti.com.br;;wagner.orletti@grupoorletti.com.br;willian.orletti@grupoorletti.com.br;;sabrina.borges@orvelrenault.com.br;max.erikson@orvelrenault.com.br;sabrina.borges@orvelrenault.com.br;  huewerton.braganca@grupoorletti.com.br;; joao.rodrigues@grupoorletti.com.br; max.erikson@orvelrenault.com.br; sabrina.borges@orvelrenault.com.br; bruno.fortes@orvelrenault.com.br; ;  ; hudson.junior@orvelrenault.com.br; taendri.cardozo@orvelrenault.com.br</v>
      </c>
    </row>
    <row r="176" spans="1:14" hidden="1">
      <c r="A176" s="6"/>
      <c r="B176" s="2">
        <v>7600726</v>
      </c>
      <c r="C176" t="s">
        <v>722</v>
      </c>
      <c r="D176" s="2">
        <v>3</v>
      </c>
      <c r="E176" s="2">
        <v>4</v>
      </c>
      <c r="F176" s="369" t="s">
        <v>1418</v>
      </c>
      <c r="G176" s="1" t="s">
        <v>1419</v>
      </c>
      <c r="H176" t="s">
        <v>1420</v>
      </c>
      <c r="I176" s="1" t="s">
        <v>1421</v>
      </c>
      <c r="J176"/>
      <c r="K176" s="1" t="s">
        <v>1422</v>
      </c>
      <c r="L176"/>
      <c r="M176" t="s">
        <v>1423</v>
      </c>
      <c r="N176" s="18" t="str">
        <f t="shared" si="2"/>
        <v xml:space="preserve">fernando.barros@premierveiculos.com.br; ronaldo@premierveiculos.com.br ;leandro@premierveiculos.com.br ;ricardo.ramalho@premierveiculos.com.br;marcos.milanez@grupopremierveiculos.com.br;jackeline.araujo@grupopremierveiculos.com.br;alex@premierveiculos.com.br; emanuel.melo@grupopremierveiculos.com.br; luiz.lopes@grupopremierveiculos.com.br;thalia.souza@premierveiculos.com.br </v>
      </c>
    </row>
    <row r="177" spans="1:14" hidden="1">
      <c r="A177" s="6"/>
      <c r="B177" s="2">
        <v>7601038</v>
      </c>
      <c r="C177" t="s">
        <v>1424</v>
      </c>
      <c r="D177" s="2">
        <v>3</v>
      </c>
      <c r="E177" s="2">
        <v>5</v>
      </c>
      <c r="F177" s="1" t="s">
        <v>1425</v>
      </c>
      <c r="G177" s="1" t="s">
        <v>1426</v>
      </c>
      <c r="H177" s="1" t="s">
        <v>1427</v>
      </c>
      <c r="I177" s="1" t="s">
        <v>1428</v>
      </c>
      <c r="J177"/>
      <c r="K177" s="1" t="s">
        <v>1429</v>
      </c>
      <c r="L177"/>
      <c r="M177"/>
      <c r="N177" s="18" t="str">
        <f t="shared" si="2"/>
        <v>ericson.silva@grupojorlan.com;;luis.fernando@grupojorlan.com;ivan.amaral@grupojorlan.com;bruno.cesario@grupojorlan.com;ana.louzeiro@grupojorlan.com; ana.braz@grupojorlan.com;</v>
      </c>
    </row>
    <row r="178" spans="1:14" hidden="1">
      <c r="A178" s="6"/>
      <c r="B178" s="2">
        <v>7601128</v>
      </c>
      <c r="C178" t="s">
        <v>1430</v>
      </c>
      <c r="D178" s="2">
        <v>3</v>
      </c>
      <c r="E178" s="2">
        <v>5</v>
      </c>
      <c r="F178" s="1" t="s">
        <v>1431</v>
      </c>
      <c r="G178" s="1" t="s">
        <v>1426</v>
      </c>
      <c r="H178" s="1" t="s">
        <v>1427</v>
      </c>
      <c r="I178" s="1" t="s">
        <v>1432</v>
      </c>
      <c r="J178"/>
      <c r="K178" s="1" t="s">
        <v>1429</v>
      </c>
      <c r="L178"/>
      <c r="M178"/>
      <c r="N178" s="18" t="str">
        <f t="shared" si="2"/>
        <v>ericson.silva@grupojorlan.com;;luis.fernando@grupojorlan.com;daislan.sales@grupojorlan.com;rafael.freitas@grupojorlan.com;ana.louzeiro@grupojorlan.com; ana.braz@grupojorlan.com;</v>
      </c>
    </row>
    <row r="179" spans="1:14" hidden="1">
      <c r="A179" s="6"/>
      <c r="B179" s="2">
        <v>7601037</v>
      </c>
      <c r="C179" t="s">
        <v>1433</v>
      </c>
      <c r="D179" s="2">
        <v>3</v>
      </c>
      <c r="E179" s="2">
        <v>5</v>
      </c>
      <c r="F179" s="1" t="s">
        <v>1434</v>
      </c>
      <c r="G179" s="1" t="s">
        <v>1426</v>
      </c>
      <c r="H179" s="1" t="s">
        <v>1427</v>
      </c>
      <c r="I179" t="s">
        <v>1435</v>
      </c>
      <c r="J179"/>
      <c r="K179" s="1" t="s">
        <v>1429</v>
      </c>
      <c r="L179"/>
      <c r="M179" s="1" t="s">
        <v>1436</v>
      </c>
      <c r="N179" s="18" t="str">
        <f t="shared" si="2"/>
        <v>ericson.silva@grupojorlan.com;;luis.fernando@grupojorlan.com;marcos.andre@grupojorlan.com;marcos.medeiros@brfrance.com.br;ana.louzeiro@grupojorlan.com; ana.braz@grupojorlan.com;fabio.rosa@grupojorlan.com</v>
      </c>
    </row>
    <row r="180" spans="1:14" hidden="1">
      <c r="A180" s="6"/>
      <c r="B180" s="2">
        <v>7601004</v>
      </c>
      <c r="C180" t="s">
        <v>740</v>
      </c>
      <c r="D180" s="2">
        <v>3</v>
      </c>
      <c r="E180" s="2">
        <v>5</v>
      </c>
      <c r="F180" t="s">
        <v>742</v>
      </c>
      <c r="G180" t="s">
        <v>741</v>
      </c>
      <c r="H180"/>
      <c r="I180" t="s">
        <v>742</v>
      </c>
      <c r="J180"/>
      <c r="K180" t="s">
        <v>743</v>
      </c>
      <c r="L180"/>
      <c r="M180" t="s">
        <v>744</v>
      </c>
      <c r="N180" s="18" t="str">
        <f t="shared" si="2"/>
        <v>;sione@carmoveiculos.com.br; timcarmo@terra.com.br;sandramcarmo@terra.com.br;secarmo@uol.com.br;;posvendasmoc@carmoveiculos.com.br;posvendasmoc@carmoveiculos.com.br;crm.moc@carmoveiculos.com.br;moc@carmoveiculos.com.br; crm@carmoveiculos.com.br; crm.vendas@carmoveiculos.com.br; gerenciamoc@carmoveiculos.com.br;</v>
      </c>
    </row>
    <row r="181" spans="1:14" hidden="1">
      <c r="A181" s="6"/>
      <c r="B181" s="2">
        <v>7600086</v>
      </c>
      <c r="C181" t="s">
        <v>745</v>
      </c>
      <c r="D181" s="2">
        <v>3</v>
      </c>
      <c r="E181" s="2">
        <v>5</v>
      </c>
      <c r="F181" t="s">
        <v>747</v>
      </c>
      <c r="G181" t="s">
        <v>746</v>
      </c>
      <c r="H181"/>
      <c r="I181" t="s">
        <v>747</v>
      </c>
      <c r="J181"/>
      <c r="K181" t="s">
        <v>748</v>
      </c>
      <c r="L181"/>
      <c r="M181" t="s">
        <v>749</v>
      </c>
      <c r="N181" s="18" t="str">
        <f t="shared" si="2"/>
        <v>;sione@carmoveiculos.com.br; timcarmo@terra.com.br;;posvendas@carmoveiculos.com.br;posvendas@carmoveiculos.com.br;crm@carmoveiculos.com.br;;Cotech@carmoveiculos.com.br; ivan@carmoveiculos.com.br; crm.vendas@carmoveiculos.com.br; gerenciamoc@carmoveiculos.com.br;</v>
      </c>
    </row>
    <row r="182" spans="1:14" hidden="1">
      <c r="A182" s="6"/>
      <c r="B182" s="2">
        <v>7601169</v>
      </c>
      <c r="C182" t="s">
        <v>1437</v>
      </c>
      <c r="D182" s="2">
        <v>3</v>
      </c>
      <c r="E182" s="2">
        <v>5</v>
      </c>
      <c r="F182" t="s">
        <v>752</v>
      </c>
      <c r="G182" t="s">
        <v>1438</v>
      </c>
      <c r="H182"/>
      <c r="I182" t="s">
        <v>753</v>
      </c>
      <c r="J182"/>
      <c r="K182" t="s">
        <v>754</v>
      </c>
      <c r="L182"/>
      <c r="M182" t="s">
        <v>1439</v>
      </c>
      <c r="N182" s="18" t="str">
        <f t="shared" si="2"/>
        <v>;orlando.jr@grupojorlan.com; luis.fernando@jorlan.com; joao.filipe@minasfrance.com.br;cristina.rezende@minasfrance.com.br;renato.freitas@minasfrance.com.br; ;cleusiane.santos@minasfrance.com.br; raissa.rezende@grupojorlan.com.br; ;; nayara.ferreira@minasfrance.com.br; isabella.andrade@grupojorlan.com</v>
      </c>
    </row>
    <row r="183" spans="1:14" hidden="1">
      <c r="A183" s="6"/>
      <c r="B183" s="2">
        <v>7600705</v>
      </c>
      <c r="C183" t="s">
        <v>1440</v>
      </c>
      <c r="D183" s="2">
        <v>3</v>
      </c>
      <c r="E183" s="2">
        <v>5</v>
      </c>
      <c r="F183" t="s">
        <v>759</v>
      </c>
      <c r="G183" t="s">
        <v>1438</v>
      </c>
      <c r="H183" t="s">
        <v>757</v>
      </c>
      <c r="I183" t="s">
        <v>753</v>
      </c>
      <c r="J183"/>
      <c r="K183" t="s">
        <v>754</v>
      </c>
      <c r="L183"/>
      <c r="M183" t="s">
        <v>1441</v>
      </c>
      <c r="N183" s="18" t="str">
        <f t="shared" si="2"/>
        <v>joao.filipe@minasfrance.com.br;;orlando.jr@grupojorlan.com; luis.fernando@jorlan.com; joao.filipe@minasfrance.com.br;renata.canhestro@minasfrance.com.br;renato.freitas@minasfrance.com.br; ;cleusiane.santos@minasfrance.com.br; raissa.rezende@grupojorlan.com.br; ;;nayara.ferreira@minasfrance.com.br; isabella.andrade@grupojorlan.com</v>
      </c>
    </row>
    <row r="184" spans="1:14" hidden="1">
      <c r="A184" s="6"/>
      <c r="B184" s="2">
        <v>7600546</v>
      </c>
      <c r="C184" t="s">
        <v>1442</v>
      </c>
      <c r="D184" s="2">
        <v>3</v>
      </c>
      <c r="E184" s="2">
        <v>5</v>
      </c>
      <c r="F184"/>
      <c r="G184" t="s">
        <v>1438</v>
      </c>
      <c r="H184" t="s">
        <v>757</v>
      </c>
      <c r="I184" t="s">
        <v>753</v>
      </c>
      <c r="J184"/>
      <c r="K184" t="s">
        <v>754</v>
      </c>
      <c r="L184"/>
      <c r="M184" t="s">
        <v>1443</v>
      </c>
      <c r="N184" s="18" t="str">
        <f t="shared" si="2"/>
        <v>joao.filipe@minasfrance.com.br;;orlando.jr@grupojorlan.com; luis.fernando@jorlan.com; joao.filipe@minasfrance.com.br;;renato.freitas@minasfrance.com.br; ;cleusiane.santos@minasfrance.com.br; raissa.rezende@grupojorlan.com.br; ;cacio.santos@minasfrance.com.br; nayara.ferreira@minasfrance.com.br; isabella.andrade@grupojorlan.com</v>
      </c>
    </row>
    <row r="185" spans="1:14" hidden="1">
      <c r="A185" s="6"/>
      <c r="B185" s="2">
        <v>7601053</v>
      </c>
      <c r="C185" t="s">
        <v>763</v>
      </c>
      <c r="D185" s="2">
        <v>3</v>
      </c>
      <c r="E185" s="2">
        <v>6</v>
      </c>
      <c r="F185" t="s">
        <v>1444</v>
      </c>
      <c r="G185" t="s">
        <v>765</v>
      </c>
      <c r="H185" t="s">
        <v>764</v>
      </c>
      <c r="I185" t="s">
        <v>1445</v>
      </c>
      <c r="J185"/>
      <c r="K185" t="s">
        <v>767</v>
      </c>
      <c r="L185"/>
      <c r="M185" t="s">
        <v>768</v>
      </c>
      <c r="N185" s="18" t="str">
        <f t="shared" si="2"/>
        <v>posvendas@besourorenault.com.br;luizalbuquerque@besouro.com.br;luizdrumond@besouro.com.br;luizalbuquerque@besouro.com.br;luizdrumond@besouro.com.br;lucasdrumond@besouro.com.br;vendas1053@besourorenault.com.br;posvendaspetropolis@besourorenault.com.br; oficina1.1053@besourorenault.com.br;qualidade@besourorenault.com.br;kaizenrio@besourorenault.com.br;kaizen2@besourorenault.com.br;oficina2.1054@besourorenault.com.br</v>
      </c>
    </row>
    <row r="186" spans="1:14" hidden="1">
      <c r="A186" s="6"/>
      <c r="B186" s="2">
        <v>7601054</v>
      </c>
      <c r="C186" t="s">
        <v>769</v>
      </c>
      <c r="D186" s="2">
        <v>3</v>
      </c>
      <c r="E186" s="2">
        <v>6</v>
      </c>
      <c r="F186" t="s">
        <v>1446</v>
      </c>
      <c r="G186" t="s">
        <v>765</v>
      </c>
      <c r="H186" t="s">
        <v>764</v>
      </c>
      <c r="I186" t="s">
        <v>766</v>
      </c>
      <c r="J186"/>
      <c r="K186" t="s">
        <v>770</v>
      </c>
      <c r="L186"/>
      <c r="M186" t="s">
        <v>768</v>
      </c>
      <c r="N186" s="18" t="str">
        <f t="shared" si="2"/>
        <v>posvendas@besourorenault.com.br;luizalbuquerque@besouro.com.br;luizdrumond@besouro.com.br;luizalbuquerque@besouro.com.br;luizdrumond@besouro.com.br;lucasdrumond@besouro.com.br;vendas1054@besourorenault.com.br;posvendas@besourorenault.com.br;qualidade@besourorenault.com.br; kaizenrio@besourorenault.com.br;kaizen2@besourorenault.com.br;oficina2.1054@besourorenault.com.br</v>
      </c>
    </row>
    <row r="187" spans="1:14" hidden="1">
      <c r="A187" s="6"/>
      <c r="B187" s="2">
        <v>7600088</v>
      </c>
      <c r="C187" t="s">
        <v>771</v>
      </c>
      <c r="D187" s="2">
        <v>3</v>
      </c>
      <c r="E187" s="2">
        <v>6</v>
      </c>
      <c r="F187" t="s">
        <v>1447</v>
      </c>
      <c r="G187" t="s">
        <v>773</v>
      </c>
      <c r="H187" t="s">
        <v>772</v>
      </c>
      <c r="I187" t="s">
        <v>774</v>
      </c>
      <c r="J187"/>
      <c r="K187"/>
      <c r="L187"/>
      <c r="M187" t="s">
        <v>775</v>
      </c>
      <c r="N187" s="18" t="str">
        <f t="shared" si="2"/>
        <v xml:space="preserve">nilson.bernardo@dinisa.com.br;gustavo.rodrigues@dinisa.com.br;;gustavo.rodrigues@dinisa.com.br;mteresa@dinisa.com.br;;juliana.clemente@dinisa.com.br; gerenciageral.vd@dinisa.com.br;anderson.mendonca@dinisa.com.br;;nagib.duarte@dinisa.com.br;; lorenna.mororo@dinisa.com.br </v>
      </c>
    </row>
    <row r="188" spans="1:14" hidden="1">
      <c r="A188" s="6"/>
      <c r="B188" s="2">
        <v>7600111</v>
      </c>
      <c r="C188" t="s">
        <v>776</v>
      </c>
      <c r="D188" s="2">
        <v>3</v>
      </c>
      <c r="E188" s="2">
        <v>6</v>
      </c>
      <c r="F188"/>
      <c r="G188" t="s">
        <v>773</v>
      </c>
      <c r="H188"/>
      <c r="I188"/>
      <c r="J188"/>
      <c r="K188" t="s">
        <v>777</v>
      </c>
      <c r="L188"/>
      <c r="M188" t="s">
        <v>1448</v>
      </c>
      <c r="N188" s="18" t="str">
        <f t="shared" si="2"/>
        <v>;;gustavo.rodrigues@dinisa.com.br;mteresa@dinisa.com.br;;;;marcelle.oliveira@dinisa.com.br;anderson.mendonca@dinisa.com.br;</v>
      </c>
    </row>
    <row r="189" spans="1:14" hidden="1">
      <c r="A189" s="6"/>
      <c r="B189" s="2">
        <v>7600989</v>
      </c>
      <c r="C189" t="s">
        <v>779</v>
      </c>
      <c r="D189" s="2">
        <v>3</v>
      </c>
      <c r="E189" s="2">
        <v>6</v>
      </c>
      <c r="F189" t="s">
        <v>782</v>
      </c>
      <c r="G189" t="s">
        <v>781</v>
      </c>
      <c r="H189" t="s">
        <v>780</v>
      </c>
      <c r="I189" t="s">
        <v>782</v>
      </c>
      <c r="J189"/>
      <c r="K189"/>
      <c r="L189"/>
      <c r="M189" t="s">
        <v>783</v>
      </c>
      <c r="N189" s="18" t="str">
        <f t="shared" si="2"/>
        <v>gestorcrm@renaultriosena.com.br;raoni.salomao@renaultriosena.com.br;fernando.salomao@renaultriosena.com.br;;gestorposvendas@renaultriosena.com.br;gestorposvendas@renaultriosena.com.br;;cotech@renaultriosena.com.br; anaclaudia@renaultriosena.com.br; atacadopecas@renaultriosena.com.br</v>
      </c>
    </row>
    <row r="190" spans="1:14" hidden="1">
      <c r="A190" s="6"/>
      <c r="B190" s="2">
        <v>7601160</v>
      </c>
      <c r="C190" t="s">
        <v>784</v>
      </c>
      <c r="D190" s="2">
        <v>3</v>
      </c>
      <c r="E190" s="2">
        <v>6</v>
      </c>
      <c r="F190" t="s">
        <v>1449</v>
      </c>
      <c r="G190" t="s">
        <v>786</v>
      </c>
      <c r="H190" s="1" t="s">
        <v>1450</v>
      </c>
      <c r="I190" s="1" t="s">
        <v>1451</v>
      </c>
      <c r="J190"/>
      <c r="K190" t="s">
        <v>1452</v>
      </c>
      <c r="L190"/>
      <c r="M190" t="s">
        <v>1453</v>
      </c>
      <c r="N190" s="18" t="str">
        <f t="shared" si="2"/>
        <v>ericsonmiranda@romagroup.com.br;;mvinicius@romagroup.com.br;rodrigojannuzzi@romagroup.com.br;welitonsilva@romagroup.com.br;fernandaalves@romagroup.com.br;larissacosta@romagroup.com.br; luciodemenezes@romagroup.com.br; thiagovelez@romagroup.com.br</v>
      </c>
    </row>
    <row r="191" spans="1:14" hidden="1">
      <c r="A191" s="6"/>
      <c r="B191" s="2">
        <v>7601240</v>
      </c>
      <c r="C191" t="s">
        <v>791</v>
      </c>
      <c r="D191" s="2">
        <v>3</v>
      </c>
      <c r="E191" s="2">
        <v>6</v>
      </c>
      <c r="F191" t="s">
        <v>1449</v>
      </c>
      <c r="G191" t="s">
        <v>786</v>
      </c>
      <c r="H191" s="1" t="s">
        <v>1454</v>
      </c>
      <c r="I191" s="1" t="s">
        <v>1451</v>
      </c>
      <c r="J191"/>
      <c r="K191" t="s">
        <v>1452</v>
      </c>
      <c r="L191"/>
      <c r="M191" t="s">
        <v>1455</v>
      </c>
      <c r="N191" s="18" t="str">
        <f t="shared" si="2"/>
        <v>cristianoalmeida@romagroup.com.br;;mvinicius@romagroup.com.br;rodrigojannuzzi@romagroup.com.br;welitonsilva@romagroup.com.br;fernandaalves@romagroup.com.br;larissacosta@romagroup.com.br; hugoaraujo@romagroup.com.br; elipaula@romagroup.com.br;patriciavieira@romagroup.com.br</v>
      </c>
    </row>
    <row r="192" spans="1:14" hidden="1">
      <c r="A192" s="6"/>
      <c r="B192" s="2">
        <v>7601168</v>
      </c>
      <c r="C192" t="s">
        <v>795</v>
      </c>
      <c r="D192" s="2">
        <v>3</v>
      </c>
      <c r="E192" s="2">
        <v>7</v>
      </c>
      <c r="F192" t="s">
        <v>1456</v>
      </c>
      <c r="G192" t="s">
        <v>797</v>
      </c>
      <c r="H192" t="s">
        <v>1457</v>
      </c>
      <c r="I192" t="s">
        <v>1458</v>
      </c>
      <c r="J192"/>
      <c r="K192" t="s">
        <v>1459</v>
      </c>
      <c r="L192"/>
      <c r="M192" t="s">
        <v>1460</v>
      </c>
      <c r="N192" s="18" t="str">
        <f t="shared" si="2"/>
        <v>neideazevedo@romagroup.com.br;mvinicius@romagroup.com.br;marcoteixeira@romagroup.com.br;marcotullio@romagroup.com.br;;paulopereira@romagroup.com.br; thiagomarcolino@romagroup.com.br;thiagoanjos@romagroup.com.br;nayaraalmeida@romagroup.com.br; laisbrasil@romagroup.com.br;gabrielleferreira@romagroup.com.br; layenepiuco@romagroup.com.br; joaoricardo@romagroup.com.br;</v>
      </c>
    </row>
    <row r="193" spans="1:14" ht="15.6" hidden="1" customHeight="1">
      <c r="A193" s="6"/>
      <c r="B193" s="2">
        <v>7601167</v>
      </c>
      <c r="C193" t="s">
        <v>802</v>
      </c>
      <c r="D193" s="2">
        <v>3</v>
      </c>
      <c r="E193" s="2">
        <v>7</v>
      </c>
      <c r="F193" t="s">
        <v>1461</v>
      </c>
      <c r="G193" t="s">
        <v>797</v>
      </c>
      <c r="H193" t="s">
        <v>1462</v>
      </c>
      <c r="I193" t="s">
        <v>1463</v>
      </c>
      <c r="J193"/>
      <c r="K193" t="s">
        <v>1459</v>
      </c>
      <c r="L193"/>
      <c r="M193" t="s">
        <v>1464</v>
      </c>
      <c r="N193" s="18" t="str">
        <f t="shared" si="2"/>
        <v>neideazevedo@romagroup.com.br;;mvinicius@romagroup.com.br;marcoteixeira@romagroup.com.br;marcotullio@romagroup.com.br;;paulopereira@romagroup.com.br; brunooliveira@romagroup.com.br;piterpassos@romagroup.com.br;nayaraalmeida@romagroup.com.br; laisbrasil@romagroup.com.br; gabrielleferreira@romagroup.com.br; tatianeassis@romagroup.com.br; layenepiuco@romagroup.com.br; joaoricardo@romagroup.com.br</v>
      </c>
    </row>
    <row r="194" spans="1:14" ht="19.350000000000001" hidden="1" customHeight="1">
      <c r="A194" s="6"/>
      <c r="B194" s="2">
        <v>7601203</v>
      </c>
      <c r="C194" t="s">
        <v>805</v>
      </c>
      <c r="D194" s="2">
        <v>3</v>
      </c>
      <c r="E194" s="2">
        <v>7</v>
      </c>
      <c r="F194" t="s">
        <v>1465</v>
      </c>
      <c r="G194"/>
      <c r="H194" t="s">
        <v>806</v>
      </c>
      <c r="I194" t="s">
        <v>807</v>
      </c>
      <c r="J194"/>
      <c r="K194" t="s">
        <v>808</v>
      </c>
      <c r="L194"/>
      <c r="M194" t="s">
        <v>1466</v>
      </c>
      <c r="N194" s="18" t="str">
        <f t="shared" si="2"/>
        <v>;leandro@suecia.com.br; luciano.tizzo@grupourca.com.br;;raphaela.machado@grupourca.com.br;pedro.leite@grupourca.com.br; patricia.ferreira@grupourca.com.br;qualidade.renault@grupourca.com.br; ;wesley.santos@grupourca.com.br; adailton.soares@grupourca.com.br; edcarlos.silva@grupourca.com.br</v>
      </c>
    </row>
    <row r="195" spans="1:14" hidden="1">
      <c r="A195" s="6"/>
      <c r="B195" s="2">
        <v>7601176</v>
      </c>
      <c r="C195" t="s">
        <v>810</v>
      </c>
      <c r="D195" s="2">
        <v>3</v>
      </c>
      <c r="E195" s="2">
        <v>7</v>
      </c>
      <c r="F195" t="s">
        <v>811</v>
      </c>
      <c r="G195"/>
      <c r="H195" t="s">
        <v>806</v>
      </c>
      <c r="I195" t="s">
        <v>812</v>
      </c>
      <c r="J195"/>
      <c r="K195" t="s">
        <v>1467</v>
      </c>
      <c r="L195"/>
      <c r="M195" t="s">
        <v>1468</v>
      </c>
      <c r="N195" s="18" t="str">
        <f t="shared" si="2"/>
        <v>;leandro@suecia.com.br; luciano.tizzo@grupourca.com.br;;cristiano.sousa@grupourca.com.br;pedro.leite@grupourca.com.br;qualidade.renault@grupourca.com.br; adailton.soares@grupourca.com.br;;adailton.soares@grupourca.com.br; ramon.guimaraes@grupourca.com.br; edcarlos.silva@grupourca.com.br</v>
      </c>
    </row>
    <row r="196" spans="1:14" hidden="1">
      <c r="A196" s="6"/>
      <c r="B196" s="2">
        <v>7601175</v>
      </c>
      <c r="C196" t="s">
        <v>815</v>
      </c>
      <c r="D196" s="2">
        <v>3</v>
      </c>
      <c r="E196" s="2">
        <v>7</v>
      </c>
      <c r="F196" t="s">
        <v>1469</v>
      </c>
      <c r="G196"/>
      <c r="H196" t="s">
        <v>806</v>
      </c>
      <c r="I196" t="s">
        <v>817</v>
      </c>
      <c r="J196"/>
      <c r="K196" t="s">
        <v>818</v>
      </c>
      <c r="L196"/>
      <c r="M196" t="s">
        <v>1470</v>
      </c>
      <c r="N196" s="18" t="str">
        <f t="shared" ref="N196:N259" si="3">H196&amp;";"&amp;G196&amp;";"&amp;F196&amp;";"&amp;I196&amp;";"&amp;K196&amp;";"&amp;M196</f>
        <v>;leandro@suecia.com.br; luciano.tizzo@grupourca.com.br;;guilherme.silva@grupourca.com.br;pedro.leite@grupourca.com.br; hueder.marquete@grupourca.com.br;qualidade.renault@grupourca.com.br; adailton.soares@grupourca.com.br;adailton.soares@grupourca.com.br; edcarlos.silva@grupourca.com.br</v>
      </c>
    </row>
    <row r="197" spans="1:14" hidden="1">
      <c r="A197" s="6"/>
      <c r="B197" s="2">
        <v>7601067</v>
      </c>
      <c r="C197" t="s">
        <v>819</v>
      </c>
      <c r="D197" s="2">
        <v>3</v>
      </c>
      <c r="E197" s="2">
        <v>7</v>
      </c>
      <c r="F197" t="s">
        <v>822</v>
      </c>
      <c r="G197" t="s">
        <v>821</v>
      </c>
      <c r="H197" t="s">
        <v>1471</v>
      </c>
      <c r="I197" t="s">
        <v>822</v>
      </c>
      <c r="J197"/>
      <c r="K197" t="s">
        <v>823</v>
      </c>
      <c r="L197"/>
      <c r="M197" t="s">
        <v>824</v>
      </c>
      <c r="N197" s="18" t="str">
        <f t="shared" si="3"/>
        <v>jaqueline.vieira@grupoprimavia.com.br; furlan@renaultalliance.com.br;;elza@primavia.com.br;;marco.aurelio@vianissan.com.br;marco.aurelio@vianissan.com.br;chrysney.tathiana@primavia.com.br;daniela.carreira@primavia.com.br</v>
      </c>
    </row>
    <row r="198" spans="1:14" hidden="1">
      <c r="A198" s="6"/>
      <c r="B198" s="2">
        <v>7600759</v>
      </c>
      <c r="C198" t="s">
        <v>825</v>
      </c>
      <c r="D198" s="2">
        <v>3</v>
      </c>
      <c r="E198" s="2">
        <v>7</v>
      </c>
      <c r="F198" t="s">
        <v>1472</v>
      </c>
      <c r="G198" t="s">
        <v>827</v>
      </c>
      <c r="H198" t="s">
        <v>826</v>
      </c>
      <c r="I198" t="s">
        <v>1473</v>
      </c>
      <c r="J198"/>
      <c r="K198" t="s">
        <v>1474</v>
      </c>
      <c r="L198"/>
      <c r="M198" t="s">
        <v>1475</v>
      </c>
      <c r="N198" s="18" t="str">
        <f t="shared" si="3"/>
        <v>robson.santana@viamondo.com.br;;airton@pneussantahelena.com.br;paulocesar@paautomoveis.com.br;;gerenteposvd.pc@viamondorenault.com.br; supervisorvendas.pc@viamondorenault.com.br; andre.tchmola@viamondo.com.br;gerenteposvd.pc@viamondorenault.com.br; qualidade.pc@viamondo.com.br; rafael.ozorio@viamondo.com.br;qualidade.vg@viamondo.com.br; carlos.andrade@viamondo.com.br; garantista.pc@viamondorenault.com.br; pesquisa.pa1@viamondo.com.br; qualidade.pc@viamondo.com.br; qualidade.bi@viamondo.com.br;cotech.pc@viamondorenault.com.br; lidercrm.pv@viamondo.com.br; pesquisa.pa5@viamondo.com.br</v>
      </c>
    </row>
    <row r="199" spans="1:14" hidden="1">
      <c r="A199" s="6"/>
      <c r="B199" s="2">
        <v>7600667</v>
      </c>
      <c r="C199" t="s">
        <v>832</v>
      </c>
      <c r="D199" s="2">
        <v>3</v>
      </c>
      <c r="E199" s="2">
        <v>7</v>
      </c>
      <c r="F199" t="s">
        <v>1476</v>
      </c>
      <c r="G199" t="s">
        <v>827</v>
      </c>
      <c r="H199" t="s">
        <v>826</v>
      </c>
      <c r="I199" t="s">
        <v>1477</v>
      </c>
      <c r="J199"/>
      <c r="K199" t="s">
        <v>1478</v>
      </c>
      <c r="L199"/>
      <c r="M199" t="s">
        <v>1479</v>
      </c>
      <c r="N199" s="18" t="str">
        <f t="shared" si="3"/>
        <v>robson.santana@viamondo.com.br;;airton@pneussantahelena.com.br;paulocesar@paautomoveis.com.br;;gerentevendas.pa@viamondorenault.com.br; andre.tchmola@viamondo.com.br;gerenteposvd.pa@viamondorenault.com.br; rafael.ozorio@viamondo.com.br;;qualidade.pa@viamondorenault.com.br; qualidade.vg@viamondo.com.br; qualidade.pc@viamondo.com.br; carlos.andrade@viamondo.com.br; pesquisa.pa1@viamondo.com.br; qualidade.bi@viamondo.com.br;cotech.pa@viamondorenault.com.br; lidercrm.pv@viamondo.com.br; analistaadm.pa@viamondorenault.com.br; pesquisa.pa5@viamondo.com.br</v>
      </c>
    </row>
    <row r="200" spans="1:14" hidden="1">
      <c r="A200" s="6"/>
      <c r="B200" s="2">
        <v>7600554</v>
      </c>
      <c r="C200" t="s">
        <v>837</v>
      </c>
      <c r="D200" s="2">
        <v>3</v>
      </c>
      <c r="E200" s="2">
        <v>7</v>
      </c>
      <c r="F200" t="s">
        <v>1480</v>
      </c>
      <c r="G200" t="s">
        <v>827</v>
      </c>
      <c r="H200" t="s">
        <v>826</v>
      </c>
      <c r="I200" t="s">
        <v>1481</v>
      </c>
      <c r="J200"/>
      <c r="K200" t="s">
        <v>1482</v>
      </c>
      <c r="L200"/>
      <c r="M200" t="s">
        <v>1483</v>
      </c>
      <c r="N200" s="18" t="str">
        <f t="shared" si="3"/>
        <v>robson.santana@viamondo.com.br;;airton@pneussantahelena.com.br;paulocesar@paautomoveis.com.br;;gerenteposvd.vg@viamondorenault.com.br; gerentevendas.vg@viamondorenault.com.br; garantista.pc@viamondorenault.com.br; andre.tchmola@viamondo.com.br;gerenteposvd.vg@viamondorenault.com.br; rafael.ozorio@viamondo.com.br;qualidade.vg@viamondo.com.br; carlos.andrade@viamondo.com.br; pesquisa.pa1@viamondo.com.br; qualidade.pc@viamondo.com.br; qualidade.pa@viamondorenault.com.br; qualidade.bi@viamondo.com.br;cotechvga@viamondorenault.com.br; supervisorposvd.vg@viamondo.com.br; lidercrm.pv@viamondo.com.br; pesquisa.pa5@viamondo.com.br</v>
      </c>
    </row>
    <row r="201" spans="1:14" hidden="1">
      <c r="A201" s="6"/>
      <c r="B201" s="2">
        <v>7601181</v>
      </c>
      <c r="C201" t="s">
        <v>704</v>
      </c>
      <c r="D201" s="2">
        <v>3</v>
      </c>
      <c r="E201" s="2" t="s">
        <v>552</v>
      </c>
      <c r="F201"/>
      <c r="G201" t="s">
        <v>700</v>
      </c>
      <c r="H201"/>
      <c r="I201" t="s">
        <v>705</v>
      </c>
      <c r="J201"/>
      <c r="K201" t="s">
        <v>702</v>
      </c>
      <c r="L201"/>
      <c r="M201" t="s">
        <v>706</v>
      </c>
      <c r="N201" s="18" t="str">
        <f t="shared" si="3"/>
        <v>;wagner.orletti@grupoorletti.com.br;willian.orletti@grupoorletti.com.br;;;max.erikson@orvelrenault.com.br; huewerton.braganca@grupoorletti.com.br;;  joao.rodrigues@grupoorletti.com.br; max.erikson@orvelrenault.com.br; sabrina.borges@orvelrenault.com.br; bruno.fortes@orvelrenault.com.br; ;  ; hudson.junior@orvelrenault.com.br; taendri.cardozo@orvelrenault.com.br</v>
      </c>
    </row>
    <row r="202" spans="1:14" hidden="1">
      <c r="A202" s="6"/>
      <c r="B202" s="2">
        <v>7600741</v>
      </c>
      <c r="C202" t="s">
        <v>842</v>
      </c>
      <c r="D202" s="2">
        <v>4</v>
      </c>
      <c r="E202" s="2">
        <v>1</v>
      </c>
      <c r="F202" t="s">
        <v>845</v>
      </c>
      <c r="G202" t="s">
        <v>844</v>
      </c>
      <c r="H202" t="s">
        <v>843</v>
      </c>
      <c r="I202" t="s">
        <v>846</v>
      </c>
      <c r="J202"/>
      <c r="K202" t="s">
        <v>1484</v>
      </c>
      <c r="L202"/>
      <c r="M202" t="s">
        <v>848</v>
      </c>
      <c r="N202" s="18" t="str">
        <f t="shared" si="3"/>
        <v xml:space="preserve">;pedro.lins@eurovia.com.br;;fernando.figueiredo@viasul.com.br;pj@viasul.com.br;;pedro.santos@eurovia.com.br; fabio.maraux@eurovia.com.br;fabio.maraux@eurovia.com.br; alisson.araujo@grupovia1.com.br;bianca.sodre@grupovia1.com.br;Joana.ramos@eurovia.com.br ;;gardenia.souza@eurovianissan.com.br; pedro.santos@eurovia.com.br; </v>
      </c>
    </row>
    <row r="203" spans="1:14" hidden="1">
      <c r="A203" s="6"/>
      <c r="B203" s="2">
        <v>7600415</v>
      </c>
      <c r="C203" t="s">
        <v>849</v>
      </c>
      <c r="D203" s="2">
        <v>4</v>
      </c>
      <c r="E203" s="2">
        <v>1</v>
      </c>
      <c r="F203" t="s">
        <v>1485</v>
      </c>
      <c r="G203" t="s">
        <v>844</v>
      </c>
      <c r="H203" t="s">
        <v>843</v>
      </c>
      <c r="I203" t="s">
        <v>851</v>
      </c>
      <c r="J203"/>
      <c r="K203" t="s">
        <v>1484</v>
      </c>
      <c r="L203"/>
      <c r="M203" t="s">
        <v>852</v>
      </c>
      <c r="N203" s="18" t="str">
        <f t="shared" si="3"/>
        <v>;pedro.lins@eurovia.com.br;;fernando.figueiredo@viasul.com.br;pj@viasul.com.br;;fabio.maraux@eurovia.com.br;fabio.maraux@eurovia.com.br; flavia.tavares@eurovia.com.br; alisson.araujo@grupovia1.com.br;bianca.sodre@grupovia1.com.br;Joana.ramos@eurovia.com.br ;;gardenia.souza@eurovianissan.com.br; luciano.jesus@eurovia.com.br; hugo.santos@eurovia.com.br; claudio.bahia@eurovia.com.br</v>
      </c>
    </row>
    <row r="204" spans="1:14" hidden="1">
      <c r="A204" s="6"/>
      <c r="B204" s="2">
        <v>7601137</v>
      </c>
      <c r="C204" t="s">
        <v>853</v>
      </c>
      <c r="D204" s="2">
        <v>4</v>
      </c>
      <c r="E204" s="2">
        <v>1</v>
      </c>
      <c r="F204" t="s">
        <v>855</v>
      </c>
      <c r="G204"/>
      <c r="H204" t="s">
        <v>854</v>
      </c>
      <c r="I204"/>
      <c r="J204"/>
      <c r="K204"/>
      <c r="L204"/>
      <c r="M204" t="s">
        <v>856</v>
      </c>
      <c r="N204" s="18" t="str">
        <f t="shared" si="3"/>
        <v>;marcello@grupoindiana.com.br;marcello@grupoindiana.com.br;;lalberto@grupoindiana.com.br;;;Supoficina@marselhaveiculos.com.br; ; ; millenajesus@MARSELHAVEICULOS.COM.BR; supvendas@marselhaveiculos.com.br</v>
      </c>
    </row>
    <row r="205" spans="1:14" hidden="1">
      <c r="A205" s="6"/>
      <c r="B205" s="2">
        <v>7600803</v>
      </c>
      <c r="C205" t="s">
        <v>857</v>
      </c>
      <c r="D205" s="2">
        <v>4</v>
      </c>
      <c r="E205" s="2">
        <v>1</v>
      </c>
      <c r="F205"/>
      <c r="G205" t="s">
        <v>859</v>
      </c>
      <c r="H205" t="s">
        <v>858</v>
      </c>
      <c r="I205" t="s">
        <v>860</v>
      </c>
      <c r="J205"/>
      <c r="K205" t="s">
        <v>861</v>
      </c>
      <c r="L205"/>
      <c r="M205" t="s">
        <v>862</v>
      </c>
      <c r="N205" s="18" t="str">
        <f t="shared" si="3"/>
        <v>;adrianacoelho@novabahiaveiculos.com.br;nilo@sanave.com;;;glaucia.matos@novabahiaveiculos.com.br;murilodantas@novabahiaveiculos.com.br;carlos.santos@novabahiaveiculos.com.br;kaizen@novabahiaveiculos.com.br</v>
      </c>
    </row>
    <row r="206" spans="1:14" hidden="1">
      <c r="A206" s="6"/>
      <c r="B206" s="2">
        <v>7600861</v>
      </c>
      <c r="C206" t="s">
        <v>863</v>
      </c>
      <c r="D206" s="2">
        <v>4</v>
      </c>
      <c r="E206" s="2">
        <v>1</v>
      </c>
      <c r="F206"/>
      <c r="G206" t="s">
        <v>865</v>
      </c>
      <c r="H206" t="s">
        <v>864</v>
      </c>
      <c r="I206"/>
      <c r="J206"/>
      <c r="K206" t="s">
        <v>866</v>
      </c>
      <c r="L206"/>
      <c r="M206" t="s">
        <v>867</v>
      </c>
      <c r="N206" s="18" t="str">
        <f t="shared" si="3"/>
        <v>;neto@rodaleveveiculos.com.br;neto@rodaleveveiculos.com.br;neto@rodaleveveiculos.com.br;silvanatorres@rodaleve.com.br;;;;gpvr@rodaleveveiculos.com.br;aud.interno@rodaleveveiculos.com.br</v>
      </c>
    </row>
    <row r="207" spans="1:14" hidden="1">
      <c r="A207" s="6"/>
      <c r="B207" s="2">
        <v>7600393</v>
      </c>
      <c r="C207" t="s">
        <v>868</v>
      </c>
      <c r="D207" s="2">
        <v>4</v>
      </c>
      <c r="E207" s="2">
        <v>1</v>
      </c>
      <c r="F207" t="s">
        <v>866</v>
      </c>
      <c r="G207" t="s">
        <v>865</v>
      </c>
      <c r="H207" t="s">
        <v>869</v>
      </c>
      <c r="I207" t="s">
        <v>866</v>
      </c>
      <c r="J207"/>
      <c r="K207" t="s">
        <v>866</v>
      </c>
      <c r="L207"/>
      <c r="M207" t="s">
        <v>867</v>
      </c>
      <c r="N207" s="18" t="str">
        <f t="shared" si="3"/>
        <v>cotech2.renault@rodaleveveiculos.com.br;neto@rodaleveveiculos.com.br;neto@rodaleveveiculos.com.br;neto@rodaleveveiculos.com.br;silvanatorres@rodaleve.com.br;;gpvr@rodaleveveiculos.com.br;gpvr@rodaleveveiculos.com.br;gpvr@rodaleveveiculos.com.br;aud.interno@rodaleveveiculos.com.br</v>
      </c>
    </row>
    <row r="208" spans="1:14" hidden="1">
      <c r="A208" s="6"/>
      <c r="B208" s="2">
        <v>7600760</v>
      </c>
      <c r="C208" t="s">
        <v>870</v>
      </c>
      <c r="D208" s="2">
        <v>4</v>
      </c>
      <c r="E208" s="2">
        <v>1</v>
      </c>
      <c r="F208" t="s">
        <v>873</v>
      </c>
      <c r="G208" t="s">
        <v>872</v>
      </c>
      <c r="H208" t="s">
        <v>871</v>
      </c>
      <c r="I208" t="s">
        <v>873</v>
      </c>
      <c r="J208"/>
      <c r="K208" t="s">
        <v>874</v>
      </c>
      <c r="L208"/>
      <c r="M208" t="s">
        <v>1486</v>
      </c>
      <c r="N208" s="18" t="str">
        <f t="shared" si="3"/>
        <v>;rubens.perina@grupoitadil.com.br;;diretoria@grupoitadil.com.br;skbinow@gmail.com;;supervisorposvendas.rubi@grupoitadil.com.br;supervisorposvendas.rubi@grupoitadil.com.br;qualidaderubi.eun@grupoitadil.com.br;cotech.rubi@grupoitadil.com.br; ailana.freitas@grupoitadil.com.br</v>
      </c>
    </row>
    <row r="209" spans="1:14" hidden="1">
      <c r="A209" s="6"/>
      <c r="B209" s="2">
        <v>7600757</v>
      </c>
      <c r="C209" t="s">
        <v>876</v>
      </c>
      <c r="D209" s="2">
        <v>4</v>
      </c>
      <c r="E209" s="2">
        <v>1</v>
      </c>
      <c r="F209" t="s">
        <v>878</v>
      </c>
      <c r="G209" t="s">
        <v>872</v>
      </c>
      <c r="H209" t="s">
        <v>877</v>
      </c>
      <c r="I209" t="s">
        <v>878</v>
      </c>
      <c r="J209"/>
      <c r="K209" t="s">
        <v>879</v>
      </c>
      <c r="L209"/>
      <c r="M209" t="s">
        <v>1487</v>
      </c>
      <c r="N209" s="18" t="str">
        <f t="shared" si="3"/>
        <v>;rubens.perina@grupoitadil.com.br;henrique@grupoitadil.com.br;diretoria@grupoitadil.com.br;skbinow@gmail.com;;posvendas.rubi@grupoitadil.com.br;posvendas.rubi@grupoitadil.com.br;roberta.rubi@grupoitadil.com.br ;marcosoliveira@grupoitadil.com.br; ailana.freitas@grupoitadil.com.br</v>
      </c>
    </row>
    <row r="210" spans="1:14" hidden="1">
      <c r="A210" s="6"/>
      <c r="B210" s="2">
        <v>7601076</v>
      </c>
      <c r="C210" t="s">
        <v>898</v>
      </c>
      <c r="D210" s="2">
        <v>4</v>
      </c>
      <c r="E210" s="2">
        <v>2</v>
      </c>
      <c r="F210" t="s">
        <v>900</v>
      </c>
      <c r="G210" t="s">
        <v>899</v>
      </c>
      <c r="H210"/>
      <c r="I210" t="s">
        <v>900</v>
      </c>
      <c r="J210"/>
      <c r="K210" t="s">
        <v>823</v>
      </c>
      <c r="L210"/>
      <c r="M210" t="s">
        <v>1488</v>
      </c>
      <c r="N210" s="18" t="str">
        <f t="shared" si="3"/>
        <v>;cesar.lima@jeepviamotors.com.br; jose.furlan@renaultalliance.com.br;;nayra@renaultalliance.com.br;nayra@renaultalliance.com.br;chrysney.tathiana@primavia.com.br;carlos.junior@primavia.com.br; douglas.sales@renaultalliance.com.br</v>
      </c>
    </row>
    <row r="211" spans="1:14" ht="12.6" hidden="1" customHeight="1">
      <c r="A211" s="6"/>
      <c r="B211" s="2">
        <v>7600976</v>
      </c>
      <c r="C211" t="s">
        <v>901</v>
      </c>
      <c r="D211" s="2">
        <v>4</v>
      </c>
      <c r="E211" s="2">
        <v>2</v>
      </c>
      <c r="F211" t="s">
        <v>902</v>
      </c>
      <c r="G211" t="s">
        <v>899</v>
      </c>
      <c r="H211"/>
      <c r="I211" t="s">
        <v>902</v>
      </c>
      <c r="J211"/>
      <c r="K211" t="s">
        <v>823</v>
      </c>
      <c r="L211"/>
      <c r="M211"/>
      <c r="N211" s="18" t="str">
        <f t="shared" si="3"/>
        <v>;cesar.lima@jeepviamotors.com.br; jose.furlan@renaultalliance.com.br;;bruno.abreu@renaultalliance.com.br;bruno.abreu@renaultalliance.com.br;chrysney.tathiana@primavia.com.br;</v>
      </c>
    </row>
    <row r="212" spans="1:14" hidden="1">
      <c r="A212" s="6"/>
      <c r="B212" s="2">
        <v>7600501</v>
      </c>
      <c r="C212" t="s">
        <v>881</v>
      </c>
      <c r="D212" s="2">
        <v>4</v>
      </c>
      <c r="E212" s="2">
        <v>2</v>
      </c>
      <c r="F212"/>
      <c r="G212" t="s">
        <v>883</v>
      </c>
      <c r="H212" s="1" t="s">
        <v>1489</v>
      </c>
      <c r="I212" t="s">
        <v>884</v>
      </c>
      <c r="J212"/>
      <c r="K212" t="s">
        <v>1490</v>
      </c>
      <c r="L212"/>
      <c r="M212" t="s">
        <v>1491</v>
      </c>
      <c r="N212" s="18" t="str">
        <f t="shared" si="3"/>
        <v>eric.coelho@mcgestao.com.br;mozinho@morenaveiculos.com.br;pimenta@grupomc-ba.com.br;myllene@mcgestao.com.br;;deivid.menezes@brune.com.br;lane.araujo@mcgestao.com.br; atendimentoaocliente1@brune.com.br;cicero.jesus@brune.com.br; diego.barreto@brune.com.br; atendimentoaocliente@brune.com.br</v>
      </c>
    </row>
    <row r="213" spans="1:14" ht="15.6" hidden="1" customHeight="1">
      <c r="A213" s="6"/>
      <c r="B213" s="2">
        <v>7600473</v>
      </c>
      <c r="C213" t="s">
        <v>887</v>
      </c>
      <c r="D213" s="2">
        <v>4</v>
      </c>
      <c r="E213" s="2">
        <v>2</v>
      </c>
      <c r="F213" s="1" t="s">
        <v>1492</v>
      </c>
      <c r="G213" t="s">
        <v>889</v>
      </c>
      <c r="H213" t="s">
        <v>888</v>
      </c>
      <c r="I213"/>
      <c r="J213"/>
      <c r="K213" t="s">
        <v>890</v>
      </c>
      <c r="L213"/>
      <c r="M213" t="s">
        <v>891</v>
      </c>
      <c r="N213" s="18" t="str">
        <f t="shared" si="3"/>
        <v>;mozinho@morenaveiculos.com.br;;mozinho@morenaveiculos.com.br;pimenta@grupomc-ba.com.br;myllene@morenaveiculos.com.br;;jean@jubiabaeuro.com.br;;lane.araujo@mcgestao.com.br;cotech@jubiabaeuro.com.br; atendimentoaocliente1@jubiabaeuro.com.br</v>
      </c>
    </row>
    <row r="214" spans="1:14" hidden="1">
      <c r="A214" s="6"/>
      <c r="B214" s="2">
        <v>7600091</v>
      </c>
      <c r="C214" t="s">
        <v>892</v>
      </c>
      <c r="D214" s="2">
        <v>4</v>
      </c>
      <c r="E214" s="2">
        <v>2</v>
      </c>
      <c r="F214" t="s">
        <v>895</v>
      </c>
      <c r="G214" t="s">
        <v>894</v>
      </c>
      <c r="H214" t="s">
        <v>893</v>
      </c>
      <c r="I214" t="s">
        <v>895</v>
      </c>
      <c r="J214"/>
      <c r="K214" t="s">
        <v>896</v>
      </c>
      <c r="L214"/>
      <c r="M214" t="s">
        <v>897</v>
      </c>
      <c r="N214" s="18" t="str">
        <f t="shared" si="3"/>
        <v>angelicagarcez@gruporollemberg.com;francisco@gruporollemberg.com;antonio@gruporollemberg.com;heraclito@gruporollemberg.com;;marlon@gruporollemberg.com;marlon@gruporollemberg.com;kaizen@gruporollemberg.com; qualidade@renovel.com.br;valdison@renovel.com.br; ; ; fabio.vilasboas@gruporollemberg.com; viviane@renovel.com.br</v>
      </c>
    </row>
    <row r="215" spans="1:14" hidden="1">
      <c r="A215" s="6"/>
      <c r="B215" s="2">
        <v>7601061</v>
      </c>
      <c r="C215" t="s">
        <v>903</v>
      </c>
      <c r="D215" s="2">
        <v>4</v>
      </c>
      <c r="E215" s="2">
        <v>2</v>
      </c>
      <c r="F215" t="s">
        <v>906</v>
      </c>
      <c r="G215" t="s">
        <v>905</v>
      </c>
      <c r="H215" t="s">
        <v>904</v>
      </c>
      <c r="I215" t="s">
        <v>84</v>
      </c>
      <c r="J215"/>
      <c r="K215" t="s">
        <v>907</v>
      </c>
      <c r="L215"/>
      <c r="M215" t="s">
        <v>908</v>
      </c>
      <c r="N215" s="18" t="str">
        <f t="shared" si="3"/>
        <v>jeferson.costa@gruposaga.com.br;sergio.maia@gruposaga.com.br;evandro.maia@gruposaga.com.br;;hatus.helmuth@gruposaga.com.br; ;; ;qualidaderenaultpvh@gruposaga.com.br;rosiane.msilva@gruposaga.com.br; everson.lsantos@gruposaga.com.br; flaviano.scastro@gruposaga.com.br;</v>
      </c>
    </row>
    <row r="216" spans="1:14" hidden="1">
      <c r="A216" s="6"/>
      <c r="B216" s="2">
        <v>7600299</v>
      </c>
      <c r="C216" t="s">
        <v>909</v>
      </c>
      <c r="D216" s="2">
        <v>4</v>
      </c>
      <c r="E216" s="2">
        <v>3</v>
      </c>
      <c r="F216" t="s">
        <v>1493</v>
      </c>
      <c r="G216" t="s">
        <v>910</v>
      </c>
      <c r="H216" t="s">
        <v>843</v>
      </c>
      <c r="I216" t="s">
        <v>912</v>
      </c>
      <c r="J216"/>
      <c r="K216" t="s">
        <v>913</v>
      </c>
      <c r="L216"/>
      <c r="M216" t="s">
        <v>914</v>
      </c>
      <c r="N216" s="18" t="str">
        <f t="shared" si="3"/>
        <v xml:space="preserve">;pedro.lins@eurovia.com.br;;fernando.figueiredo@viasul.com.br;pj@viasul.com.br;vania@viasul.com.br;;igor.vaz@eurovia.com.br;;igor.vaz@eurovia.com.br; flavia.tavares@eurovia.com.br;Joana.ramos@eurovia.com.br;; ; silvia.santana@eurovia.com.br;carlos.filho@eurovia.com.br; pedro.xavier@eurovia.com.br; ednita.pinto@eurovia.com.br;  </v>
      </c>
    </row>
    <row r="217" spans="1:14" hidden="1">
      <c r="A217" s="6"/>
      <c r="B217" s="2">
        <v>7601262</v>
      </c>
      <c r="C217" t="s">
        <v>929</v>
      </c>
      <c r="D217" s="2">
        <v>4</v>
      </c>
      <c r="E217" s="2">
        <v>3</v>
      </c>
      <c r="F217"/>
      <c r="G217"/>
      <c r="H217" t="s">
        <v>930</v>
      </c>
      <c r="I217" t="s">
        <v>931</v>
      </c>
      <c r="J217"/>
      <c r="K217" t="s">
        <v>932</v>
      </c>
      <c r="L217"/>
      <c r="M217"/>
      <c r="N217" s="18" t="str">
        <f t="shared" si="3"/>
        <v>fernando.figueiredo@viasul.com.br;;;alisson.araujo@grupovia1.com.br; artur.sousa@eurovia.com.br;luiza.madruga@eurovia.com.br; joana.ramos@eurovia.com.br;</v>
      </c>
    </row>
    <row r="218" spans="1:14" hidden="1">
      <c r="A218" s="6"/>
      <c r="B218" s="2">
        <v>7600139</v>
      </c>
      <c r="C218" t="s">
        <v>915</v>
      </c>
      <c r="D218" s="2">
        <v>4</v>
      </c>
      <c r="E218" s="2">
        <v>3</v>
      </c>
      <c r="F218" t="s">
        <v>1494</v>
      </c>
      <c r="G218" t="s">
        <v>910</v>
      </c>
      <c r="H218" t="s">
        <v>843</v>
      </c>
      <c r="I218" t="s">
        <v>1495</v>
      </c>
      <c r="J218"/>
      <c r="K218" t="s">
        <v>913</v>
      </c>
      <c r="L218"/>
      <c r="M218" t="s">
        <v>918</v>
      </c>
      <c r="N218" s="18" t="str">
        <f t="shared" si="3"/>
        <v xml:space="preserve">;pedro.lins@eurovia.com.br;;fernando.figueiredo@viasul.com.br;pj@viasul.com.br;vania@viasul.com.br;;hugo.santos@eurovia.com.br; alexandre.nunes@eurovia.com.br;alexandre.nunes@eurovia.com.br; flavia.tavares@eurovia.com.br;;Joana.ramos@eurovia.com.br;; ; silvia.santana@eurovia.com.br;jarbas.souza@eurovia.com.br; pedro.xavier@eurovia.com.br; ednita.pinto@eurovia.com.br;  </v>
      </c>
    </row>
    <row r="219" spans="1:14" hidden="1">
      <c r="A219" s="6"/>
      <c r="B219" s="2">
        <v>7601264</v>
      </c>
      <c r="C219" t="s">
        <v>933</v>
      </c>
      <c r="D219" s="2">
        <v>4</v>
      </c>
      <c r="E219" s="2">
        <v>3</v>
      </c>
      <c r="F219"/>
      <c r="G219"/>
      <c r="H219" t="s">
        <v>930</v>
      </c>
      <c r="I219" t="s">
        <v>931</v>
      </c>
      <c r="J219"/>
      <c r="K219" t="s">
        <v>932</v>
      </c>
      <c r="L219"/>
      <c r="M219"/>
      <c r="N219" s="18" t="str">
        <f t="shared" si="3"/>
        <v>fernando.figueiredo@viasul.com.br;;;alisson.araujo@grupovia1.com.br; artur.sousa@eurovia.com.br;luiza.madruga@eurovia.com.br; joana.ramos@eurovia.com.br;</v>
      </c>
    </row>
    <row r="220" spans="1:14" hidden="1">
      <c r="A220" s="6"/>
      <c r="B220" s="2">
        <v>7601263</v>
      </c>
      <c r="C220" t="s">
        <v>934</v>
      </c>
      <c r="D220" s="2">
        <v>4</v>
      </c>
      <c r="E220" s="2">
        <v>3</v>
      </c>
      <c r="F220"/>
      <c r="G220"/>
      <c r="H220" t="s">
        <v>930</v>
      </c>
      <c r="I220" t="s">
        <v>931</v>
      </c>
      <c r="J220"/>
      <c r="K220" t="s">
        <v>932</v>
      </c>
      <c r="L220"/>
      <c r="M220"/>
      <c r="N220" s="18" t="str">
        <f t="shared" si="3"/>
        <v>fernando.figueiredo@viasul.com.br;;;alisson.araujo@grupovia1.com.br; artur.sousa@eurovia.com.br;luiza.madruga@eurovia.com.br; joana.ramos@eurovia.com.br;</v>
      </c>
    </row>
    <row r="221" spans="1:14" hidden="1">
      <c r="A221" s="6"/>
      <c r="B221" s="2">
        <v>7601209</v>
      </c>
      <c r="C221" t="s">
        <v>919</v>
      </c>
      <c r="D221" s="2">
        <v>4</v>
      </c>
      <c r="E221" s="2">
        <v>3</v>
      </c>
      <c r="F221"/>
      <c r="G221" t="s">
        <v>844</v>
      </c>
      <c r="H221" t="s">
        <v>843</v>
      </c>
      <c r="I221" t="s">
        <v>1496</v>
      </c>
      <c r="J221"/>
      <c r="K221" t="s">
        <v>922</v>
      </c>
      <c r="L221"/>
      <c r="M221" s="1" t="s">
        <v>1497</v>
      </c>
      <c r="N221" s="18" t="str">
        <f t="shared" si="3"/>
        <v>;pedro.lins@eurovia.com.br;;fernando.figueiredo@viasul.com.br;pj@viasul.com.br;;;flavia.tavares@eurovia.com.br; pedro.xavier@eurovia.com.br;Joana.ramos@eurovia.com.br; silvia.santana@eurovia.com.br;anderson.rocha@eurovia.com.br</v>
      </c>
    </row>
    <row r="222" spans="1:14" hidden="1">
      <c r="A222" s="6"/>
      <c r="B222" s="2">
        <v>7600085</v>
      </c>
      <c r="C222" t="s">
        <v>923</v>
      </c>
      <c r="D222" s="2">
        <v>4</v>
      </c>
      <c r="E222" s="2">
        <v>3</v>
      </c>
      <c r="F222" t="s">
        <v>926</v>
      </c>
      <c r="G222" t="s">
        <v>925</v>
      </c>
      <c r="H222" t="s">
        <v>924</v>
      </c>
      <c r="I222" t="s">
        <v>927</v>
      </c>
      <c r="J222"/>
      <c r="K222" t="s">
        <v>922</v>
      </c>
      <c r="L222"/>
      <c r="M222" t="s">
        <v>1498</v>
      </c>
      <c r="N222" s="18" t="str">
        <f t="shared" si="3"/>
        <v>pedro.lins@eurovia.com.br; paulo.junior@viasul.com.br;fernando.figueiredo@viasul.com.br; paulo.junior@viasul.com.br;;pedro.xavier@eurovia.com.br;;flavia.tavares@eurovia.com.br;Joana.ramos@eurovia.com.br; silvia.santana@eurovia.com.br;pedro.xavier@eurovia.com.br; ednita.pinto@eurovia.com.br; danilo.lima@eurovia.com.br</v>
      </c>
    </row>
    <row r="223" spans="1:14" hidden="1">
      <c r="A223" s="6"/>
      <c r="B223" s="2">
        <v>7601091</v>
      </c>
      <c r="C223" t="s">
        <v>935</v>
      </c>
      <c r="D223" s="2">
        <v>4</v>
      </c>
      <c r="E223" s="2">
        <v>3</v>
      </c>
      <c r="F223" t="s">
        <v>937</v>
      </c>
      <c r="G223" t="s">
        <v>936</v>
      </c>
      <c r="H223"/>
      <c r="I223" t="s">
        <v>938</v>
      </c>
      <c r="J223"/>
      <c r="K223" t="s">
        <v>939</v>
      </c>
      <c r="L223"/>
      <c r="M223" t="s">
        <v>940</v>
      </c>
      <c r="N223" s="18" t="str">
        <f t="shared" si="3"/>
        <v>;diretoria@suapemotos.com.br;diretoria@suapemotos.com.br;;eduardo.jonas@jpnrenault.com.br; ;eduardo.jonas@jpnrenault.com.br;gilmara@jpnrenault.com.br;cotech@jpnrenault.com.br</v>
      </c>
    </row>
    <row r="224" spans="1:14" hidden="1">
      <c r="A224" s="6"/>
      <c r="B224" s="2">
        <v>7601187</v>
      </c>
      <c r="C224" t="s">
        <v>941</v>
      </c>
      <c r="D224" s="2">
        <v>4</v>
      </c>
      <c r="E224" s="2">
        <v>3</v>
      </c>
      <c r="F224" t="s">
        <v>943</v>
      </c>
      <c r="G224" t="s">
        <v>942</v>
      </c>
      <c r="H224"/>
      <c r="I224" t="s">
        <v>944</v>
      </c>
      <c r="J224"/>
      <c r="K224" t="s">
        <v>945</v>
      </c>
      <c r="L224"/>
      <c r="M224"/>
      <c r="N224" s="18" t="str">
        <f t="shared" si="3"/>
        <v>;diretoria@suapemotos.com.br;jonathas.policarpo@jpnrenault.com.br; ;posvendas@jpngaranhuns.com.br;caixafilial@jpnrenault.com.br; gilmara@jpnrenault.com.br;</v>
      </c>
    </row>
    <row r="225" spans="1:14" ht="18" hidden="1" customHeight="1">
      <c r="A225" s="6"/>
      <c r="B225" s="2">
        <v>7601094</v>
      </c>
      <c r="C225" t="s">
        <v>946</v>
      </c>
      <c r="D225" s="2">
        <v>4</v>
      </c>
      <c r="E225" s="2">
        <v>3</v>
      </c>
      <c r="F225" s="1" t="s">
        <v>1499</v>
      </c>
      <c r="G225"/>
      <c r="H225" s="369" t="s">
        <v>948</v>
      </c>
      <c r="I225" s="1" t="s">
        <v>1500</v>
      </c>
      <c r="J225"/>
      <c r="K225" s="1" t="s">
        <v>1501</v>
      </c>
      <c r="L225"/>
      <c r="M225" s="1" t="s">
        <v>1502</v>
      </c>
      <c r="N225" s="18" t="str">
        <f t="shared" si="3"/>
        <v>diretor@vialestepatos.com.br;eridan.qf@hotmail.com;;;melrison.renault@vialestepatos.com.br;;renildo@vialestepatos.com.br;;angela@vialestepatos.com.br;;tayna@vialestepatos.com.br;victor.renault@vialestepatos.com.br;josimar@vialestepatos.com.br;gustavo@vialestepatos.com.br;val.santos@vialestepatos.com.br</v>
      </c>
    </row>
    <row r="226" spans="1:14" hidden="1">
      <c r="A226" s="6"/>
      <c r="B226" s="2">
        <v>7601086</v>
      </c>
      <c r="C226" t="s">
        <v>953</v>
      </c>
      <c r="D226" s="2">
        <v>4</v>
      </c>
      <c r="E226" s="2">
        <v>3</v>
      </c>
      <c r="F226" s="1" t="s">
        <v>1503</v>
      </c>
      <c r="G226" s="1" t="s">
        <v>955</v>
      </c>
      <c r="H226" s="1" t="s">
        <v>1504</v>
      </c>
      <c r="I226" s="1"/>
      <c r="J226"/>
      <c r="K226" s="1"/>
      <c r="L226"/>
      <c r="M226" s="1"/>
      <c r="N226" s="18" t="str">
        <f t="shared" si="3"/>
        <v>josejunior@autobelo.com.br;;diego@autobelo.com.br;;oficina@renaultvivant.com.br;danilo.lins@renaultvivant.com.br;;;</v>
      </c>
    </row>
    <row r="227" spans="1:14" hidden="1">
      <c r="A227" s="6"/>
      <c r="B227" s="2">
        <v>7600732</v>
      </c>
      <c r="C227" t="s">
        <v>958</v>
      </c>
      <c r="D227" s="2">
        <v>4</v>
      </c>
      <c r="E227" s="2">
        <v>4</v>
      </c>
      <c r="F227" t="s">
        <v>960</v>
      </c>
      <c r="G227"/>
      <c r="H227" t="s">
        <v>959</v>
      </c>
      <c r="I227" t="s">
        <v>961</v>
      </c>
      <c r="J227"/>
      <c r="K227"/>
      <c r="L227"/>
      <c r="M227" t="s">
        <v>1505</v>
      </c>
      <c r="N227" s="18" t="str">
        <f t="shared" si="3"/>
        <v>rubens.perina@grupoitadil.com.br;;gervendas@autoviarenault.com.br;gerposvendas@autoviarenault.com.br;;cotech@autoviarenault.com.br; ailana.freitas@grupoitadil.com.br</v>
      </c>
    </row>
    <row r="228" spans="1:14" hidden="1">
      <c r="A228" s="6"/>
      <c r="B228" s="2">
        <v>7600935</v>
      </c>
      <c r="C228" t="s">
        <v>963</v>
      </c>
      <c r="D228" s="2">
        <v>4</v>
      </c>
      <c r="E228" s="2">
        <v>4</v>
      </c>
      <c r="F228" t="s">
        <v>966</v>
      </c>
      <c r="G228" t="s">
        <v>965</v>
      </c>
      <c r="H228" t="s">
        <v>964</v>
      </c>
      <c r="I228" t="s">
        <v>967</v>
      </c>
      <c r="J228"/>
      <c r="K228" t="s">
        <v>967</v>
      </c>
      <c r="L228"/>
      <c r="M228" t="s">
        <v>968</v>
      </c>
      <c r="N228" s="18" t="str">
        <f t="shared" si="3"/>
        <v>cotech.servicos@renaultgamboa.com.br;;;wilsonjr1500@hotmail.com;;gerencia@renaultgamboa.com.br; supervisordevendas@renaultgamboa.com.br;gerencia@renaultgamboa.com.br;gerencia@renaultgamboa.com.br;cotech.servicos@renaultgamboa.com.br</v>
      </c>
    </row>
    <row r="229" spans="1:14" hidden="1">
      <c r="A229" s="6"/>
      <c r="B229" s="2">
        <v>7600863</v>
      </c>
      <c r="C229" t="s">
        <v>969</v>
      </c>
      <c r="D229" s="2">
        <v>4</v>
      </c>
      <c r="E229" s="2">
        <v>4</v>
      </c>
      <c r="F229" t="s">
        <v>972</v>
      </c>
      <c r="G229" t="s">
        <v>971</v>
      </c>
      <c r="H229" t="s">
        <v>970</v>
      </c>
      <c r="I229" t="s">
        <v>973</v>
      </c>
      <c r="J229"/>
      <c r="K229"/>
      <c r="L229"/>
      <c r="M229" t="s">
        <v>973</v>
      </c>
      <c r="N229" s="18" t="str">
        <f t="shared" si="3"/>
        <v>posvenda@lafranceveiculos.com.br;gerencia@lafranceveiculos.com.br;gerencia@lafranceveiculos.com.br;gerencia@lafranceveiculos.com.br;helio@cavepefiat.com.br;;sup.vendas@lafranceveiculos.com.br;posvenda@lafranceveiculos.com.br;;posvenda@lafranceveiculos.com.br</v>
      </c>
    </row>
    <row r="230" spans="1:14" hidden="1">
      <c r="A230" s="6"/>
      <c r="B230" s="2">
        <v>7600104</v>
      </c>
      <c r="C230" t="s">
        <v>974</v>
      </c>
      <c r="D230" s="2">
        <v>4</v>
      </c>
      <c r="E230" s="2">
        <v>4</v>
      </c>
      <c r="F230" t="s">
        <v>977</v>
      </c>
      <c r="G230" t="s">
        <v>976</v>
      </c>
      <c r="H230" t="s">
        <v>975</v>
      </c>
      <c r="I230" t="s">
        <v>978</v>
      </c>
      <c r="J230"/>
      <c r="K230" t="s">
        <v>979</v>
      </c>
      <c r="L230"/>
      <c r="M230" t="s">
        <v>980</v>
      </c>
      <c r="N230" s="18" t="str">
        <f t="shared" si="3"/>
        <v>;moacir@redencao.com.br;henrique@redencao.com.br;moacir@redencao.com.br;joacir@redencao.com.br;henrique@redencao.com.br;;aline.pessoa@redencao.com.br;henrique.soares@redencao.com.br;steeffany.ingryd@redencao.com.br; iara.marques@redencao.com.br;henrique.soares@redencao.com.br; steeffany.ingryd@redencao.com.br</v>
      </c>
    </row>
    <row r="231" spans="1:14" hidden="1">
      <c r="A231" s="6"/>
      <c r="B231" s="2">
        <v>7600763</v>
      </c>
      <c r="C231" t="s">
        <v>981</v>
      </c>
      <c r="D231" s="2">
        <v>4</v>
      </c>
      <c r="E231" s="2">
        <v>4</v>
      </c>
      <c r="F231" t="s">
        <v>977</v>
      </c>
      <c r="G231" t="s">
        <v>976</v>
      </c>
      <c r="H231"/>
      <c r="I231"/>
      <c r="J231"/>
      <c r="K231" t="s">
        <v>983</v>
      </c>
      <c r="L231"/>
      <c r="M231" t="s">
        <v>984</v>
      </c>
      <c r="N231" s="18" t="str">
        <f t="shared" si="3"/>
        <v>;moacir@redencao.com.br;joacir@redencao.com.br;henrique@redencao.com.br;;aline.pessoa@redencao.com.br;;steeffany.ingryd@redencaorenault.com.br;cotech@redencaorenault.com.br; henrique.soares@redencao.com.br; steeffany.ingryd@redencao.com.br</v>
      </c>
    </row>
    <row r="232" spans="1:14" hidden="1">
      <c r="A232" s="6"/>
      <c r="B232" s="2">
        <v>7600743</v>
      </c>
      <c r="C232" t="s">
        <v>985</v>
      </c>
      <c r="D232" s="2">
        <v>4</v>
      </c>
      <c r="E232" s="2">
        <v>4</v>
      </c>
      <c r="F232" t="s">
        <v>987</v>
      </c>
      <c r="G232" t="s">
        <v>986</v>
      </c>
      <c r="H232" t="s">
        <v>1506</v>
      </c>
      <c r="I232" t="s">
        <v>1507</v>
      </c>
      <c r="J232"/>
      <c r="K232" t="s">
        <v>1508</v>
      </c>
      <c r="L232"/>
      <c r="M232" t="s">
        <v>1509</v>
      </c>
      <c r="N232" s="18" t="str">
        <f t="shared" si="3"/>
        <v>marcelo.aquino@adtsa.com.br; rogers.lira@adtsa.com.br;bruno.tude@adtsa.com.br;francisco.tude@adtsa.com.br; bruno.filho@adtsa.com.br;joel.barbosa@adtsa.com.br;gilberto.neto@adtsa.com.br;joel.barbosa@adtsa.com.br; gilberto.neto@adtsa.com.br;ana.flexa@adtsa.com.br;liliane.costa@adtsa.com.br</v>
      </c>
    </row>
    <row r="233" spans="1:14" hidden="1">
      <c r="A233" s="6"/>
      <c r="B233" s="2">
        <v>7600597</v>
      </c>
      <c r="C233" t="s">
        <v>990</v>
      </c>
      <c r="D233" s="2">
        <v>4</v>
      </c>
      <c r="E233" s="2">
        <v>4</v>
      </c>
      <c r="F233" t="s">
        <v>1510</v>
      </c>
      <c r="G233" t="s">
        <v>986</v>
      </c>
      <c r="H233" t="s">
        <v>1506</v>
      </c>
      <c r="I233" t="s">
        <v>1507</v>
      </c>
      <c r="J233"/>
      <c r="K233" t="s">
        <v>1508</v>
      </c>
      <c r="L233"/>
      <c r="M233" t="s">
        <v>1511</v>
      </c>
      <c r="N233" s="18" t="str">
        <f t="shared" si="3"/>
        <v>marcelo.aquino@adtsa.com.br; rogers.lira@adtsa.com.br;bruno.tude@adtsa.com.br;francisco.tude@adtsa.com.br; bruno.filho@adtsa.com.br;leonardo.pacheco@adtsa.com.br;gilberto.neto@adtsa.com.br;joel.barbosa@adtsa.com.br; gilberto.neto@adtsa.com.br;ana.flexa@adtsa.com.br;liliane.costa@adtsa.com.br; luenio.herculino@adtsa.com.br;</v>
      </c>
    </row>
    <row r="234" spans="1:14" hidden="1">
      <c r="A234" s="6"/>
      <c r="B234" s="2">
        <v>7600737</v>
      </c>
      <c r="C234" t="s">
        <v>993</v>
      </c>
      <c r="D234" s="2">
        <v>4</v>
      </c>
      <c r="E234" s="2">
        <v>4</v>
      </c>
      <c r="F234" t="s">
        <v>1512</v>
      </c>
      <c r="G234" t="s">
        <v>986</v>
      </c>
      <c r="H234" t="s">
        <v>1506</v>
      </c>
      <c r="I234" t="s">
        <v>1507</v>
      </c>
      <c r="J234"/>
      <c r="K234" t="s">
        <v>1508</v>
      </c>
      <c r="L234"/>
      <c r="M234" t="s">
        <v>1513</v>
      </c>
      <c r="N234" s="18" t="str">
        <f t="shared" si="3"/>
        <v xml:space="preserve">marcelo.aquino@adtsa.com.br; rogers.lira@adtsa.com.br;bruno.tude@adtsa.com.br;francisco.tude@adtsa.com.br; bruno.filho@adtsa.com.br;leide.nunes@adtsa.com.br;gilberto.neto@adtsa.com.br;joel.barbosa@adtsa.com.br; gilberto.neto@adtsa.com.br;ana.flexa@adtsa.com.br;liliane.costa@adtsa.com.br </v>
      </c>
    </row>
    <row r="235" spans="1:14" hidden="1">
      <c r="A235" s="6"/>
      <c r="B235" s="2">
        <v>7600596</v>
      </c>
      <c r="C235" t="s">
        <v>996</v>
      </c>
      <c r="D235" s="2">
        <v>4</v>
      </c>
      <c r="E235" s="2">
        <v>4</v>
      </c>
      <c r="F235" t="s">
        <v>1514</v>
      </c>
      <c r="G235" t="s">
        <v>986</v>
      </c>
      <c r="H235" t="s">
        <v>1506</v>
      </c>
      <c r="I235" t="s">
        <v>1507</v>
      </c>
      <c r="J235"/>
      <c r="K235" t="s">
        <v>1508</v>
      </c>
      <c r="L235"/>
      <c r="M235" t="s">
        <v>1509</v>
      </c>
      <c r="N235" s="18" t="str">
        <f t="shared" si="3"/>
        <v>marcelo.aquino@adtsa.com.br; rogers.lira@adtsa.com.br;bruno.tude@adtsa.com.br;francisco.tude@adtsa.com.br; bruno.filho@adtsa.com.br;eudes.aquino@adtsa.com.br; hebert.guimaraes@adtsa.com.br;gilberto.neto@adtsa.com.br;joel.barbosa@adtsa.com.br; gilberto.neto@adtsa.com.br;ana.flexa@adtsa.com.br;liliane.costa@adtsa.com.br</v>
      </c>
    </row>
    <row r="236" spans="1:14" hidden="1">
      <c r="A236" s="6"/>
      <c r="B236" s="2">
        <v>7600286</v>
      </c>
      <c r="C236" t="s">
        <v>998</v>
      </c>
      <c r="D236" s="2">
        <v>4</v>
      </c>
      <c r="E236" s="2">
        <v>5</v>
      </c>
      <c r="F236" t="s">
        <v>1001</v>
      </c>
      <c r="G236" t="s">
        <v>1000</v>
      </c>
      <c r="H236" s="1" t="s">
        <v>1515</v>
      </c>
      <c r="I236" t="s">
        <v>1001</v>
      </c>
      <c r="J236"/>
      <c r="K236" t="s">
        <v>1002</v>
      </c>
      <c r="L236"/>
      <c r="M236" t="s">
        <v>1003</v>
      </c>
      <c r="N236" s="18" t="str">
        <f t="shared" si="3"/>
        <v xml:space="preserve">rodrigo@carmais.com.br;adriano.mendonca@carmais.com.br ;danilo.queiroz@carmais.com.br; adrianoventura@carmais.com.br ; dea.pena@carmais.com.br;antonio.rodrigues@carmais.com.br;antonio.rodrigues@carmais.com.br;dea.pena@carmais.com.br;ana.carneiro@carmais.com.br; jonathas.santos@carmais.com.br; barbara.nogueira@carmais.com.br; fcoventura@carmais.com.br </v>
      </c>
    </row>
    <row r="237" spans="1:14" hidden="1">
      <c r="A237" s="6"/>
      <c r="B237" s="2">
        <v>7600927</v>
      </c>
      <c r="C237" t="s">
        <v>1004</v>
      </c>
      <c r="D237" s="2">
        <v>4</v>
      </c>
      <c r="E237" s="2">
        <v>5</v>
      </c>
      <c r="F237" t="s">
        <v>1007</v>
      </c>
      <c r="G237" t="s">
        <v>1006</v>
      </c>
      <c r="H237" t="s">
        <v>1005</v>
      </c>
      <c r="I237" t="s">
        <v>1008</v>
      </c>
      <c r="J237"/>
      <c r="K237" t="s">
        <v>1516</v>
      </c>
      <c r="L237"/>
      <c r="M237"/>
      <c r="N237" s="18" t="str">
        <f t="shared" si="3"/>
        <v>antoniowalber@grupohws.com.br;diretoria@fortmotos.com.br;nayana@nordveiculos.com.br;alcinei@nordveiculos.com.br;roberjaniapinheiro@fortnissan.com.br; janainaviviane@fortnissan.com.br;</v>
      </c>
    </row>
    <row r="238" spans="1:14" hidden="1">
      <c r="A238" s="6"/>
      <c r="B238" s="2">
        <v>7600948</v>
      </c>
      <c r="C238" t="s">
        <v>1010</v>
      </c>
      <c r="D238" s="2">
        <v>4</v>
      </c>
      <c r="E238" s="2">
        <v>5</v>
      </c>
      <c r="F238" s="1" t="s">
        <v>1517</v>
      </c>
      <c r="G238" t="s">
        <v>1518</v>
      </c>
      <c r="H238" s="1" t="s">
        <v>1519</v>
      </c>
      <c r="I238" s="1" t="s">
        <v>1520</v>
      </c>
      <c r="J238"/>
      <c r="K238" s="1" t="s">
        <v>1521</v>
      </c>
      <c r="L238"/>
      <c r="M238" t="s">
        <v>1522</v>
      </c>
      <c r="N238" s="18" t="str">
        <f t="shared" si="3"/>
        <v>liliane.costa@adtsa.com.br; marcelo.aquino@adtsa.com.br; rogers.lira@adtsa.com.br;bruno.tude@adtsa.com.br; bruno.filho@adtsa.com.br; joao.tude@adtsa.com.br;santiago.silva@adtsa.com.br;dalzineide.silva@adtsa.com.br;ana.flexa@adtsa.com.br;liliane.costa@adtsa.com.br; francisco.gleiston@adtsa.com.br; santiago.silva@adtsa.com.br;</v>
      </c>
    </row>
    <row r="239" spans="1:14" hidden="1">
      <c r="A239" s="6"/>
      <c r="B239" s="2">
        <v>7600985</v>
      </c>
      <c r="C239" t="s">
        <v>1016</v>
      </c>
      <c r="D239" s="2">
        <v>4</v>
      </c>
      <c r="E239" s="2">
        <v>5</v>
      </c>
      <c r="F239" s="1" t="s">
        <v>1517</v>
      </c>
      <c r="G239" t="s">
        <v>1518</v>
      </c>
      <c r="H239" s="1" t="s">
        <v>1519</v>
      </c>
      <c r="I239" s="1" t="s">
        <v>1520</v>
      </c>
      <c r="J239"/>
      <c r="K239" s="1" t="s">
        <v>1521</v>
      </c>
      <c r="L239"/>
      <c r="M239" t="s">
        <v>1522</v>
      </c>
      <c r="N239" s="18" t="str">
        <f t="shared" si="3"/>
        <v>liliane.costa@adtsa.com.br; marcelo.aquino@adtsa.com.br; rogers.lira@adtsa.com.br;bruno.tude@adtsa.com.br; bruno.filho@adtsa.com.br; joao.tude@adtsa.com.br;santiago.silva@adtsa.com.br;dalzineide.silva@adtsa.com.br;ana.flexa@adtsa.com.br;liliane.costa@adtsa.com.br; francisco.gleiston@adtsa.com.br; santiago.silva@adtsa.com.br;</v>
      </c>
    </row>
    <row r="240" spans="1:14" hidden="1">
      <c r="A240" s="6"/>
      <c r="B240" s="2">
        <v>7601136</v>
      </c>
      <c r="C240" t="s">
        <v>1017</v>
      </c>
      <c r="D240" s="2">
        <v>4</v>
      </c>
      <c r="E240" s="2">
        <v>5</v>
      </c>
      <c r="F240" t="s">
        <v>1020</v>
      </c>
      <c r="G240" t="s">
        <v>1019</v>
      </c>
      <c r="H240" t="s">
        <v>1018</v>
      </c>
      <c r="I240" t="s">
        <v>1020</v>
      </c>
      <c r="J240"/>
      <c r="K240" t="s">
        <v>1021</v>
      </c>
      <c r="L240"/>
      <c r="M240" t="s">
        <v>1523</v>
      </c>
      <c r="N240" s="18" t="str">
        <f t="shared" si="3"/>
        <v>;marcelo@grupolinhares.com.br;;carmen@grupolinhares.com.br;fernando@grupolinhares.com.br;;allan.araujo@terrasantarenault.com.br;allan.araujo@terrasantarenault.com.br;fran.arimateia@terrasantahmb.com.br; ;cotech@terrasantarenault.com.br; thiago.bezerra@grupolinhares.com.br; ; cicera.valdenia@grupolinhares.com.br; luciana.silva@terrasantarenault.com.br; leonardo.resck@grupolinhares.com.br</v>
      </c>
    </row>
    <row r="241" spans="1:14" hidden="1">
      <c r="A241" s="6"/>
      <c r="B241" s="2">
        <v>7600164</v>
      </c>
      <c r="C241" t="s">
        <v>1023</v>
      </c>
      <c r="D241" s="2">
        <v>4</v>
      </c>
      <c r="E241" s="2">
        <v>5</v>
      </c>
      <c r="F241" t="s">
        <v>1026</v>
      </c>
      <c r="G241" t="s">
        <v>1025</v>
      </c>
      <c r="H241" t="s">
        <v>1024</v>
      </c>
      <c r="I241" t="s">
        <v>1027</v>
      </c>
      <c r="J241"/>
      <c r="K241" t="s">
        <v>1028</v>
      </c>
      <c r="L241"/>
      <c r="M241"/>
      <c r="N241" s="18" t="str">
        <f t="shared" si="3"/>
        <v>ericoveiga@viaparisnet.com.br ;fernandomenezes@viaparisnet.com.br;axena@viaparisnet.com.br ;valcy@viaparisnet.com.br ;theresahilda@viaparisnet.com.br;</v>
      </c>
    </row>
    <row r="242" spans="1:14" hidden="1">
      <c r="A242" s="6"/>
      <c r="B242" s="2">
        <v>7600755</v>
      </c>
      <c r="C242" t="s">
        <v>1029</v>
      </c>
      <c r="D242" s="2">
        <v>4</v>
      </c>
      <c r="E242" s="2">
        <v>5</v>
      </c>
      <c r="F242" t="s">
        <v>1030</v>
      </c>
      <c r="G242" t="s">
        <v>1025</v>
      </c>
      <c r="H242" t="s">
        <v>1024</v>
      </c>
      <c r="I242" t="s">
        <v>1027</v>
      </c>
      <c r="J242"/>
      <c r="K242" t="s">
        <v>1028</v>
      </c>
      <c r="L242"/>
      <c r="M242"/>
      <c r="N242" s="18" t="str">
        <f t="shared" si="3"/>
        <v>ericoveiga@viaparisnet.com.br ;fernandomenezes@viaparisnet.com.br;joaosilveira@viaparisnet.com.br ;valcy@viaparisnet.com.br ;theresahilda@viaparisnet.com.br;</v>
      </c>
    </row>
    <row r="243" spans="1:14" hidden="1">
      <c r="A243" s="6"/>
      <c r="B243" s="2">
        <v>7600779</v>
      </c>
      <c r="C243" t="s">
        <v>1031</v>
      </c>
      <c r="D243" s="2">
        <v>4</v>
      </c>
      <c r="E243" s="2">
        <v>5</v>
      </c>
      <c r="F243" t="s">
        <v>1032</v>
      </c>
      <c r="G243" t="s">
        <v>1025</v>
      </c>
      <c r="H243" t="s">
        <v>1024</v>
      </c>
      <c r="I243" t="s">
        <v>1027</v>
      </c>
      <c r="J243"/>
      <c r="K243" t="s">
        <v>1028</v>
      </c>
      <c r="L243"/>
      <c r="M243"/>
      <c r="N243" s="18" t="str">
        <f t="shared" si="3"/>
        <v>ericoveiga@viaparisnet.com.br ;fernandomenezes@viaparisnet.com.br;myllenathays@viaparisnet.com.br ;valcy@viaparisnet.com.br ;theresahilda@viaparisnet.com.br;</v>
      </c>
    </row>
    <row r="244" spans="1:14" hidden="1">
      <c r="A244" s="6"/>
      <c r="B244" s="2">
        <v>7600678</v>
      </c>
      <c r="C244" t="s">
        <v>1049</v>
      </c>
      <c r="D244" s="2">
        <v>4</v>
      </c>
      <c r="E244" s="2">
        <v>6</v>
      </c>
      <c r="F244" t="s">
        <v>1052</v>
      </c>
      <c r="G244" t="s">
        <v>1051</v>
      </c>
      <c r="H244" t="s">
        <v>1050</v>
      </c>
      <c r="I244" t="s">
        <v>1053</v>
      </c>
      <c r="J244"/>
      <c r="K244" t="s">
        <v>1054</v>
      </c>
      <c r="L244"/>
      <c r="M244" t="s">
        <v>1055</v>
      </c>
      <c r="N244" s="18" t="str">
        <f t="shared" si="3"/>
        <v>supervisor.pv.filial@dicalrenault.com.br;osvaldorui@dicalrenault.com.br;luizamartins@dicalrenault.com.br;osvaldorui@dicalfiat.com.br;;gerente.matriz@dicalrenault.com.br; supervisor.pv.filial@dicalrenault.com.br;supervisor.pv.filial@dicalrenault.com.br;qualidade@dicalrenault.com.br;cotech.filialcz@dicalrenault.com.br</v>
      </c>
    </row>
    <row r="245" spans="1:14" ht="14.85" hidden="1" customHeight="1">
      <c r="A245" s="6"/>
      <c r="B245" s="2">
        <v>7600680</v>
      </c>
      <c r="C245" t="s">
        <v>1033</v>
      </c>
      <c r="D245" s="2">
        <v>4</v>
      </c>
      <c r="E245" s="2">
        <v>6</v>
      </c>
      <c r="F245"/>
      <c r="G245" t="s">
        <v>1034</v>
      </c>
      <c r="H245"/>
      <c r="I245" t="s">
        <v>1035</v>
      </c>
      <c r="J245"/>
      <c r="K245" t="s">
        <v>1036</v>
      </c>
      <c r="L245"/>
      <c r="M245" t="s">
        <v>1037</v>
      </c>
      <c r="N245" s="18" t="str">
        <f t="shared" si="3"/>
        <v>;gabriel@gamaautos.com.br;sergio@grupogama.com.br;;;posvenda@gamaautos.com.br;qualidade@renaultgama.com.br;oficina@renaultgama.com.br</v>
      </c>
    </row>
    <row r="246" spans="1:14" ht="14.85" hidden="1" customHeight="1">
      <c r="A246" s="6"/>
      <c r="B246" s="2">
        <v>7600363</v>
      </c>
      <c r="C246" t="s">
        <v>1038</v>
      </c>
      <c r="D246" s="2">
        <v>4</v>
      </c>
      <c r="E246" s="2">
        <v>6</v>
      </c>
      <c r="F246" t="s">
        <v>1039</v>
      </c>
      <c r="G246" t="s">
        <v>1034</v>
      </c>
      <c r="H246"/>
      <c r="I246" t="s">
        <v>1040</v>
      </c>
      <c r="J246"/>
      <c r="K246" t="s">
        <v>1036</v>
      </c>
      <c r="L246"/>
      <c r="M246" t="s">
        <v>1037</v>
      </c>
      <c r="N246" s="18" t="str">
        <f t="shared" si="3"/>
        <v>;gabriel@gamaautos.com.br;sergio@grupogama.com.br;;posvenda@renaultgama.com.br;posvenda@gamaautos.com.br; posvenda@renaultgama.com.br;qualidade@renaultgama.com.br;oficina@renaultgama.com.br</v>
      </c>
    </row>
    <row r="247" spans="1:14" ht="14.1" hidden="1" customHeight="1">
      <c r="B247" s="2">
        <v>7600897</v>
      </c>
      <c r="C247" t="s">
        <v>1066</v>
      </c>
      <c r="D247" s="2">
        <v>4</v>
      </c>
      <c r="E247" s="2">
        <v>6</v>
      </c>
      <c r="F247" t="s">
        <v>1069</v>
      </c>
      <c r="G247" t="s">
        <v>1068</v>
      </c>
      <c r="H247" t="s">
        <v>1067</v>
      </c>
      <c r="I247" t="s">
        <v>1069</v>
      </c>
      <c r="J247"/>
      <c r="K247" t="s">
        <v>1070</v>
      </c>
      <c r="L247"/>
      <c r="M247" t="s">
        <v>1071</v>
      </c>
      <c r="N247" s="18" t="str">
        <f t="shared" si="3"/>
        <v>;jorge@recio.com;jorge@recio.com;jorge@recio.com;marilia@recio.com;recio@recio.com;;posvendarenault@amauto.com.br;posvendarenault@amauto.com.br;crm@amauto.com.br; rosana@amauto.com.br;alisoncolares.bruno@gmail.com; kaizen@amauto.com.br; estoquista@amauto.com.br</v>
      </c>
    </row>
    <row r="248" spans="1:14" ht="9.6" hidden="1" customHeight="1">
      <c r="A248" s="6"/>
      <c r="B248" s="2">
        <v>7600810</v>
      </c>
      <c r="C248" t="s">
        <v>1041</v>
      </c>
      <c r="D248" s="2">
        <v>4</v>
      </c>
      <c r="E248" s="2">
        <v>6</v>
      </c>
      <c r="F248" t="s">
        <v>1043</v>
      </c>
      <c r="G248" t="s">
        <v>1524</v>
      </c>
      <c r="H248" t="s">
        <v>1524</v>
      </c>
      <c r="I248" t="s">
        <v>1043</v>
      </c>
      <c r="J248"/>
      <c r="K248" t="s">
        <v>1044</v>
      </c>
      <c r="L248"/>
      <c r="M248" t="s">
        <v>1045</v>
      </c>
      <c r="N248" s="18" t="str">
        <f t="shared" si="3"/>
        <v>Loreane@grupojcf.com.br;Loreane@grupojcf.com.br;Ana.prm@grupojcf.com.br;Ana.prm@grupojcf.com.br;lilian.prm@grupojcf.com.br;Haidee.mvm@grupojcf.com.br</v>
      </c>
    </row>
    <row r="249" spans="1:14" ht="15" hidden="1" customHeight="1">
      <c r="A249" s="6"/>
      <c r="B249" s="2">
        <v>7600872</v>
      </c>
      <c r="C249" t="s">
        <v>1046</v>
      </c>
      <c r="D249" s="2">
        <v>4</v>
      </c>
      <c r="E249" s="2">
        <v>6</v>
      </c>
      <c r="F249" s="1" t="s">
        <v>1525</v>
      </c>
      <c r="G249" t="s">
        <v>1524</v>
      </c>
      <c r="H249" t="s">
        <v>1524</v>
      </c>
      <c r="I249" s="1" t="s">
        <v>1525</v>
      </c>
      <c r="J249"/>
      <c r="K249" t="s">
        <v>1048</v>
      </c>
      <c r="L249"/>
      <c r="M249" t="s">
        <v>1045</v>
      </c>
      <c r="N249" s="18" t="str">
        <f t="shared" si="3"/>
        <v>Loreane@grupojcf.com.br;Loreane@grupojcf.com.br;alison.prf@grupojcf.com;alison.prf@grupojcf.com;Josefa.prf@grupojcf.com.br;Haidee.mvm@grupojcf.com.br</v>
      </c>
    </row>
    <row r="250" spans="1:14" hidden="1">
      <c r="A250" s="6"/>
      <c r="B250" s="2">
        <v>7600804</v>
      </c>
      <c r="C250" t="s">
        <v>1056</v>
      </c>
      <c r="D250" s="2">
        <v>4</v>
      </c>
      <c r="E250" s="2">
        <v>6</v>
      </c>
      <c r="F250" t="s">
        <v>84</v>
      </c>
      <c r="G250" t="s">
        <v>1057</v>
      </c>
      <c r="H250"/>
      <c r="I250" t="s">
        <v>1058</v>
      </c>
      <c r="J250"/>
      <c r="K250" s="1" t="s">
        <v>1526</v>
      </c>
      <c r="L250"/>
      <c r="M250" t="s">
        <v>1060</v>
      </c>
      <c r="N250" t="str">
        <f t="shared" si="3"/>
        <v>;diretoria@grupomazzutti.com.br;maristela@grupomazzutti.com.br;;; ;; lucas.martins@grupomazzutti.com.br; alexander@grupomazzutti.com.br; alexander@grupomazzutti.com.br;qualidade@grupomazzutti.com.br;;cotechre@grupomazzutti.com.br; pecasre@grupomazzutti.com.br; bryan.magalhaes@grupomazzutti.com.br; vendas1re@grupomazzutti.com.br</v>
      </c>
    </row>
    <row r="251" spans="1:14" hidden="1">
      <c r="A251" s="6"/>
      <c r="B251" s="2">
        <v>7601095</v>
      </c>
      <c r="C251" t="s">
        <v>1061</v>
      </c>
      <c r="D251" s="2">
        <v>4</v>
      </c>
      <c r="E251" s="2">
        <v>6</v>
      </c>
      <c r="F251"/>
      <c r="G251" t="s">
        <v>1057</v>
      </c>
      <c r="H251"/>
      <c r="I251" t="s">
        <v>1062</v>
      </c>
      <c r="J251"/>
      <c r="K251" t="s">
        <v>1526</v>
      </c>
      <c r="L251"/>
      <c r="M251" t="s">
        <v>1063</v>
      </c>
      <c r="N251" t="str">
        <f t="shared" si="3"/>
        <v>;diretoria@grupomazzutti.com.br;maristela@grupomazzutti.com.br;;;lucas.martins@grupomazzutti.com.br; alexander@grupomazzutti.com.br;qualidade@grupomazzutti.com.br;;oficinare.vilhena@grupomazzutti.com.br; pecasre@grupomazzutti.com.br; amanda.trovao@grupomazzutti.com.br</v>
      </c>
    </row>
    <row r="252" spans="1:14" hidden="1">
      <c r="A252" s="6"/>
      <c r="B252" s="2">
        <v>7600599</v>
      </c>
      <c r="C252" t="s">
        <v>1064</v>
      </c>
      <c r="D252" s="2">
        <v>4</v>
      </c>
      <c r="E252" s="2">
        <v>6</v>
      </c>
      <c r="F252"/>
      <c r="G252"/>
      <c r="H252" t="s">
        <v>1527</v>
      </c>
      <c r="I252"/>
      <c r="J252"/>
      <c r="K252" t="s">
        <v>823</v>
      </c>
      <c r="L252"/>
      <c r="M252"/>
      <c r="N252" s="18" t="str">
        <f t="shared" si="3"/>
        <v>furlan@renaultalliance.com.br;;;;chrysney.tathiana@primavia.com.br;</v>
      </c>
    </row>
    <row r="253" spans="1:14" ht="42.95" hidden="1" customHeight="1">
      <c r="A253" s="6"/>
      <c r="B253" s="2">
        <v>7600718</v>
      </c>
      <c r="C253" t="s">
        <v>1083</v>
      </c>
      <c r="D253" s="2">
        <v>4</v>
      </c>
      <c r="E253" s="2">
        <v>7</v>
      </c>
      <c r="F253" s="371" t="s">
        <v>1084</v>
      </c>
      <c r="G253"/>
      <c r="H253" s="372" t="s">
        <v>1528</v>
      </c>
      <c r="I253" s="372" t="s">
        <v>1529</v>
      </c>
      <c r="J253"/>
      <c r="K253" t="s">
        <v>1530</v>
      </c>
      <c r="L253"/>
      <c r="M253" s="372" t="s">
        <v>1531</v>
      </c>
      <c r="N253" s="18" t="str">
        <f t="shared" si="3"/>
        <v>carlos.henrique@revemar.com.br; patricia.alencar@revemar.com.br; walter.gomes@revemar.com.br;;paula.morais@revemar.com.br;cristiane.sm@revemar.com.br;bel.dno.quali2@revemar.com.br; bel.dno.quali@revemar.com.br;luzia.santos@revemar.com.br; alice.mesquita@revemar.com.br; luciana.dias@revemar.com.br; gleica.meliza@revemar.com.br; jillis.costa@revemar.com.br</v>
      </c>
    </row>
    <row r="254" spans="1:14" ht="42.95" hidden="1" customHeight="1">
      <c r="A254" s="6"/>
      <c r="B254" s="2">
        <v>7600466</v>
      </c>
      <c r="C254" t="s">
        <v>1086</v>
      </c>
      <c r="D254" s="2">
        <v>4</v>
      </c>
      <c r="E254" s="2">
        <v>7</v>
      </c>
      <c r="F254" s="371" t="s">
        <v>1084</v>
      </c>
      <c r="G254"/>
      <c r="H254" s="372" t="s">
        <v>1528</v>
      </c>
      <c r="I254" s="372" t="s">
        <v>1529</v>
      </c>
      <c r="J254"/>
      <c r="K254" t="s">
        <v>1530</v>
      </c>
      <c r="L254"/>
      <c r="M254" s="372" t="s">
        <v>1532</v>
      </c>
      <c r="N254" s="18" t="str">
        <f t="shared" si="3"/>
        <v>carlos.henrique@revemar.com.br; patricia.alencar@revemar.com.br; walter.gomes@revemar.com.br;;paula.morais@revemar.com.br;cristiane.sm@revemar.com.br;bel.dno.quali2@revemar.com.br; bel.dno.quali@revemar.com.br;luzia.santos@revemar.com.br; alice.mesquita@revemar.com.br; luciana.dias@revemar.com.br; gleica.meliza@revemar.com.br; wildrin.blanco@revemar.com.br</v>
      </c>
    </row>
    <row r="255" spans="1:14" ht="42.95" hidden="1" customHeight="1">
      <c r="A255" s="6"/>
      <c r="B255" s="2">
        <v>7601158</v>
      </c>
      <c r="C255" t="s">
        <v>1088</v>
      </c>
      <c r="D255" s="2">
        <v>4</v>
      </c>
      <c r="E255" s="2">
        <v>7</v>
      </c>
      <c r="F255" s="371" t="s">
        <v>1533</v>
      </c>
      <c r="G255"/>
      <c r="H255" s="372" t="s">
        <v>1528</v>
      </c>
      <c r="I255" s="372" t="s">
        <v>1089</v>
      </c>
      <c r="J255"/>
      <c r="K255" t="s">
        <v>1534</v>
      </c>
      <c r="L255"/>
      <c r="M255" s="372" t="s">
        <v>1535</v>
      </c>
      <c r="N255" s="18" t="str">
        <f t="shared" si="3"/>
        <v>carlos.henrique@revemar.com.br; patricia.alencar@revemar.com.br; walter.gomes@revemar.com.br;;lorhaine.fraga@revemar.com.br;reymar.sena@revemar.com.br;qualidade.itz.dunort@revemar.com.br; giuliana.carvalho@revemar.com.br;luzia.santos@revemar.com.br; alice.mesquita@revemar.com.br; luciana.dias@revemar.com.br; aline.araujo@revemar.com.br</v>
      </c>
    </row>
    <row r="256" spans="1:14" ht="42.95" hidden="1" customHeight="1">
      <c r="A256" s="6"/>
      <c r="B256" s="2">
        <v>7601156</v>
      </c>
      <c r="C256" t="s">
        <v>1072</v>
      </c>
      <c r="D256" s="2">
        <v>4</v>
      </c>
      <c r="E256" s="2">
        <v>7</v>
      </c>
      <c r="F256" s="371" t="s">
        <v>1536</v>
      </c>
      <c r="G256"/>
      <c r="H256" s="372" t="s">
        <v>1528</v>
      </c>
      <c r="I256" s="371" t="s">
        <v>1537</v>
      </c>
      <c r="J256"/>
      <c r="K256" t="s">
        <v>1538</v>
      </c>
      <c r="L256"/>
      <c r="M256" s="372" t="s">
        <v>1539</v>
      </c>
      <c r="N256" s="18" t="str">
        <f t="shared" si="3"/>
        <v>carlos.henrique@revemar.com.br; patricia.alencar@revemar.com.br; walter.gomes@revemar.com.br;;ailson.neto@revemar.com.br;lucileny.duarte@revemar.com.br;janaina.sales@revemar.com.br; rosana.cirino@revemar.com.br;luzia.santos@revemar.com.br; alice.mesquita@revemar.com.br; luciana.dias@revemar.com.br; amanda.evely@revemar.com.br</v>
      </c>
    </row>
    <row r="257" spans="1:14" ht="42.95" hidden="1" customHeight="1">
      <c r="A257" s="6"/>
      <c r="B257" s="2">
        <v>7601153</v>
      </c>
      <c r="C257" t="s">
        <v>1091</v>
      </c>
      <c r="D257" s="2">
        <v>4</v>
      </c>
      <c r="E257" s="2">
        <v>7</v>
      </c>
      <c r="F257" s="371" t="s">
        <v>1092</v>
      </c>
      <c r="G257"/>
      <c r="H257" s="372" t="s">
        <v>1528</v>
      </c>
      <c r="I257" s="371" t="s">
        <v>1540</v>
      </c>
      <c r="J257"/>
      <c r="K257" t="s">
        <v>1541</v>
      </c>
      <c r="L257"/>
      <c r="M257" s="372" t="s">
        <v>1542</v>
      </c>
      <c r="N257" s="18" t="str">
        <f t="shared" si="3"/>
        <v xml:space="preserve">carlos.henrique@revemar.com.br; patricia.alencar@revemar.com.br; walter.gomes@revemar.com.br;;ieda.soares@revemar.com.br;wilkleson@revemar.com.br;qualidade.dno.mab@revemar.com.br;luzia.santos@revemar.com.br; alice.mesquita@revemar.com.br; luciana.dias@revemar.com.br;  joyce.glenda@revemar.com.br; </v>
      </c>
    </row>
    <row r="258" spans="1:14" ht="42.95" hidden="1" customHeight="1">
      <c r="A258" s="6"/>
      <c r="B258" s="2">
        <v>7601159</v>
      </c>
      <c r="C258" t="s">
        <v>1094</v>
      </c>
      <c r="D258" s="2">
        <v>4</v>
      </c>
      <c r="E258" s="2">
        <v>7</v>
      </c>
      <c r="F258" s="371" t="s">
        <v>1096</v>
      </c>
      <c r="G258"/>
      <c r="H258" s="372" t="s">
        <v>1528</v>
      </c>
      <c r="I258" s="372" t="s">
        <v>1543</v>
      </c>
      <c r="J258"/>
      <c r="K258" t="s">
        <v>1544</v>
      </c>
      <c r="L258"/>
      <c r="M258" s="372" t="s">
        <v>1545</v>
      </c>
      <c r="N258" s="18" t="str">
        <f t="shared" si="3"/>
        <v>carlos.henrique@revemar.com.br; patricia.alencar@revemar.com.br; walter.gomes@revemar.com.br;;carla.xavier@revemar.com.br;geise.moraes@revemar.com.br;;dunort.peb.quali@revemar.com.br;luzia.santos@revemar.com.br; alice.mesquita@revemar.com.br; luciana.dias@revemar.com.br; joyce.glenda@revemar.com.br</v>
      </c>
    </row>
    <row r="259" spans="1:14" ht="42.95" hidden="1" customHeight="1">
      <c r="A259" s="6"/>
      <c r="B259" s="2">
        <v>7601135</v>
      </c>
      <c r="C259" t="s">
        <v>1079</v>
      </c>
      <c r="D259" s="2">
        <v>4</v>
      </c>
      <c r="E259" s="2">
        <v>7</v>
      </c>
      <c r="F259" s="371" t="s">
        <v>1546</v>
      </c>
      <c r="G259"/>
      <c r="H259" s="372" t="s">
        <v>1528</v>
      </c>
      <c r="I259" s="371" t="s">
        <v>1080</v>
      </c>
      <c r="J259"/>
      <c r="K259" t="s">
        <v>1547</v>
      </c>
      <c r="L259"/>
      <c r="M259" s="372" t="s">
        <v>1548</v>
      </c>
      <c r="N259" s="18" t="str">
        <f t="shared" si="3"/>
        <v>carlos.henrique@revemar.com.br; patricia.alencar@revemar.com.br; walter.gomes@revemar.com.br;;leandro.chaves@revemar.com.br;taylor.santos@revemar.com.br;qualidade.dno.rbr@revemar.com.br;luzia.santos@revemar.com.br; alice.mesquita@revemar.com.br; luciana.dias@revemar.com.br; rayani.silva@revemar.com.br</v>
      </c>
    </row>
    <row r="260" spans="1:14" ht="42.95" hidden="1" customHeight="1">
      <c r="A260" s="6"/>
      <c r="B260" s="2">
        <v>7601155</v>
      </c>
      <c r="C260" t="s">
        <v>1098</v>
      </c>
      <c r="D260" s="2">
        <v>4</v>
      </c>
      <c r="E260" s="2">
        <v>7</v>
      </c>
      <c r="F260" s="371" t="s">
        <v>1099</v>
      </c>
      <c r="G260"/>
      <c r="H260" s="372" t="s">
        <v>1528</v>
      </c>
      <c r="I260" s="371" t="s">
        <v>1549</v>
      </c>
      <c r="J260"/>
      <c r="K260" t="s">
        <v>1550</v>
      </c>
      <c r="L260"/>
      <c r="M260" s="372" t="s">
        <v>1551</v>
      </c>
      <c r="N260" s="18" t="str">
        <f t="shared" ref="N260:N266" si="4">H260&amp;";"&amp;G260&amp;";"&amp;F260&amp;";"&amp;I260&amp;";"&amp;K260&amp;";"&amp;M260</f>
        <v>carlos.henrique@revemar.com.br; patricia.alencar@revemar.com.br; walter.gomes@revemar.com.br;;deyvison.ferreira@revemar.com.br;emerson.costa@revemar.com.br;giuliana.carvalho@revemar.com.br; qualidade.itz.dunort@revemar.com.br;luzia.santos@revemar.com.br; alice.mesquita@revemar.com.br; luciana.dias@revemar.com.br; amanda.costa@revemar.com.br</v>
      </c>
    </row>
    <row r="261" spans="1:14" ht="42.95" hidden="1" customHeight="1">
      <c r="A261" s="6"/>
      <c r="B261" s="2">
        <v>7601154</v>
      </c>
      <c r="C261" t="s">
        <v>1101</v>
      </c>
      <c r="D261" s="2">
        <v>4</v>
      </c>
      <c r="E261" s="2">
        <v>7</v>
      </c>
      <c r="F261" s="371" t="s">
        <v>1099</v>
      </c>
      <c r="G261"/>
      <c r="H261" s="372" t="s">
        <v>1528</v>
      </c>
      <c r="I261" s="371" t="s">
        <v>1549</v>
      </c>
      <c r="J261"/>
      <c r="K261" t="s">
        <v>1550</v>
      </c>
      <c r="L261"/>
      <c r="M261" s="372" t="s">
        <v>1552</v>
      </c>
      <c r="N261" s="18" t="str">
        <f t="shared" si="4"/>
        <v>carlos.henrique@revemar.com.br; patricia.alencar@revemar.com.br; walter.gomes@revemar.com.br;;deyvison.ferreira@revemar.com.br;emerson.costa@revemar.com.br;giuliana.carvalho@revemar.com.br; qualidade.itz.dunort@revemar.com.br;luzia.santos@revemar.com.br; alice.mesquita@revemar.com.br; luciana.dias@revemar.com.br</v>
      </c>
    </row>
    <row r="262" spans="1:14" ht="42.95" hidden="1" customHeight="1">
      <c r="A262" s="6"/>
      <c r="B262" s="2">
        <v>7601196</v>
      </c>
      <c r="C262" t="s">
        <v>1102</v>
      </c>
      <c r="D262" s="2">
        <v>4</v>
      </c>
      <c r="E262" s="2">
        <v>7</v>
      </c>
      <c r="F262" s="371" t="s">
        <v>1084</v>
      </c>
      <c r="G262"/>
      <c r="H262" s="372" t="s">
        <v>1528</v>
      </c>
      <c r="I262" s="372" t="s">
        <v>1529</v>
      </c>
      <c r="J262"/>
      <c r="K262" t="s">
        <v>1530</v>
      </c>
      <c r="L262"/>
      <c r="M262" s="372" t="s">
        <v>1553</v>
      </c>
      <c r="N262" s="18" t="str">
        <f t="shared" si="4"/>
        <v>carlos.henrique@revemar.com.br; patricia.alencar@revemar.com.br; walter.gomes@revemar.com.br;;paula.morais@revemar.com.br;cristiane.sm@revemar.com.br;bel.dno.quali2@revemar.com.br; bel.dno.quali@revemar.com.br;luzia.santos@revemar.com.br; alice.mesquita@revemar.com.br; luciana.dias@revemar.com.br; gleica.meliza@revemar.com.br</v>
      </c>
    </row>
    <row r="263" spans="1:14" ht="42.95" hidden="1" customHeight="1">
      <c r="A263" s="6"/>
      <c r="B263" s="2">
        <v>7601292</v>
      </c>
      <c r="C263" t="s">
        <v>1170</v>
      </c>
      <c r="D263" s="2">
        <v>4</v>
      </c>
      <c r="E263" s="2">
        <v>7</v>
      </c>
      <c r="F263" s="371" t="s">
        <v>1554</v>
      </c>
      <c r="G263"/>
      <c r="H263" s="372" t="s">
        <v>1528</v>
      </c>
      <c r="I263" s="372" t="s">
        <v>1555</v>
      </c>
      <c r="J263"/>
      <c r="K263" t="s">
        <v>1556</v>
      </c>
      <c r="L263"/>
      <c r="M263" s="372" t="s">
        <v>1552</v>
      </c>
      <c r="N263" s="18" t="str">
        <f>H263&amp;";"&amp;G263&amp;";"&amp;F263&amp;";"&amp;I263&amp;";"&amp;K263&amp;";"&amp;M263</f>
        <v>carlos.henrique@revemar.com.br; patricia.alencar@revemar.com.br; walter.gomes@revemar.com.br;;douglas.silva@revemar.com.br;ednaldo.candido@revemar.com.br;qualidade.mco.dno2@revemar.com.br; kaue.santos@revemar.com.br;luzia.santos@revemar.com.br; alice.mesquita@revemar.com.br; luciana.dias@revemar.com.br</v>
      </c>
    </row>
    <row r="264" spans="1:14" ht="42.95" hidden="1" customHeight="1">
      <c r="A264" s="6"/>
      <c r="B264" s="2">
        <v>7601291</v>
      </c>
      <c r="C264" t="s">
        <v>1169</v>
      </c>
      <c r="D264" s="2">
        <v>4</v>
      </c>
      <c r="E264" s="2">
        <v>7</v>
      </c>
      <c r="F264" s="371" t="s">
        <v>1557</v>
      </c>
      <c r="G264"/>
      <c r="H264" s="372" t="s">
        <v>1528</v>
      </c>
      <c r="I264" s="373" t="s">
        <v>1555</v>
      </c>
      <c r="J264"/>
      <c r="K264" s="1" t="s">
        <v>1556</v>
      </c>
      <c r="L264"/>
      <c r="M264" s="372" t="s">
        <v>1552</v>
      </c>
      <c r="N264" s="18" t="str">
        <f t="shared" si="4"/>
        <v>carlos.henrique@revemar.com.br; patricia.alencar@revemar.com.br; walter.gomes@revemar.com.br;;ana.carreira@revemar.com.br;ednaldo.candido@revemar.com.br;qualidade.mco.dno2@revemar.com.br; kaue.santos@revemar.com.br;luzia.santos@revemar.com.br; alice.mesquita@revemar.com.br; luciana.dias@revemar.com.br</v>
      </c>
    </row>
    <row r="265" spans="1:14" hidden="1">
      <c r="B265" s="2">
        <v>7600764</v>
      </c>
      <c r="C265" t="s">
        <v>1104</v>
      </c>
      <c r="D265" s="2">
        <v>4</v>
      </c>
      <c r="E265" s="2">
        <v>7</v>
      </c>
      <c r="F265" t="s">
        <v>1107</v>
      </c>
      <c r="G265" t="s">
        <v>1106</v>
      </c>
      <c r="H265" t="s">
        <v>1558</v>
      </c>
      <c r="I265" t="s">
        <v>1108</v>
      </c>
      <c r="J265"/>
      <c r="K265" t="s">
        <v>1559</v>
      </c>
      <c r="L265"/>
      <c r="M265" t="s">
        <v>1560</v>
      </c>
      <c r="N265" s="18" t="str">
        <f t="shared" si="4"/>
        <v>walter@marlinrenault.com.br; gerenciavendas@marlinrenault.com.br;luiz@marlinrenault.com.br; karina.araujo@tropicalfiat.com.br;;gerenciavendas@marlinrenault.com.br;gerenciapv@marlinrenault.com.br;qualidade@marlinrenault.com.br; auditordequalidade@marlinrenault.com.br;assistentecomercial@marlinrenault.com.br; setordepecas@marlinrenault.com.br;  agendamento@marlinrenault.com.br; Samira@marlinrenault.com.br;</v>
      </c>
    </row>
    <row r="266" spans="1:14" hidden="1">
      <c r="B266" s="2">
        <v>7600709</v>
      </c>
      <c r="C266" t="s">
        <v>1111</v>
      </c>
      <c r="D266" s="2">
        <v>4</v>
      </c>
      <c r="E266" s="2">
        <v>7</v>
      </c>
      <c r="F266" s="1" t="s">
        <v>1561</v>
      </c>
      <c r="G266" t="s">
        <v>1366</v>
      </c>
      <c r="H266" t="s">
        <v>1562</v>
      </c>
      <c r="I266" t="s">
        <v>1114</v>
      </c>
      <c r="J266"/>
      <c r="K266" t="s">
        <v>1563</v>
      </c>
      <c r="L266"/>
      <c r="M266" t="s">
        <v>1564</v>
      </c>
      <c r="N266" s="18" t="str">
        <f t="shared" si="4"/>
        <v>alcimara.almeida@originalautos.com.br; fernando.renda@originalautos.com.br;alessandro.soldi@automob.com.br;joao.mjunior@originalautos.com.br;antonia.mendes@originalautos.com.br;maria.darleni@originalautos.com.br; kluyvert.santos@originalautos.com.br; juliana.donorte@originalautos.com.br;pedro.villasboas@originalautos.com.br; keyla.galvao@originalautos.com.br; laina.garcez@originalautos.com.br; nayara.cristina@originalautos.com.br</v>
      </c>
    </row>
    <row r="418" spans="14:14">
      <c r="N418" s="18" t="str">
        <f>H235&amp;";"&amp;G235&amp;";"&amp;F235&amp;";"&amp;I235&amp;";"&amp;K235&amp;";"&amp;M235</f>
        <v>marcelo.aquino@adtsa.com.br; rogers.lira@adtsa.com.br;bruno.tude@adtsa.com.br;francisco.tude@adtsa.com.br; bruno.filho@adtsa.com.br;eudes.aquino@adtsa.com.br; hebert.guimaraes@adtsa.com.br;gilberto.neto@adtsa.com.br;joel.barbosa@adtsa.com.br; gilberto.neto@adtsa.com.br;ana.flexa@adtsa.com.br;liliane.costa@adtsa.com.br</v>
      </c>
    </row>
  </sheetData>
  <autoFilter ref="B3:N266" xr:uid="{8BAC1711-8F38-430E-A934-23519C29CA15}">
    <filterColumn colId="1">
      <filters>
        <filter val="R Point Braz Leme"/>
        <filter val="R Point Vila Guilherme"/>
        <filter val="R Point Vila Ipiranga"/>
        <filter val="R Point Vila Prudente"/>
      </filters>
    </filterColumn>
  </autoFilter>
  <mergeCells count="1">
    <mergeCell ref="F2:M2"/>
  </mergeCells>
  <hyperlinks>
    <hyperlink ref="F12" r:id="rId1" display="felipe.santos-extern@renault.com" xr:uid="{B72D7A91-2D66-4252-B26B-8E8BF1D04982}"/>
    <hyperlink ref="K215" r:id="rId2" display="mailto:qualidaderenaultpvh@gruposaga.com.br" xr:uid="{F9004C34-D4F4-4C26-949E-C21BAB63C17A}"/>
    <hyperlink ref="M215" r:id="rId3" display="rosiane.msilva@gruposaga.com.br;" xr:uid="{D61E23C3-B583-4C04-A09E-A710E8576603}"/>
    <hyperlink ref="F235" r:id="rId4" display="eudes.aquino@adtsa.com.br" xr:uid="{B1639534-F63C-4986-830D-252289C65696}"/>
    <hyperlink ref="F102" r:id="rId5" xr:uid="{3456EFEB-62C2-4B03-A224-F0DA429D972C}"/>
    <hyperlink ref="H236" r:id="rId6" xr:uid="{8243D1F0-9DFE-4A8C-98F7-CB0206217629}"/>
    <hyperlink ref="H21" r:id="rId7" xr:uid="{A35C1908-EB17-4DE6-BEA9-AB6225B3212D}"/>
    <hyperlink ref="M21" r:id="rId8" xr:uid="{6C927623-F40C-46E3-A539-ED1D4B95DDBC}"/>
    <hyperlink ref="M50" r:id="rId9" display="comercial.estacaorenault@gruposaga.com.br; " xr:uid="{7D8AB66F-26F3-4B06-A9D1-F0E6F697BDA5}"/>
    <hyperlink ref="F33" r:id="rId10" xr:uid="{193E8175-6887-4043-88D4-3028A7B094AE}"/>
    <hyperlink ref="F54:F55" r:id="rId11" display="mailto:adriana.cabreira@nissulgala.com" xr:uid="{9923EBD3-2735-4432-A138-9AEA2A568BF5}"/>
    <hyperlink ref="F148" r:id="rId12" display="mailto:leo.soyer@navesa.com.br" xr:uid="{06733C43-E431-4BDC-9D16-B71BDD2E3C28}"/>
    <hyperlink ref="I148" r:id="rId13" xr:uid="{A9C4FE9E-D851-4FE5-AC36-F1421CCB3132}"/>
    <hyperlink ref="K148" r:id="rId14" display="mailto:keilaaugusta@navesa.com.br" xr:uid="{5FF4885A-CC53-430F-B558-0C3388EFE6A5}"/>
    <hyperlink ref="G149" r:id="rId15" display="mailto:brenopinheiro@pinauto.com.br" xr:uid="{D7465EC3-A96A-4265-95B7-A73725A0FFDC}"/>
    <hyperlink ref="H149" r:id="rId16" display="mailto:romildo@pinauto.com.br" xr:uid="{6DEED1FC-AC8E-4E80-901C-4555BA99961A}"/>
    <hyperlink ref="F150" r:id="rId17" display="mailto:rodrigo@ravelrenault.com.br" xr:uid="{62D15E9C-AA04-4AFE-82FD-1FAA08A1CD72}"/>
    <hyperlink ref="G150" r:id="rId18" display="mailto:flavio@ravelrenault.com.br" xr:uid="{CEC4C717-2130-48F3-883E-4538E90779BD}"/>
    <hyperlink ref="H150" r:id="rId19" display="mailto:flavio@ravelrenault.com.br" xr:uid="{2129242D-C71E-4FA3-93F8-CA642BBFD53C}"/>
    <hyperlink ref="K150" r:id="rId20" display="mailto:crm@ravelrenault.com.br" xr:uid="{FB4AEA6C-72E8-417E-8728-E45D930419B6}"/>
    <hyperlink ref="I150" r:id="rId21" display="mailto:ismael@ravelrenault.com.br" xr:uid="{69B476B4-C10B-467D-B9CD-AFFAD77F0B5B}"/>
    <hyperlink ref="G151" r:id="rId22" display="mailto:jhn@tecar.com.br" xr:uid="{37C96C0A-FD9E-419A-8EC9-544FE233D7A9}"/>
    <hyperlink ref="H151" r:id="rId23" xr:uid="{91508CA5-7F98-42B9-B77D-F63ADCF5B50E}"/>
    <hyperlink ref="H159" r:id="rId24" xr:uid="{8849A61C-4FEB-4079-9AED-7C0494317EB4}"/>
    <hyperlink ref="G28" r:id="rId25" display="edio@grupoautoshow.com.br" xr:uid="{7B8229B0-E811-44AA-B879-B60F08E7D39F}"/>
    <hyperlink ref="I95" r:id="rId26" display="rene.silva@grupoamazonas.com.br" xr:uid="{A72C8D1D-0516-4178-B84B-B5A66C62EF69}"/>
    <hyperlink ref="I94" r:id="rId27" display="carlos.silvano@amazonasfrance.com.br" xr:uid="{8BF8D3D8-364A-433C-ADCA-294CCB3CE3D7}"/>
    <hyperlink ref="F95" r:id="rId28" xr:uid="{70AE5BF0-C2DF-49D3-ABA3-6D08FACD164A}"/>
    <hyperlink ref="F94" r:id="rId29" xr:uid="{C5D64CC4-AF10-46DD-AB57-EC1D29E2C963}"/>
    <hyperlink ref="K54" r:id="rId30" display="mailto:cleusa.rosa@grupoiesa.com.br" xr:uid="{5F899D87-BD53-4A46-A0CB-179432E1E5BA}"/>
    <hyperlink ref="K57:K65" r:id="rId31" display="mailto:cleusa.rosa@grupoiesa.com.br" xr:uid="{E03B765A-E02F-43F4-BE11-31924D77AFF7}"/>
    <hyperlink ref="K237" r:id="rId32" display="roberjaniapinheiro@fortnissan.com.br" xr:uid="{9F02EEA0-B1E4-45F0-87CA-49B3833C19DB}"/>
    <hyperlink ref="H4" r:id="rId33" xr:uid="{1870F501-3801-47C7-9AD8-E39E9724059F}"/>
    <hyperlink ref="H252" r:id="rId34" xr:uid="{11BF45F4-5E3F-4F23-AF18-DB7DB13C714E}"/>
    <hyperlink ref="H80" r:id="rId35" display="diretoria@openveiculos.com.br;gerentegeral@openveiculos.com.br" xr:uid="{7E77F9DD-8207-4D55-B591-51A2E791B4FC}"/>
    <hyperlink ref="H81" r:id="rId36" display="diretoria@openveiculos.com.br;gerentegeral@openveiculos.com.br" xr:uid="{40B3C2EA-E86B-451B-AEE6-A70E5789B441}"/>
    <hyperlink ref="H82" r:id="rId37" display="diretoria@openveiculos.com.br;gerentegeral@openveiculos.com.br" xr:uid="{023A5E33-D5B2-4350-B855-0A0213EDCB1D}"/>
    <hyperlink ref="F72" r:id="rId38" xr:uid="{78981822-2773-4D57-AFCB-D758795119C2}"/>
    <hyperlink ref="F61" r:id="rId39" display="mailto:saymon.avila@grupoiesa.com.br" xr:uid="{980B3563-055D-4F09-925D-BE9FAC0924B3}"/>
    <hyperlink ref="F54" r:id="rId40" xr:uid="{A34E3DE1-0213-4BEF-8ED3-5AA4F6C29D8E}"/>
    <hyperlink ref="F58" r:id="rId41" display="mailto:edson.junior@grupoiesa.com.br" xr:uid="{FF1760E7-09C2-46AC-A290-E93C36FBC869}"/>
    <hyperlink ref="F59" r:id="rId42" display="mailto:alex.martins@grupoiesa.com.br" xr:uid="{BAF265B3-DFA8-45B4-84D4-04C0331A54A4}"/>
    <hyperlink ref="F60" r:id="rId43" display="mailto:ethiene.melo@grupoiesa.com.br" xr:uid="{95177895-C3E2-45C2-8AAF-59AA9C6A1FFE}"/>
    <hyperlink ref="F57" r:id="rId44" display="mailto:pedro.santos@grupoiesa.com.br" xr:uid="{6918049F-A61F-4CE0-8AA7-8C62770B6C6D}"/>
    <hyperlink ref="I178" r:id="rId45" xr:uid="{085CFA40-DB17-420B-AA99-C5EE015CA0C4}"/>
    <hyperlink ref="I187" r:id="rId46" display="mailto:anderson.mendonca@dinisa.com.br" xr:uid="{FF90CAF6-CDCD-4180-9BD8-70CCEC6403F6}"/>
    <hyperlink ref="M197" r:id="rId47" display="agnaldo.brito@primavia.com.br" xr:uid="{21A29829-46F0-4A1C-AE0B-8F3016450C4F}"/>
    <hyperlink ref="F230" r:id="rId48" xr:uid="{4DA2F4BA-EDDA-4E73-9B36-7CC62A7F997B}"/>
    <hyperlink ref="F231" r:id="rId49" xr:uid="{B8EE5054-8813-4169-990D-0A52FB7E245A}"/>
    <hyperlink ref="I230" r:id="rId50" xr:uid="{A1767244-60C3-4800-8AE5-55BF8F5DAE33}"/>
    <hyperlink ref="I191" r:id="rId51" xr:uid="{55F48259-6DF0-4480-ACF3-6C904B6DE4BF}"/>
    <hyperlink ref="K191" r:id="rId52" xr:uid="{EC077D68-E586-46D7-9C41-22C0FE5A55D0}"/>
    <hyperlink ref="F23" r:id="rId53" display="mailto:marcelo.meireles@grupoautomega.com.br" xr:uid="{302250FF-A26C-4BEF-B571-1C01E0D035B6}"/>
    <hyperlink ref="I245" r:id="rId54" display="mailto:posvenda@gamaautos.com.br" xr:uid="{F92748E0-2B79-4F52-A9A8-55D804C6DB08}"/>
    <hyperlink ref="K248" r:id="rId55" xr:uid="{C8E72374-CF39-44F2-B2A5-EFA78134CBBB}"/>
    <hyperlink ref="K249" r:id="rId56" xr:uid="{36DCF3C9-E130-415E-8929-1D533C61185F}"/>
    <hyperlink ref="F171" r:id="rId57" display="mailto:andre.bessi@orvelrenault.com.br" xr:uid="{997512F7-9C6A-4C5E-8BEC-DD437811E447}"/>
    <hyperlink ref="I201" r:id="rId58" display="mailto:max.erikson@orvelrenault.com.br" xr:uid="{C8909D56-34F3-426F-82D8-525EE8571400}"/>
    <hyperlink ref="F175" r:id="rId59" display="mailto:sabrina.borges@orvelrenault.com.br" xr:uid="{79945D44-0763-40F7-81A8-84ADD5A5CD8B}"/>
    <hyperlink ref="I175" r:id="rId60" display="mailto:max.erikson@orvelrenault.com.br" xr:uid="{48D961EA-759B-4D1D-891F-E284AE6DFFFE}"/>
    <hyperlink ref="F174" r:id="rId61" display="mailto:hudson.junior@orvelrenault.com.br" xr:uid="{AC46EFE7-FE6D-4040-B8AA-3526773E4C35}"/>
    <hyperlink ref="I174" r:id="rId62" display="mailto:max.erikson@orvelrenault.com.br" xr:uid="{A8E2BE9A-55C9-4730-B63A-B88260140146}"/>
    <hyperlink ref="F173" r:id="rId63" xr:uid="{42F673C0-B608-4814-85AD-9A390276AE04}"/>
    <hyperlink ref="I173" r:id="rId64" display="mailto:antonio.rosa@orvelrenault.com.br" xr:uid="{EA90A5EB-C45B-4A50-90A3-1BBC28199E07}"/>
    <hyperlink ref="I172" r:id="rId65" display="mailto:antonio.rosa@orvelrenault.com.br" xr:uid="{81FE30D8-4464-4665-BB03-8CE83AFEF12E}"/>
    <hyperlink ref="K35" r:id="rId66" xr:uid="{C392BD80-F130-4B13-B18E-B9065A3C3BF5}"/>
    <hyperlink ref="K66:K69" r:id="rId67" display="diegomoura@itaimbe.com.br" xr:uid="{4A60C831-7C0E-4FE4-92AE-19A961F162D6}"/>
    <hyperlink ref="M113" r:id="rId68" display="mailto:adm.tatui@velmax.com.br" xr:uid="{9E9554BB-1D17-4D9C-A874-9572D6B79D93}"/>
    <hyperlink ref="M230" r:id="rId69" display="mailto:henrique.soares@redencao.com.br" xr:uid="{4F5A7D7F-DB40-457B-98D9-415226CD06A3}"/>
    <hyperlink ref="M58" r:id="rId70" xr:uid="{8B943561-C2DD-410C-A1E9-DE5075002444}"/>
    <hyperlink ref="I31" r:id="rId71" xr:uid="{E3740C1F-80E7-4FA4-9943-C5A1E7187AA7}"/>
    <hyperlink ref="K164" r:id="rId72" xr:uid="{35E5FDE7-1013-4FB7-9358-BE45C9ACDEE3}"/>
    <hyperlink ref="K164:K165" r:id="rId73" display="mailto:aline.cqa@azzurranet.com.br" xr:uid="{85E3023C-3399-46F5-972D-8B1348877762}"/>
    <hyperlink ref="F164" r:id="rId74" display="mailto:bruno.vn@azzurranet.com.br" xr:uid="{85B14378-2666-4B7B-9106-12F23A21C7B8}"/>
    <hyperlink ref="I164" r:id="rId75" display="mailto:sandro.of@azzurranet.com.br" xr:uid="{8A46C331-5426-47BF-9385-53B042DB1D80}"/>
    <hyperlink ref="I165" r:id="rId76" display="mailto:eduardo.of@azzurranet.com.br" xr:uid="{5D3147F3-5DD9-4334-8269-8ABD159AA7D8}"/>
    <hyperlink ref="K151" r:id="rId77" tooltip="mailto:luma.campos@tecar.com.br" display="mailto:luma.campos@tecar.com.br" xr:uid="{D4ADD6E7-BA61-4415-BEA1-2FE114CD97C6}"/>
    <hyperlink ref="H118:H123" r:id="rId78" display="robson.vieira@gruposinal.com" xr:uid="{CB836D8B-1902-473D-8FC4-9B0A7B64F995}"/>
    <hyperlink ref="I194" r:id="rId79" display="pedro.leite@grupourca.com.brpatricia.ferreira@grupourca.com.br" xr:uid="{D57A7EE1-38FA-42A7-87AC-76623BC3E1A1}"/>
    <hyperlink ref="I195" r:id="rId80" xr:uid="{E2C49102-6E9D-4193-957B-F9B0C4592616}"/>
    <hyperlink ref="F87" r:id="rId81" xr:uid="{8C844461-2FB6-46D3-AC57-14885B9896DD}"/>
    <hyperlink ref="I149" r:id="rId82" display="mailto:marcos.delgado@pinauto.com.br" xr:uid="{0A63FDED-962F-4762-BA5B-313FE3A8AFDF}"/>
    <hyperlink ref="H153" r:id="rId83" xr:uid="{AE6AF51B-4EA6-44A5-A595-5572CDA890F7}"/>
    <hyperlink ref="H152" r:id="rId84" xr:uid="{64A4F8B2-57D7-41A9-B512-0F53292FA668}"/>
    <hyperlink ref="H154" r:id="rId85" xr:uid="{68992BAD-CD71-4D24-AEF5-A666A8FC25FF}"/>
    <hyperlink ref="F136" r:id="rId86" xr:uid="{B61C4449-03E5-4202-BA54-306CBCA4DBD3}"/>
    <hyperlink ref="G114" r:id="rId87" display="guilherme@luchini.com.br;" xr:uid="{5922EA3A-E0E5-4506-8FF9-F55CF14FBCAC}"/>
    <hyperlink ref="F222" r:id="rId88" xr:uid="{0C85D0C0-D959-427F-B96D-55EC78375C2D}"/>
    <hyperlink ref="I222" r:id="rId89" xr:uid="{86C9D11A-9D7B-4A2C-A13D-3E06435605E3}"/>
    <hyperlink ref="G134" r:id="rId90" display="lucianocarvalho@armandoveiculos.com.br" xr:uid="{E626E23A-3966-4042-94DA-950F7A20942B}"/>
    <hyperlink ref="G133" r:id="rId91" display="lucianocarvalho@armandoveiculos.com.br" xr:uid="{033C17FA-F4F7-4E58-AB86-693DA154C384}"/>
    <hyperlink ref="K169" r:id="rId92" display="assistenteuba@renaultdijon.com.br" xr:uid="{765A339E-15A8-4D09-841A-995DCC8EA54A}"/>
    <hyperlink ref="F248" r:id="rId93" xr:uid="{EC506F7E-9454-4038-8478-4DCFB3E6BAA1}"/>
    <hyperlink ref="F170" r:id="rId94" xr:uid="{864A285A-9832-43D2-A8C0-97D3931585AB}"/>
    <hyperlink ref="I170" r:id="rId95" xr:uid="{ABD0EDFD-EF09-4868-8EDF-914FE9D0150E}"/>
    <hyperlink ref="H170" r:id="rId96" display="breno@gruponasa.com.br" xr:uid="{6CE4E2E5-3B03-4F7A-AEBC-650AD76C4CF0}"/>
    <hyperlink ref="F69" r:id="rId97" display="cristiane.costa@drsul.com.br;" xr:uid="{D9D17756-66FB-4914-8509-C63B7694788C}"/>
    <hyperlink ref="F55" r:id="rId98" xr:uid="{9C163128-4F6A-4519-BC76-E93AE05419AB}"/>
    <hyperlink ref="I54" r:id="rId99" xr:uid="{18FBC8B8-5EF7-4287-9961-9291C6D10C87}"/>
    <hyperlink ref="I60" r:id="rId100" xr:uid="{9B93816E-B0A4-494A-B217-D6EE891CCA24}"/>
    <hyperlink ref="I57" r:id="rId101" xr:uid="{842C12DD-5340-4829-9491-2EB165729324}"/>
    <hyperlink ref="K26" r:id="rId102" xr:uid="{9FC6C2A2-EB7C-4F68-A1EB-7D8238FF5D67}"/>
    <hyperlink ref="K27" r:id="rId103" xr:uid="{9AA4E530-BAE3-4456-A378-629EDFD8EA2E}"/>
    <hyperlink ref="K28" r:id="rId104" xr:uid="{A89AB2A2-171E-4E05-AD53-7C0832BF1999}"/>
    <hyperlink ref="K29" r:id="rId105" xr:uid="{8D8B68A5-5077-4567-B239-073D46E629EA}"/>
    <hyperlink ref="K31" r:id="rId106" xr:uid="{B659F2E3-0441-494E-8EAF-5EF414B68C04}"/>
    <hyperlink ref="F26" r:id="rId107" xr:uid="{BD2C3986-445D-44C5-988D-14DE8ADF8AC0}"/>
    <hyperlink ref="G26" r:id="rId108" display="edio@grupoautoshow.com.br" xr:uid="{D4889614-9CB5-4E2F-A7D1-5434B494E4D6}"/>
    <hyperlink ref="F28" r:id="rId109" xr:uid="{FF66C251-FD89-49EA-BCD8-66E5A8E4779B}"/>
    <hyperlink ref="I119" r:id="rId110" xr:uid="{4005ABB8-D213-4C4F-9031-2BA971001F3C}"/>
    <hyperlink ref="H119" r:id="rId111" display="edemar.nunes@grupofaberge.com.br" xr:uid="{20B18324-37EA-417B-B10D-D9922D658BBB}"/>
    <hyperlink ref="G119" r:id="rId112" xr:uid="{FB4BDF2F-849C-4118-AD43-CE75E1E9661A}"/>
    <hyperlink ref="K236" r:id="rId113" xr:uid="{2D458F82-EF24-4B10-AB6B-DFD070FF6430}"/>
    <hyperlink ref="K194" r:id="rId114" xr:uid="{FF87F8BA-959E-4825-8DF6-DAFF77872084}"/>
    <hyperlink ref="H214" r:id="rId115" xr:uid="{AF669ED6-776D-4D8B-B52C-0FA204F224B6}"/>
    <hyperlink ref="K63" r:id="rId116" xr:uid="{A5470E0B-81BB-454C-9BCC-B5D40B11FB9C}"/>
    <hyperlink ref="K64" r:id="rId117" xr:uid="{142B4645-955B-40EE-99A7-9AB44BA70FBA}"/>
    <hyperlink ref="K65" r:id="rId118" xr:uid="{0486A9DC-13F1-414A-AB06-907F336E88E1}"/>
    <hyperlink ref="K170" r:id="rId119" xr:uid="{1EE756E6-25DB-4CC1-B204-C75C7EDCA7D9}"/>
    <hyperlink ref="K114" r:id="rId120" display="magno@valecrenault.com.br;" xr:uid="{7EB89206-01A5-4A71-90F0-5A71A552C1DE}"/>
    <hyperlink ref="K115" r:id="rId121" display="magno@valecrenault.com.br;" xr:uid="{86A9F666-6E01-49EE-8CC5-19E1C9634630}"/>
    <hyperlink ref="K116" r:id="rId122" display="magno@valecrenault.com.br;" xr:uid="{5D3AB2EF-64D7-410B-830B-D1CBE5F8401B}"/>
    <hyperlink ref="K117" r:id="rId123" display="magno@valecrenault.com.br;" xr:uid="{6D5DA39E-A63B-476B-AA5D-97AA260B199F}"/>
    <hyperlink ref="K118" r:id="rId124" display="magno@valecrenault.com.br;" xr:uid="{8FB043FA-016A-41DF-8800-55E857DE3C5E}"/>
    <hyperlink ref="M117" r:id="rId125" display="andressa.pussa@valecrenault.com.br" xr:uid="{B9CD1E11-8353-43D8-9B9D-1C38F64CD432}"/>
    <hyperlink ref="K213" r:id="rId126" xr:uid="{B165D2E6-3732-47F4-8D30-5D4D76AA3B0F}"/>
    <hyperlink ref="K209" r:id="rId127" xr:uid="{F9C5470C-3BF6-45EE-8378-C2DF2388A5B4}"/>
    <hyperlink ref="H155" r:id="rId128" xr:uid="{0188C9D1-4284-4D55-936A-86FC11D42052}"/>
    <hyperlink ref="F153" r:id="rId129" xr:uid="{96773459-DD1F-4B15-AF37-93B42FBE44FE}"/>
    <hyperlink ref="F155" r:id="rId130" xr:uid="{C816DE97-77BF-4D12-9323-E17A61FFD85F}"/>
    <hyperlink ref="F154" r:id="rId131" xr:uid="{59B82478-2EE6-476E-B6C7-6B62C93C4F4A}"/>
    <hyperlink ref="K223" r:id="rId132" xr:uid="{21D3B50E-3744-4EA9-ACC4-3E70C0E18CED}"/>
    <hyperlink ref="K39" r:id="rId133" xr:uid="{03EAC151-A8FF-4AC1-8811-9FBA9801F1C1}"/>
    <hyperlink ref="F241" r:id="rId134" display="axena@viaparisnet.com.br;" xr:uid="{CD77E2EE-5574-43E2-A516-04504CD9AC1F}"/>
    <hyperlink ref="F242" r:id="rId135" display="axena@viaparisnet.com.br;" xr:uid="{9243649C-5BB5-4EEF-A332-8A040E5740D5}"/>
    <hyperlink ref="F243" r:id="rId136" display="axena@viaparisnet.com.br;" xr:uid="{DF547C1B-74F9-48B8-9FEC-CD4CCF6EB99C}"/>
    <hyperlink ref="G228" r:id="rId137" xr:uid="{6E04DF9F-AAA0-42C7-8BAC-CF5AA6794563}"/>
    <hyperlink ref="F4" r:id="rId138" xr:uid="{CE8CEACD-9297-44AC-A422-7D5662888ED2}"/>
    <hyperlink ref="I4" r:id="rId139" xr:uid="{63ED0577-50EC-4732-96BE-1D3A56538F42}"/>
    <hyperlink ref="I140" r:id="rId140" xr:uid="{C8BE3296-09C7-4139-9999-60749D08085B}"/>
    <hyperlink ref="H110:H112" r:id="rId141" display="msilva@rpoint.com.br" xr:uid="{1B274F29-3C10-44C6-91BF-8D392D9ADA60}"/>
    <hyperlink ref="G187" r:id="rId142" xr:uid="{C8742EED-C627-4D3F-8497-4C4A6B2422A8}"/>
    <hyperlink ref="M187" r:id="rId143" xr:uid="{3ED3427F-BA56-400B-84DC-260891DC34C8}"/>
    <hyperlink ref="F97" r:id="rId144" xr:uid="{88D39075-64E0-42CC-90B1-AB796B5C359F}"/>
    <hyperlink ref="F98" r:id="rId145" xr:uid="{24580DD3-1C47-48F1-8577-BACE3982E679}"/>
    <hyperlink ref="I102" r:id="rId146" xr:uid="{7F8A3890-FE49-431D-A215-3AB933EAF1B7}"/>
    <hyperlink ref="G248" r:id="rId147" xr:uid="{94FE8834-93A0-41B4-93E0-8CF17795DED4}"/>
    <hyperlink ref="I248" r:id="rId148" xr:uid="{4E1B9D75-3BB8-43F2-A79D-3E882028262B}"/>
    <hyperlink ref="M248" r:id="rId149" xr:uid="{F24E00E4-CA44-4340-832F-F22B33BDCDF6}"/>
    <hyperlink ref="M249" r:id="rId150" xr:uid="{7264860F-CE72-42DC-AB42-101FB678610F}"/>
    <hyperlink ref="I249" r:id="rId151" xr:uid="{891C2696-4D19-4515-BF50-D1D6E1E136DD}"/>
    <hyperlink ref="F249" r:id="rId152" xr:uid="{6696418B-01E4-4B71-B68E-0832963638E1}"/>
    <hyperlink ref="G152" r:id="rId153" xr:uid="{AA765880-30FE-481B-A0B5-935532310DEF}"/>
    <hyperlink ref="F152" r:id="rId154" xr:uid="{EA757524-FC5E-4813-90B2-126EBA392392}"/>
    <hyperlink ref="I152" r:id="rId155" xr:uid="{442719B5-C488-438E-B679-CD2B94E14CA8}"/>
    <hyperlink ref="M152" r:id="rId156" xr:uid="{37A5C249-9B1E-4CDD-824F-E264448202D5}"/>
    <hyperlink ref="G153" r:id="rId157" xr:uid="{721D6180-11D1-4547-A45D-FC628E2F9643}"/>
    <hyperlink ref="M153" r:id="rId158" xr:uid="{05C1928A-1A4C-4D98-982F-8742AAC2A85D}"/>
    <hyperlink ref="G154" r:id="rId159" xr:uid="{529D763C-3AC9-4360-A871-7FE12EF78A2A}"/>
    <hyperlink ref="I154" r:id="rId160" xr:uid="{91DE187A-63D5-4930-BFDB-2CCEAA5A2ECB}"/>
    <hyperlink ref="M154" r:id="rId161" xr:uid="{EA8F05CE-6B6C-449B-A991-E8199CC1130D}"/>
    <hyperlink ref="G155" r:id="rId162" xr:uid="{D6152979-5D6A-4AE3-A7A5-F551517F0645}"/>
    <hyperlink ref="I155" r:id="rId163" xr:uid="{AB070763-F6DA-45D7-9220-F5ECDF2AACBF}"/>
    <hyperlink ref="M155" r:id="rId164" xr:uid="{05A55580-96EA-4AB5-923A-8C43452723C0}"/>
    <hyperlink ref="A1" r:id="rId165" display="mailto:egeraldi@bestpoints.com.br" xr:uid="{33339BAD-412F-4969-9CCD-6ABD83A5E8B9}"/>
    <hyperlink ref="M80" r:id="rId166" display="gerentegeral@openveiculos.com.br;treinamento@openveiculos.com.br;cotech1@openveiculos.net.br" xr:uid="{0E0ADCD8-AA14-4CEA-B28D-C3DCAEFDBB32}"/>
    <hyperlink ref="M82" r:id="rId167" display="gerentegeral@openveiculos.com.br;treinamento@openveiculos.com.br;cotech-too@openveiculos.net.br" xr:uid="{A60A67CE-519A-4237-B4E4-9C515A9EA178}"/>
    <hyperlink ref="F187" r:id="rId168" display="juliana.clemente@dinisa.com.br; " xr:uid="{FF78ED95-40B9-4667-BCAB-4B72C7546028}"/>
    <hyperlink ref="I90" r:id="rId169" xr:uid="{FA5A3CD5-3766-47B4-8E20-8A6B3A333DE3}"/>
    <hyperlink ref="I91" r:id="rId170" xr:uid="{0FFFAF95-E3BF-4D97-831E-22EC3C9C953D}"/>
    <hyperlink ref="I92" r:id="rId171" xr:uid="{A78688FB-427F-4F58-ABE6-87B3BF479EAE}"/>
    <hyperlink ref="I113" r:id="rId172" xr:uid="{6561A548-2BCC-4BCE-9025-46A9D2343B17}"/>
    <hyperlink ref="F190" r:id="rId173" xr:uid="{1EDA506D-D650-4506-8136-A8BCAB4E1E81}"/>
    <hyperlink ref="F191" r:id="rId174" xr:uid="{6D631359-E6E5-4194-A217-FD1A9EF28C21}"/>
    <hyperlink ref="I190" r:id="rId175" xr:uid="{1EACFCD7-2C64-4EFC-BA0B-A9D99F5F043C}"/>
    <hyperlink ref="K190" r:id="rId176" xr:uid="{330DCADC-2F8E-449B-881D-6AC5CA306F60}"/>
    <hyperlink ref="H197" r:id="rId177" display="rodrigo.rocha@primavia.com.br" xr:uid="{ED717BD7-A597-4820-942D-0C00EAC00247}"/>
    <hyperlink ref="G115" r:id="rId178" display="guilherme@luchini.com.br;" xr:uid="{E48F3E09-3EC8-4704-AA4A-233D14108ADB}"/>
    <hyperlink ref="G116" r:id="rId179" display="guilherme@luchini.com.br;" xr:uid="{14AAE7B6-6960-468C-B8F0-888D800EE1A3}"/>
    <hyperlink ref="G117" r:id="rId180" display="guilherme@luchini.com.br;" xr:uid="{68BC01CF-221B-47F0-9288-401BAE5D9800}"/>
    <hyperlink ref="G118" r:id="rId181" display="guilherme@luchini.com.br;" xr:uid="{2E2FBBED-82C2-49EA-B2DC-C7A52A812053}"/>
    <hyperlink ref="I97" r:id="rId182" xr:uid="{5EB7F5CB-B0B8-4A3A-9DF1-E310D5DD9039}"/>
    <hyperlink ref="K202" r:id="rId183" xr:uid="{9A1A8820-3A48-42E3-AA20-57FA04222CB7}"/>
    <hyperlink ref="K203" r:id="rId184" xr:uid="{BFE0EE89-E40D-4764-A276-9A1366869008}"/>
    <hyperlink ref="G266" r:id="rId185" xr:uid="{CBD606D1-9333-40FC-87F1-FE6294F2B0E5}"/>
    <hyperlink ref="K266" r:id="rId186" display="maria.darleni@originalautos.com.br; " xr:uid="{F209B725-2B5B-47B9-A032-2934AC0FE2DA}"/>
    <hyperlink ref="M266" r:id="rId187" display="pedro.villasboas@originalautos.com.br; " xr:uid="{CDBDBC12-2766-4B5B-A55E-48DB4EB70683}"/>
    <hyperlink ref="I22" r:id="rId188" xr:uid="{852DB5BD-E309-4203-8D83-47A258511392}"/>
    <hyperlink ref="F21" r:id="rId189" xr:uid="{18595D44-9C1A-44B5-8267-F6EA9DADF6F2}"/>
    <hyperlink ref="I70" r:id="rId190" xr:uid="{8A24C10D-BB5C-4D2F-9785-E2CCC5C0CC67}"/>
    <hyperlink ref="I13" r:id="rId191" xr:uid="{5CC22A99-1066-472D-9F94-EE6556D56359}"/>
    <hyperlink ref="I177" r:id="rId192" xr:uid="{11ACDC2D-A7A0-4E74-A327-3C674F1CEF94}"/>
    <hyperlink ref="F177" r:id="rId193" xr:uid="{CAC2F96F-E566-4E71-9235-2EAC459FEC28}"/>
    <hyperlink ref="F178" r:id="rId194" xr:uid="{1D5FCD1A-5DB9-4271-95DF-1818B80A892A}"/>
    <hyperlink ref="M13" r:id="rId195" xr:uid="{477ED024-E096-4DA3-8164-183426B9849E}"/>
    <hyperlink ref="M14" r:id="rId196" xr:uid="{4C616F41-7C73-4379-8311-897E6E39DDCE}"/>
    <hyperlink ref="M210" r:id="rId197" display="carlos.junior@primavia.com.br; " xr:uid="{5DFC3CD9-A2DC-4FCD-82DD-B7D497BD1586}"/>
    <hyperlink ref="I7" r:id="rId198" xr:uid="{EE8BE315-CE93-4C30-BA34-C42B20C0ED25}"/>
    <hyperlink ref="G249" r:id="rId199" xr:uid="{9D6DD49A-C928-4D50-B0B9-B3E6D16D0589}"/>
    <hyperlink ref="H248" r:id="rId200" xr:uid="{9E0E88EE-C06D-4F3B-A260-72010AB92E41}"/>
    <hyperlink ref="H249" r:id="rId201" xr:uid="{D860722B-527B-4525-8E6C-97858C65BB90}"/>
    <hyperlink ref="K176" r:id="rId202" xr:uid="{33D787B9-9534-40D1-A759-34E7BD48E34B}"/>
    <hyperlink ref="F216" r:id="rId203" xr:uid="{181EAB41-58F7-4CD1-9615-CD4FE85372D5}"/>
    <hyperlink ref="K212" r:id="rId204" display="lane.araujo@mcgestao.com.br; " xr:uid="{7E9AAB92-30BD-4D68-9540-4939706D1E3A}"/>
    <hyperlink ref="H232" r:id="rId205" display="marcelo.aquino@adtsa.com.br " xr:uid="{C3F9CF72-BB15-4EC3-AF90-4E461536CD47}"/>
    <hyperlink ref="M232" r:id="rId206" xr:uid="{6C9A8AA6-2701-46DA-9063-D6A0AF31F56A}"/>
    <hyperlink ref="M234" r:id="rId207" xr:uid="{62096A46-C1DA-4135-822D-2DCE273F2E55}"/>
    <hyperlink ref="M235" r:id="rId208" xr:uid="{331F472E-DC5D-47A3-827F-088B8335C68E}"/>
    <hyperlink ref="F234" r:id="rId209" xr:uid="{70985390-7C15-40DC-A0BA-458E0CABC929}"/>
    <hyperlink ref="F233" r:id="rId210" xr:uid="{A66D7C91-0064-47D8-9DC9-E99FB36874B8}"/>
    <hyperlink ref="F181" r:id="rId211" xr:uid="{BE93E9CA-C8FD-4755-93A5-F208C77D4CB2}"/>
    <hyperlink ref="K180" r:id="rId212" xr:uid="{157180B8-2D92-4F4F-BFE4-CF39E8063F4D}"/>
    <hyperlink ref="K181" r:id="rId213" xr:uid="{7ECA16B3-5A2B-4E47-8D7D-9500CB2EEACA}"/>
    <hyperlink ref="I193" r:id="rId214" xr:uid="{A879A40A-FCB3-497D-89CA-FC10FA6F304D}"/>
    <hyperlink ref="F193" r:id="rId215" display="paulopereira@romagroup.com.br" xr:uid="{15CED892-3B65-4DBD-A866-A3E53174E2C8}"/>
    <hyperlink ref="G193" r:id="rId216" xr:uid="{6D8B5A4C-C704-4A7D-9FA1-8212F0A6D100}"/>
    <hyperlink ref="H193" r:id="rId217" xr:uid="{B4CCB3EC-4587-4458-AF03-263ADB3963EB}"/>
    <hyperlink ref="H192" r:id="rId218" xr:uid="{976C3734-7F5B-4300-B558-D772E4E4BCAA}"/>
    <hyperlink ref="M188" r:id="rId219" xr:uid="{EE92EDF2-B542-477E-AAF1-A524ABD617EE}"/>
    <hyperlink ref="F196" r:id="rId220" xr:uid="{541AE2A7-7272-4E2E-AEA0-CFA18399901B}"/>
    <hyperlink ref="F194" r:id="rId221" xr:uid="{AAE8B794-2173-448E-B5AB-82D3E77A9B7E}"/>
    <hyperlink ref="M129" r:id="rId222" xr:uid="{9D8C6F0A-2AA4-4FF3-94A1-E99238F57C3D}"/>
    <hyperlink ref="M130" r:id="rId223" xr:uid="{B6FF129D-6EBF-412A-816D-F1999AF812D5}"/>
    <hyperlink ref="M131" r:id="rId224" xr:uid="{BF752628-75A3-49A0-9367-4C9F457FEBF1}"/>
    <hyperlink ref="F129" r:id="rId225" xr:uid="{6D92D686-48C1-4EBC-B5F7-A7FCDBEAD915}"/>
    <hyperlink ref="I131" r:id="rId226" xr:uid="{0481D316-0784-4416-B37D-856DD1B2C41B}"/>
    <hyperlink ref="I129" r:id="rId227" xr:uid="{D4483C0A-0A10-4779-9B81-17CAF705A34C}"/>
    <hyperlink ref="F131" r:id="rId228" xr:uid="{54E8EDB0-EC50-437C-B51E-D8E82B2946E4}"/>
    <hyperlink ref="I35" r:id="rId229" xr:uid="{509EB41D-B512-41B5-B4E7-4691334C5EFF}"/>
    <hyperlink ref="F38" r:id="rId230" xr:uid="{37F01B30-F08F-4EDD-A8D7-3733CEBA1D65}"/>
    <hyperlink ref="F35" r:id="rId231" xr:uid="{55F8A3E3-CC35-4EC9-8307-1E93D6F0CD24}"/>
    <hyperlink ref="F36:F37" r:id="rId232" display="luziano.grellmann@itaimbe.com.br" xr:uid="{9C94D662-736D-49B8-8869-5B38D8D1245E}"/>
    <hyperlink ref="F39" r:id="rId233" xr:uid="{7CB17A66-F9D1-43F1-9476-AF756CF017E6}"/>
    <hyperlink ref="M179" r:id="rId234" xr:uid="{64F4CFD7-54AD-4C45-B2C4-03E244CDA790}"/>
    <hyperlink ref="I179" r:id="rId235" xr:uid="{22105F82-B872-4C7E-AF9D-65EAFBC8362C}"/>
    <hyperlink ref="K177" r:id="rId236" xr:uid="{7D9639B8-7A71-4E2E-86F7-0DE5A081051B}"/>
    <hyperlink ref="I232" r:id="rId237" xr:uid="{3CE51B06-C48F-4D06-9117-F0350E8C6A70}"/>
    <hyperlink ref="I233" r:id="rId238" xr:uid="{97A6C139-C7CD-4937-B947-B16F160EB42C}"/>
    <hyperlink ref="I234" r:id="rId239" xr:uid="{F32D3ED8-34A3-4616-B7D9-5A13A76264D0}"/>
    <hyperlink ref="I235" r:id="rId240" xr:uid="{51FFF594-23F1-4344-9476-9C710ECC7D10}"/>
    <hyperlink ref="I239" r:id="rId241" xr:uid="{494A65FA-C84B-43D2-8FD5-22FC3D520934}"/>
    <hyperlink ref="H233" r:id="rId242" display="marcelo.aquino@adtsa.com.br " xr:uid="{0579EA58-CB71-4F28-8CE3-CECEACCAE081}"/>
    <hyperlink ref="H234" r:id="rId243" display="marcelo.aquino@adtsa.com.br " xr:uid="{39DDA2C6-8C5A-4FE3-8050-E12A9F5178B7}"/>
    <hyperlink ref="H235" r:id="rId244" display="marcelo.aquino@adtsa.com.br " xr:uid="{3063E6B5-B3FC-4748-80FA-89A8F28E3391}"/>
    <hyperlink ref="H238" r:id="rId245" display="Liliane.costa@adtsa.com.br" xr:uid="{5EA78947-130B-4D49-9A06-33035EDDA686}"/>
    <hyperlink ref="F16" r:id="rId246" xr:uid="{BC4D59AC-37F4-4AC9-BCD7-00C137D4716B}"/>
    <hyperlink ref="F186" r:id="rId247" xr:uid="{25D32630-DCA4-4336-A69F-422954D79067}"/>
    <hyperlink ref="F185" r:id="rId248" xr:uid="{5FB2B0FE-CDC0-4A70-824F-92166FA4506B}"/>
    <hyperlink ref="I185" r:id="rId249" display="posvendaspetropolis@besourorenault.com.br" xr:uid="{7E51E924-EB2D-4662-9A6D-C5428B5CCB80}"/>
    <hyperlink ref="F118" r:id="rId250" xr:uid="{76677E78-7384-4109-B2F6-6DC33FAEBAEB}"/>
    <hyperlink ref="H93" r:id="rId251" xr:uid="{6C7C6852-121C-4E4F-B704-C145911BF4F4}"/>
    <hyperlink ref="F138" r:id="rId252" xr:uid="{5014A44F-779A-4204-ADA1-F1B3724962E3}"/>
    <hyperlink ref="K251" r:id="rId253" xr:uid="{58AA3A28-1BEA-4402-B425-17DD4C64BDBC}"/>
    <hyperlink ref="K250" r:id="rId254" xr:uid="{D37A985A-21E7-4FB1-A40B-FB53718F7995}"/>
    <hyperlink ref="K166" r:id="rId255" xr:uid="{A8D2D1B6-932F-4708-A4B8-71BF70620DBB}"/>
    <hyperlink ref="M166" r:id="rId256" xr:uid="{6C46B383-4FBE-4277-875E-06D17EC3EAE3}"/>
    <hyperlink ref="I166" r:id="rId257" xr:uid="{F35A6E97-EB49-41A3-A3ED-A6B54EDDFC94}"/>
    <hyperlink ref="F166" r:id="rId258" display="rafaelmoreno.vn@azzurranet.com.br; " xr:uid="{9856751D-97E8-4E88-8ECE-678F6D09F2AF}"/>
    <hyperlink ref="K168" r:id="rId259" xr:uid="{725836B5-BB38-4AA7-8391-7B8B3C8A986D}"/>
    <hyperlink ref="I99" r:id="rId260" xr:uid="{0AFCDE66-EF13-4394-8F75-3693369D5C8D}"/>
    <hyperlink ref="F203" r:id="rId261" xr:uid="{857CE061-EC12-4552-81B0-3B4067BBECE5}"/>
    <hyperlink ref="K119" r:id="rId262" xr:uid="{00800DA9-4C12-4538-A2CC-20B65E5E682F}"/>
    <hyperlink ref="M119" r:id="rId263" xr:uid="{3DEBBFE0-C5E9-4C61-AD85-932FC7C228C6}"/>
    <hyperlink ref="F119" r:id="rId264" xr:uid="{7534BF41-74B4-4699-A940-3D0D4D48B972}"/>
    <hyperlink ref="I192" r:id="rId265" xr:uid="{298933EA-B8D3-46A2-B2E6-B750BC67DFB4}"/>
    <hyperlink ref="G190" r:id="rId266" xr:uid="{40964877-3707-41D9-89BE-1A8374CC9BF9}"/>
    <hyperlink ref="G191" r:id="rId267" xr:uid="{BBE99C6F-B726-49BE-B330-B2FD2D77CAA0}"/>
    <hyperlink ref="F53" r:id="rId268" xr:uid="{49CBEC5E-7807-462D-B9D3-08D35DF7DCB8}"/>
    <hyperlink ref="G89" r:id="rId269" xr:uid="{E717E72E-688A-4399-84E8-1A22BBFE18E3}"/>
    <hyperlink ref="G90" r:id="rId270" xr:uid="{05EA65FE-62FF-48E6-95A1-E9D5C41B400B}"/>
    <hyperlink ref="G91" r:id="rId271" xr:uid="{BDDF88DC-156B-4F20-9417-E404049B25B7}"/>
    <hyperlink ref="G92" r:id="rId272" xr:uid="{B5988368-FFD4-4CEB-9E68-A923ED3CAE24}"/>
    <hyperlink ref="H89" r:id="rId273" xr:uid="{D57216BE-6BA4-46E9-B15C-9DAF63C18A74}"/>
    <hyperlink ref="H90" r:id="rId274" xr:uid="{8CD0DA4D-9D61-47C5-84A7-78BA9CA3975A}"/>
    <hyperlink ref="H91" r:id="rId275" xr:uid="{D187937C-3952-46BC-8C61-5E88AB068282}"/>
    <hyperlink ref="H92" r:id="rId276" xr:uid="{FA59E925-1CBE-414D-848F-0909F910E73B}"/>
    <hyperlink ref="F89" r:id="rId277" xr:uid="{C827F49D-00D4-4D8C-AF63-C830EC27A429}"/>
    <hyperlink ref="F90" r:id="rId278" xr:uid="{97F6127D-EAF3-4F54-A6FA-10AFC2BBF441}"/>
    <hyperlink ref="F91" r:id="rId279" xr:uid="{39C30EC0-661A-4EF0-B541-08E24F0AC614}"/>
    <hyperlink ref="F92" r:id="rId280" xr:uid="{64BD16BA-AD8A-4D49-B0C7-1B80889B315F}"/>
    <hyperlink ref="I89" r:id="rId281" xr:uid="{DA4809CC-AA24-4D3A-886F-7A3687AFDBD7}"/>
    <hyperlink ref="K89" r:id="rId282" display="andrea.monteiro@itavemafrance.com.br" xr:uid="{9F0763CF-7F10-4ADF-BACD-82E79EBFB39F}"/>
    <hyperlink ref="K90" r:id="rId283" display="andrea.monteiro@itavemafrance.com.br" xr:uid="{F96AE5B4-8D8B-45D4-8A8D-4195E9533533}"/>
    <hyperlink ref="K91" r:id="rId284" display="andrea.monteiro@itavemafrance.com.br" xr:uid="{B9A6AA4B-32F9-47AD-832A-57CA600B9E1D}"/>
    <hyperlink ref="K92" r:id="rId285" display="andrea.monteiro@itavemafrance.com.br" xr:uid="{3DBC351B-139B-4A05-BFA7-841EE032D16E}"/>
    <hyperlink ref="H96" r:id="rId286" xr:uid="{4A5C98F9-DEA0-45FE-926D-605802F0E217}"/>
    <hyperlink ref="G96" r:id="rId287" xr:uid="{3DF5AD44-7224-4AB0-99E6-304602BEC230}"/>
    <hyperlink ref="G97" r:id="rId288" xr:uid="{0258A5BD-46ED-4C95-88CB-489901628695}"/>
    <hyperlink ref="G98" r:id="rId289" xr:uid="{A97D8C31-2DB4-41DB-9C63-20B6E606C23F}"/>
    <hyperlink ref="G99" r:id="rId290" xr:uid="{4424DB52-E45F-44D2-8244-02AD8F32282C}"/>
    <hyperlink ref="G100" r:id="rId291" xr:uid="{1ACDE288-DA82-49D0-B042-229796C745E6}"/>
    <hyperlink ref="G101" r:id="rId292" xr:uid="{FEC244A0-C871-44D3-BFCE-D1110B766B16}"/>
    <hyperlink ref="G102" r:id="rId293" xr:uid="{D0CD159E-42AC-47C2-984D-CA3EF15F4136}"/>
    <hyperlink ref="F96" r:id="rId294" xr:uid="{20172E85-9FB9-4173-98AC-4CB8001EEBE6}"/>
    <hyperlink ref="F99" r:id="rId295" xr:uid="{B81A1864-9D37-48B8-A675-CF15E1BE6D78}"/>
    <hyperlink ref="F100" r:id="rId296" xr:uid="{942B8CBB-D3EC-436D-902E-9BD2F875C5DB}"/>
    <hyperlink ref="F101" r:id="rId297" xr:uid="{E8E34111-8F82-4F9E-B913-05AAA581D6AC}"/>
    <hyperlink ref="I96" r:id="rId298" xr:uid="{EBBE6D3A-31D0-4967-9561-921F4D8EE6E9}"/>
    <hyperlink ref="I98" r:id="rId299" xr:uid="{D8F103E3-8CD5-45BB-8466-DB20B86912F0}"/>
    <hyperlink ref="I100" r:id="rId300" xr:uid="{148E43D9-AB13-4A0A-86A3-556617511D74}"/>
    <hyperlink ref="I101" r:id="rId301" xr:uid="{CF2EE4B1-237D-4ECB-A3CA-07A4CBA422B5}"/>
    <hyperlink ref="H239" r:id="rId302" display="Liliane.costa@adtsa.com.br" xr:uid="{B73F1172-77B7-477C-98F5-B5C7743FCD7F}"/>
    <hyperlink ref="F239" r:id="rId303" xr:uid="{3D8DBF6E-861F-47B4-AC72-2D8046DCD85E}"/>
    <hyperlink ref="F238" r:id="rId304" xr:uid="{C1C5827E-7CE2-4899-B064-6EEBBFF4452B}"/>
    <hyperlink ref="I238" r:id="rId305" xr:uid="{DAE38350-E73F-4409-81EF-58CED1D44242}"/>
    <hyperlink ref="K238" r:id="rId306" xr:uid="{091E87CB-011A-44DD-B064-55D3D9D8F6E2}"/>
    <hyperlink ref="K239" r:id="rId307" xr:uid="{06BAA50C-0BBA-4354-B137-4B969BEAFD10}"/>
    <hyperlink ref="G176" r:id="rId308" xr:uid="{7EC52578-62FF-4502-BCBF-90545BE419CF}"/>
    <hyperlink ref="I176" r:id="rId309" xr:uid="{D982C5AB-C59C-4809-B914-2BC99E82797E}"/>
    <hyperlink ref="G52" r:id="rId310" xr:uid="{9120F9B8-4FE4-433E-AD71-11D5A574B462}"/>
    <hyperlink ref="G53" r:id="rId311" xr:uid="{11CA6B3B-768C-4A7F-B08F-2B899E5BE015}"/>
    <hyperlink ref="G63" r:id="rId312" xr:uid="{7587063A-E46B-4957-8CA6-94738B910E7E}"/>
    <hyperlink ref="G64" r:id="rId313" xr:uid="{0F2A2931-07A8-4322-B1F9-AC331A464D6C}"/>
    <hyperlink ref="G65" r:id="rId314" xr:uid="{367C007A-F1F1-456F-98C8-E1F354FBA27A}"/>
    <hyperlink ref="H52" r:id="rId315" xr:uid="{4A1DBA46-85DC-465C-9314-B17A53F1AB03}"/>
    <hyperlink ref="H53" r:id="rId316" xr:uid="{82850212-28A7-4DCA-B804-055836981785}"/>
    <hyperlink ref="H63" r:id="rId317" xr:uid="{4D8EDD80-52C7-44AD-8767-E3C6B4B3FD0D}"/>
    <hyperlink ref="H64" r:id="rId318" xr:uid="{2224CCA9-0D26-4DD0-96BF-21035B72B661}"/>
    <hyperlink ref="H65" r:id="rId319" xr:uid="{9A9D5CC8-D403-4F11-9F88-B1E0216C1A04}"/>
    <hyperlink ref="I52" r:id="rId320" xr:uid="{489BA45D-F920-4D5F-96A8-86B30528DC37}"/>
    <hyperlink ref="I53" r:id="rId321" xr:uid="{B38578B8-0E0F-4B8E-8A78-9698544D4FC1}"/>
    <hyperlink ref="I63" r:id="rId322" xr:uid="{52A92888-9F8D-4CA1-9721-6528E02018A6}"/>
    <hyperlink ref="F52" r:id="rId323" xr:uid="{0DF1A935-23F6-40BC-B359-EB63D292EE00}"/>
    <hyperlink ref="M52" r:id="rId324" xr:uid="{572A26A9-1831-4C0E-AD3B-3DA7E30294CA}"/>
    <hyperlink ref="M53" r:id="rId325" xr:uid="{5EF9D878-11D3-4399-8CAB-EC0FA0011E08}"/>
    <hyperlink ref="M63" r:id="rId326" xr:uid="{61F6019F-1A55-4B53-AC2E-144A5AF08366}"/>
    <hyperlink ref="M64" r:id="rId327" xr:uid="{56CD1F04-9B69-45F5-B7B9-11708449D1B4}"/>
    <hyperlink ref="M65" r:id="rId328" xr:uid="{0E532B16-A891-422A-AB81-448465616811}"/>
    <hyperlink ref="F137" r:id="rId329" xr:uid="{1BFC4BBA-BA2C-4C48-84EA-9A9C9F082CB8}"/>
    <hyperlink ref="F139" r:id="rId330" xr:uid="{BE4CCF2C-D769-4F36-B0B5-A47C3BB21528}"/>
    <hyperlink ref="I136" r:id="rId331" xr:uid="{79009E4E-9AEB-4B74-9EC7-FF06272D8EBE}"/>
    <hyperlink ref="I137" r:id="rId332" display="helio.soares@sonnervig.com.br" xr:uid="{4AAEE69A-1A37-4D6E-9EDB-EC0BADF14E29}"/>
    <hyperlink ref="I138" r:id="rId333" display="helio.soares@sonnervig.com.br" xr:uid="{B247BDE1-B941-4C65-AD5B-CEBA5F6CCC20}"/>
    <hyperlink ref="I139" r:id="rId334" display="helio.soares@sonnervig.com.br" xr:uid="{1C3606B9-B850-4D15-83B3-ED1B546372FE}"/>
    <hyperlink ref="K139" r:id="rId335" xr:uid="{0108FF48-5187-40F1-A913-86E6B8807131}"/>
    <hyperlink ref="I15" r:id="rId336" xr:uid="{F298E4DB-EE66-459C-A830-88C107A74D13}"/>
    <hyperlink ref="G177" r:id="rId337" xr:uid="{40C62394-F4F7-42D3-B009-0713F468C03E}"/>
    <hyperlink ref="G178" r:id="rId338" xr:uid="{DD19980A-1479-4F0F-A927-F5028226E9EB}"/>
    <hyperlink ref="G179" r:id="rId339" xr:uid="{205CDE05-CD11-4F2E-8DE0-FC450807AA2F}"/>
    <hyperlink ref="H177" r:id="rId340" xr:uid="{070C8E70-C2A1-4E23-A4D0-D74EE320AB57}"/>
    <hyperlink ref="H178" r:id="rId341" xr:uid="{4C19F49B-372C-4332-8CEF-4F6D89420EA6}"/>
    <hyperlink ref="H179" r:id="rId342" xr:uid="{04CAEE4A-9208-493C-8476-D29D1AF715CD}"/>
    <hyperlink ref="F179" r:id="rId343" xr:uid="{3FFE21E9-47C6-4742-AACE-B3A1E8EFEE2E}"/>
    <hyperlink ref="K178" r:id="rId344" xr:uid="{C2B52CAA-BD4C-436A-902D-DBA3EC8B4218}"/>
    <hyperlink ref="K179" r:id="rId345" xr:uid="{531D5024-1484-4138-92E5-8DE6A3AF0565}"/>
    <hyperlink ref="H15:H20" r:id="rId346" display="fabio.ito@grupobarigui.com.br" xr:uid="{F4C7381E-DC5B-4542-B9D2-8AF1E44C5371}"/>
    <hyperlink ref="H17:H22" r:id="rId347" display="fabio.ito@grupobarigui.com.br" xr:uid="{1DA6BBC7-F103-4EF3-B8F9-01A8CCCBB16F}"/>
    <hyperlink ref="H104" r:id="rId348" xr:uid="{A077BC6C-AB36-41F1-A788-ED2302B5BE52}"/>
    <hyperlink ref="H105" r:id="rId349" xr:uid="{0E8A6885-9C58-42E1-A055-B4D289D82EF7}"/>
    <hyperlink ref="H106" r:id="rId350" xr:uid="{3BD3B237-BA8A-4262-A983-7710EF0527C1}"/>
    <hyperlink ref="H107" r:id="rId351" xr:uid="{CF87469A-85F7-4B3E-9C30-EA01AF23BE43}"/>
    <hyperlink ref="K17" r:id="rId352" display="leonardo.harte@grupoville.com.br; julia.venturi@grupoglobo.com.br" xr:uid="{E1157445-C123-4ED9-A8E5-BC513EB185BE}"/>
    <hyperlink ref="K107" r:id="rId353" xr:uid="{92E2EC92-A8C9-4623-844F-73CFC16BC061}"/>
    <hyperlink ref="K106" r:id="rId354" xr:uid="{653F6D43-DEF6-4381-B921-7BF1A83F44FB}"/>
    <hyperlink ref="K105" r:id="rId355" xr:uid="{100D4338-9E03-40F7-99E9-B6F9561FC1FF}"/>
    <hyperlink ref="K104" r:id="rId356" xr:uid="{C57C022A-B75A-4729-ABCD-D7FB201D40A3}"/>
    <hyperlink ref="F104" r:id="rId357" xr:uid="{35AA8A5D-AD97-4F7E-92AC-F6F2AE63BF54}"/>
    <hyperlink ref="F105" r:id="rId358" xr:uid="{FA79BD04-38E7-4B51-9F48-00F0D83878DE}"/>
    <hyperlink ref="F106" r:id="rId359" xr:uid="{6EB421DF-A5BB-4B3C-AC32-6EB023660282}"/>
    <hyperlink ref="F107" r:id="rId360" xr:uid="{F652356A-DCFA-48B6-B8A3-A229B1B8F57F}"/>
    <hyperlink ref="I104" r:id="rId361" xr:uid="{D669287E-43E9-490A-812E-07CAC536AF5F}"/>
    <hyperlink ref="I106" r:id="rId362" xr:uid="{8848E0D7-B9C2-4B76-BC36-AB56A01A45C2}"/>
    <hyperlink ref="G11" r:id="rId363" xr:uid="{5F120A8A-1B24-4253-9EA7-6CF5D58470A0}"/>
    <hyperlink ref="F7" r:id="rId364" xr:uid="{596575B7-BF2D-415E-B68E-499762A4EB31}"/>
    <hyperlink ref="F8" r:id="rId365" xr:uid="{AE0E21FC-FE85-4971-BCB1-94AF4AB0FD28}"/>
    <hyperlink ref="F9" r:id="rId366" xr:uid="{DF79BC80-1717-40EC-845A-1EE728C08146}"/>
    <hyperlink ref="F10" r:id="rId367" xr:uid="{7EFD0251-5CC0-4142-8EFB-2B88AF1DF4C9}"/>
    <hyperlink ref="F11" r:id="rId368" xr:uid="{63FF6F2C-8610-4DD0-B4E4-E2C2977590E1}"/>
    <hyperlink ref="I5" r:id="rId369" xr:uid="{C418B249-22C2-405A-BD99-1357504D68C9}"/>
    <hyperlink ref="I6" r:id="rId370" xr:uid="{5135E495-0252-4ACD-A8F5-D678C06777F3}"/>
    <hyperlink ref="I8" r:id="rId371" display="gesse.cunha@formularenault.com.br" xr:uid="{409B49EF-7D2A-444E-85CD-03E98B165565}"/>
    <hyperlink ref="I9" r:id="rId372" display="leonardo.silva@formularenault.com.br" xr:uid="{8B08311B-88C5-47B0-A4A6-9ECA006C23E9}"/>
    <hyperlink ref="I10" r:id="rId373" xr:uid="{BE2F2883-6088-46EA-9086-C865C5C3E348}"/>
    <hyperlink ref="I11" r:id="rId374" xr:uid="{51A8D5A3-11CD-47F4-90EF-9C9B1B87AD3A}"/>
    <hyperlink ref="K5" r:id="rId375" xr:uid="{41EADEBC-0C97-42D6-825E-589A851D754C}"/>
    <hyperlink ref="K6" r:id="rId376" xr:uid="{58DC8FCB-3E59-455B-BB6C-D26EE2285846}"/>
    <hyperlink ref="K7" r:id="rId377" display="guilherme.barbosa@formularenault.com.br" xr:uid="{1DCC31C4-DA11-4570-95C0-8A2281827836}"/>
    <hyperlink ref="K8" r:id="rId378" xr:uid="{97D53741-19E9-4EE2-91B5-2B193CF70CD9}"/>
    <hyperlink ref="K9" r:id="rId379" xr:uid="{D16513DF-CCC1-4065-ADAC-68E4C26800C8}"/>
    <hyperlink ref="K10" r:id="rId380" xr:uid="{2846BD44-96FE-477E-9826-10DE16395A69}"/>
    <hyperlink ref="K11" r:id="rId381" xr:uid="{8EEA9EC3-E9E9-40CD-B1F0-5C919A4EC4CC}"/>
    <hyperlink ref="G140:G147" r:id="rId382" display="marcello.bruno@gruposinal.com;alexandre.tarin@gruposinal.com" xr:uid="{F4C39F22-D7C4-4C29-8C93-785A91DE4247}"/>
    <hyperlink ref="M89" r:id="rId383" xr:uid="{A574A3B5-3036-4053-859E-55399C1519D4}"/>
    <hyperlink ref="I59" r:id="rId384" xr:uid="{78BBAC1A-981D-4F98-BC91-FF7E02D2A423}"/>
    <hyperlink ref="I61" r:id="rId385" xr:uid="{F27FB789-8FF6-48F6-8D80-8BB86C2A6E7A}"/>
    <hyperlink ref="K138" r:id="rId386" xr:uid="{4840C602-91EE-4BE6-9227-1FEEE67A3DC6}"/>
    <hyperlink ref="K137" r:id="rId387" xr:uid="{5E8C4478-9573-4F99-A5AC-E0C5FB4B733B}"/>
    <hyperlink ref="K136" r:id="rId388" xr:uid="{A4BE1447-A360-44DA-B748-ADB3087BC3CA}"/>
    <hyperlink ref="M138" r:id="rId389" display="pedro.dcamargo@rpoint.com.br" xr:uid="{930A9E2C-8460-4CF8-B7C0-57D823A560FF}"/>
    <hyperlink ref="G5:G10" r:id="rId390" display="guilherme.barbosa@formularenault.com.br" xr:uid="{B59B8CC6-BA13-4D82-B3BD-B209CA707A05}"/>
    <hyperlink ref="M139" r:id="rId391" display="claudenir.souza@rpoint.com.br" xr:uid="{A418046E-D148-4726-B4F0-35D22F47C170}"/>
    <hyperlink ref="K12" r:id="rId392" display="leonardo.harte@grupoville.com.br; julia.venturi@grupoglobo.com.br" xr:uid="{01EB107C-F324-4B6A-B24E-A691305AC527}"/>
    <hyperlink ref="F266" r:id="rId393" xr:uid="{D8852AFA-601A-4E79-984E-9615ACF328C7}"/>
    <hyperlink ref="H26" r:id="rId394" display="amaral@grupoautoshow.com.br" xr:uid="{AF906268-9D73-4D51-9AB6-DA6A71863908}"/>
    <hyperlink ref="H27" r:id="rId395" display="amaral@grupoautoshow.com.br" xr:uid="{67AD6D87-CFFC-42FC-98EF-9AF684D1A868}"/>
    <hyperlink ref="H28" r:id="rId396" display="amaral@grupoautoshow.com.br" xr:uid="{74D2A0E6-51AD-4688-BFD5-2109B22F86C7}"/>
    <hyperlink ref="H29" r:id="rId397" display="amaral@grupoautoshow.com.br" xr:uid="{492E6145-ED8A-42AE-8AB3-58D17BDE0BD1}"/>
    <hyperlink ref="H30" r:id="rId398" display="amaral@grupoautoshow.com.br" xr:uid="{C3FBADBB-7ECA-4E65-A41E-3379A690F27D}"/>
    <hyperlink ref="H31" r:id="rId399" display="amaral@grupoautoshow.com.br" xr:uid="{B02E94AD-A757-4713-BB9D-F1A30FA8B20A}"/>
    <hyperlink ref="M151" r:id="rId400" xr:uid="{6D34E1C8-E27C-4B18-931C-36B6C0D34406}"/>
    <hyperlink ref="F17" r:id="rId401" xr:uid="{32F950E4-6A5F-450B-AB40-4BAE24DD24FC}"/>
    <hyperlink ref="M221" r:id="rId402" xr:uid="{2B9D77CB-8D04-424D-94D3-0889FC7DC308}"/>
    <hyperlink ref="I125" r:id="rId403" display="marcio.santos@grupotoriba.com.br;" xr:uid="{ADC3B2F5-EB3E-4EB8-B725-B07A1B39A44B}"/>
    <hyperlink ref="K125" r:id="rId404" display="vanessa.barbosa@grupotoriba.com.br" xr:uid="{7465C0ED-8E99-49F3-AFE1-911BC4CF5A14}"/>
    <hyperlink ref="K126" r:id="rId405" display="vanessa.barbosa@grupotoriba.com.br" xr:uid="{2C4701C2-F849-4EE7-B43D-1CB09D9C9EFD}"/>
    <hyperlink ref="I126" r:id="rId406" display="marcio.santos@grupotoriba.com.br;" xr:uid="{FB3501C0-A916-4921-A0B4-1EE3B14E981E}"/>
    <hyperlink ref="H125" r:id="rId407" display="wilson.arrojo@grupotoriba.com.br" xr:uid="{811A0FA9-4A24-4929-9546-5E5A821927EE}"/>
    <hyperlink ref="H126" r:id="rId408" display="wilson.arrojo@grupotoriba.com.br" xr:uid="{A70CD9B9-2812-4C31-82C9-2141777A3820}"/>
    <hyperlink ref="I27" r:id="rId409" xr:uid="{E87EEDCD-8ACD-4A32-A004-D6B0E6129B83}"/>
    <hyperlink ref="F30" r:id="rId410" xr:uid="{EB490835-2EA3-495F-9443-73B0B73555B1}"/>
    <hyperlink ref="F29" r:id="rId411" xr:uid="{94914266-5CFE-47B2-94F0-449BAAFFDCB9}"/>
    <hyperlink ref="F165" r:id="rId412" display="mailto:vinicius.vn@azzurranet.com.br" xr:uid="{D5552776-84D0-4088-8993-F035A69CF338}"/>
    <hyperlink ref="F78" r:id="rId413" xr:uid="{D87B85FC-D65C-4955-B00B-18CA4A7A4FBB}"/>
    <hyperlink ref="F79" r:id="rId414" xr:uid="{EB60B9D8-0408-4421-B4F9-FB882F336810}"/>
    <hyperlink ref="M78" r:id="rId415" xr:uid="{E29DC3F9-260C-4AA8-A0D0-B4F88FF13F01}"/>
    <hyperlink ref="M90:M92" r:id="rId416" display="gabriela.bbsilva@itavemafrance.com.br;mayara.sgonzaga@itavemafrance.com.br;" xr:uid="{CFA5F40B-0A52-41B3-8A8D-43A6FC975E7E}"/>
    <hyperlink ref="H88" r:id="rId417" xr:uid="{56D7B7C5-D6C1-4765-A176-18F66692BDC2}"/>
    <hyperlink ref="F88" r:id="rId418" xr:uid="{BBB0823E-A4E8-4653-9C72-9B537AD65E1E}"/>
    <hyperlink ref="M88" r:id="rId419" display="cotech.eurofrc@eurorenault.com.br;bruna.miranda@eurorenault.com.br;" xr:uid="{BBC7C03D-E0E3-46C7-B491-1016539289DF}"/>
    <hyperlink ref="K88" r:id="rId420" xr:uid="{3F04F634-ADE4-4AD4-A154-D9CFFAED493C}"/>
    <hyperlink ref="F225" r:id="rId421" xr:uid="{06E86042-8CAD-42FA-945A-F66CD30C7D49}"/>
    <hyperlink ref="I225" r:id="rId422" xr:uid="{700A255B-2127-4D24-8B9E-F4AAB826B8CD}"/>
    <hyperlink ref="K225" r:id="rId423" xr:uid="{F0D71F79-3665-4A34-BA55-9364A5773D11}"/>
    <hyperlink ref="F56" r:id="rId424" xr:uid="{778E177A-839F-4BD8-8534-4837C680F262}"/>
    <hyperlink ref="I56" r:id="rId425" xr:uid="{84D0B5BC-E289-4582-805A-3548CC7B738F}"/>
    <hyperlink ref="F5" r:id="rId426" xr:uid="{7986DDB7-7EEC-4C3A-8F0A-0CB5DCACBEFE}"/>
    <hyperlink ref="F6" r:id="rId427" xr:uid="{EA74CEF2-2FF5-4369-8C66-A7EA349EBC95}"/>
    <hyperlink ref="H190" r:id="rId428" xr:uid="{ECA77EC3-0E65-4B63-8244-373DB36277DB}"/>
    <hyperlink ref="H191" r:id="rId429" xr:uid="{A61DA9ED-85F5-49E2-9643-A8F9BF9187D1}"/>
    <hyperlink ref="I55" r:id="rId430" xr:uid="{433107C4-A41E-4B57-907A-A73557E7B8CE}"/>
    <hyperlink ref="F213" r:id="rId431" xr:uid="{02D37E55-C2DC-4034-BBBA-C37845E15E37}"/>
    <hyperlink ref="H225" r:id="rId432" xr:uid="{EE3B82AE-EDB2-4FA5-917C-397CD4D00F7B}"/>
    <hyperlink ref="M225" r:id="rId433" xr:uid="{535BC46D-A6CA-490C-BD9E-DA04E322AE58}"/>
    <hyperlink ref="G166" r:id="rId434" xr:uid="{D370FF50-F409-4301-A28F-54D5EB194590}"/>
    <hyperlink ref="H166" r:id="rId435" xr:uid="{5DEA9AF2-20E0-47B4-96D8-9A56C4423A48}"/>
    <hyperlink ref="I69" r:id="rId436" xr:uid="{D30B3D4A-5C4A-4202-BB45-EF2F5A68F95B}"/>
    <hyperlink ref="I66" r:id="rId437" xr:uid="{62701C7F-FA00-49E9-B3CC-69A48E942809}"/>
    <hyperlink ref="I67" r:id="rId438" xr:uid="{6D0E904D-6239-428D-820E-56C1025C39FA}"/>
    <hyperlink ref="I68" r:id="rId439" xr:uid="{7516F11E-8996-4881-B250-C286BAAF73E4}"/>
    <hyperlink ref="I72" r:id="rId440" xr:uid="{1586EB91-2031-4614-A703-A9000DAE2AB1}"/>
    <hyperlink ref="F75" r:id="rId441" xr:uid="{EBE19801-DA0F-4BAB-B1E9-6E2F5611EC18}"/>
    <hyperlink ref="F76" r:id="rId442" xr:uid="{9401B304-D621-4682-BE0C-86D5A975D46C}"/>
    <hyperlink ref="F77" r:id="rId443" xr:uid="{C38D3716-E112-4E36-82ED-7CE266E1667E}"/>
    <hyperlink ref="I75" r:id="rId444" display="mailto:Denis.bernardo@drsul.com.br" xr:uid="{6DB6CC1D-F9DD-42A8-8A23-02341D73ED07}"/>
    <hyperlink ref="I76:I77" r:id="rId445" display="mailto:Denis.bernardo@drsul.com.br" xr:uid="{335B7255-8382-4FDA-9E75-5CE340EB5C5E}"/>
    <hyperlink ref="F226" r:id="rId446" xr:uid="{66B7C878-2028-4165-B1ED-CF1EE2D44702}"/>
    <hyperlink ref="G226" r:id="rId447" xr:uid="{D2B1B724-0365-40A8-ACDA-6E5F5A38A7F3}"/>
    <hyperlink ref="H226" r:id="rId448" xr:uid="{2FD7E010-9CB9-45F3-B3FC-83DE38371493}"/>
    <hyperlink ref="M107" r:id="rId449" xr:uid="{5062F818-5B21-4793-90E8-8025B69C5FB1}"/>
    <hyperlink ref="M6" r:id="rId450" xr:uid="{88DB91D0-467D-4AD6-8807-D4CBB5B043BB}"/>
    <hyperlink ref="F49" r:id="rId451" xr:uid="{DE360771-96F0-422C-9972-A4E30E6155A8}"/>
    <hyperlink ref="F50" r:id="rId452" xr:uid="{6CB14DC8-17F8-47A1-A93B-31FE17764117}"/>
    <hyperlink ref="M16" r:id="rId453" xr:uid="{5DE2631D-E728-48CD-BBAE-E83AB103E16F}"/>
    <hyperlink ref="K30" r:id="rId454" xr:uid="{0BF86833-5097-41FE-BB47-0593212B50ED}"/>
    <hyperlink ref="I28" r:id="rId455" xr:uid="{44318313-7DD5-49D1-AFAC-AFDD6E7A71D1}"/>
    <hyperlink ref="I26" r:id="rId456" xr:uid="{10EEC384-1826-4AEA-BE45-DE82C6B2AFC6}"/>
    <hyperlink ref="I29" r:id="rId457" xr:uid="{E277C13D-A0C3-4F9F-A403-043572F946F2}"/>
    <hyperlink ref="I30" r:id="rId458" xr:uid="{704EE025-BA62-4DDA-AECB-624DDB7246C0}"/>
    <hyperlink ref="F62" r:id="rId459" xr:uid="{80444007-65A5-41F3-A401-B40F24F78AD2}"/>
    <hyperlink ref="I62" r:id="rId460" xr:uid="{3B5B3BF0-1FDB-4D14-8DFC-D428CF67D9E0}"/>
    <hyperlink ref="K62" r:id="rId461" xr:uid="{F61A5E97-6F56-49E4-8F6F-BFF26A7BC8E1}"/>
    <hyperlink ref="M62" r:id="rId462" display="brenda.castro@grupoiesa.com.br;mailto:monica.lessa@grupoiesa.com.br" xr:uid="{9D73558F-7DAB-43B2-B444-63A1CCED5861}"/>
    <hyperlink ref="F151" r:id="rId463" xr:uid="{D21405BA-85C2-498E-84CF-C5EADD988543}"/>
    <hyperlink ref="I33" r:id="rId464" xr:uid="{D3287DC2-5BDB-4A1D-A571-4D411231E603}"/>
    <hyperlink ref="I34" r:id="rId465" xr:uid="{0F52E56F-4A48-4F0D-B7CF-F0E2C7DE502B}"/>
    <hyperlink ref="G85" r:id="rId466" xr:uid="{C49C47AA-AA33-4685-B7B2-C5D7173390D4}"/>
    <hyperlink ref="H140" r:id="rId467" xr:uid="{0E532F2E-E991-4993-93F9-1BAD49B1DEDE}"/>
    <hyperlink ref="H141:H147" r:id="rId468" display="penna@gruposinal.com;alexandre.tarin@gruposinal.com" xr:uid="{5033F859-01C2-46B3-93A8-4ED3D20505F6}"/>
    <hyperlink ref="F146" r:id="rId469" xr:uid="{B66CA3A7-9AB0-4632-804C-4594C1F91347}"/>
    <hyperlink ref="F140" r:id="rId470" xr:uid="{4F560C45-BA59-47E7-974C-F10B73E7B94E}"/>
    <hyperlink ref="F141" r:id="rId471" xr:uid="{18D8A9CF-FA86-41E2-8F1D-37566C44D0E5}"/>
    <hyperlink ref="F142" r:id="rId472" xr:uid="{B64D5D15-A531-4BFE-931F-E6CB18DCC8B2}"/>
    <hyperlink ref="F143" r:id="rId473" xr:uid="{8BFB34CF-C688-41F1-B31E-33E1B2EAAC99}"/>
    <hyperlink ref="F145" r:id="rId474" xr:uid="{E7F3AB5A-2901-4144-BE09-2D037AF8C6BA}"/>
    <hyperlink ref="K140" r:id="rId475" xr:uid="{C7D4EB31-3330-42DE-9548-3BF4EA31E801}"/>
    <hyperlink ref="K141:K147" r:id="rId476" display="giovanna.gasparotto@gruposinal.com;pedro.ferreira@gruposinal.com;guilherme.barbosa@gruposinal.com" xr:uid="{43CA5763-5DED-41FD-B599-A99B2425B6E8}"/>
    <hyperlink ref="I142" r:id="rId477" xr:uid="{C91ADA7C-4618-4CEB-B3B8-E6CB65DD1B68}"/>
    <hyperlink ref="I143" r:id="rId478" xr:uid="{4EC32937-911C-4D76-8E1D-5AA75E46DF34}"/>
    <hyperlink ref="I144" r:id="rId479" xr:uid="{3BA5960F-A890-4695-B9F7-1586CF301E49}"/>
    <hyperlink ref="I145" r:id="rId480" xr:uid="{34D2BE5D-68A1-4A3C-A913-E2D5F4C8F1DA}"/>
    <hyperlink ref="I146" r:id="rId481" xr:uid="{A2318F1E-69F9-43FD-988A-DC9A8A83B80A}"/>
    <hyperlink ref="I147" r:id="rId482" xr:uid="{3E19340D-C961-4C3D-A293-3CF0CE57796F}"/>
    <hyperlink ref="G84" r:id="rId483" xr:uid="{39B1224B-DA0D-4300-B77C-850F75556775}"/>
    <hyperlink ref="K21" r:id="rId484" xr:uid="{13858BEE-1D1B-4D76-9DC3-116A07E06A7A}"/>
    <hyperlink ref="I117" r:id="rId485" xr:uid="{EEEC6834-10AC-4987-BD22-AF950F67520C}"/>
    <hyperlink ref="F176" r:id="rId486" xr:uid="{399B2403-9081-45B3-B994-9DD1F05691E2}"/>
    <hyperlink ref="F31" r:id="rId487" xr:uid="{C29E6574-342F-42B2-9035-7F133A021024}"/>
    <hyperlink ref="F123" r:id="rId488" xr:uid="{B9A838DE-4F1D-4EF8-B148-653C0E9B4A66}"/>
    <hyperlink ref="F121" r:id="rId489" xr:uid="{1BD287AF-CED8-4A75-9DBC-77E66127FBE9}"/>
    <hyperlink ref="F122" r:id="rId490" xr:uid="{8A1E6191-4DFE-4D31-A7E7-B987A71C70BB}"/>
    <hyperlink ref="F120" r:id="rId491" xr:uid="{7D89BFC3-580F-4F2A-8136-F576E7886127}"/>
    <hyperlink ref="F124" r:id="rId492" xr:uid="{879F34D0-6637-4361-8ACA-5795A6CF67D5}"/>
    <hyperlink ref="H212" r:id="rId493" xr:uid="{F758089C-9B6D-4DCF-A8DF-4B2007353331}"/>
    <hyperlink ref="H17" r:id="rId494" xr:uid="{929972A4-81B8-47B1-8DB6-EE7BF8FB8578}"/>
    <hyperlink ref="H18" r:id="rId495" xr:uid="{9BB99D3D-005E-4308-A1F7-096B75EDADE0}"/>
    <hyperlink ref="H19" r:id="rId496" xr:uid="{E11629D1-5F10-4CAF-BB16-219D353F6687}"/>
    <hyperlink ref="F144" r:id="rId497" xr:uid="{B668F095-A724-497F-944B-87EFB0CDCC66}"/>
    <hyperlink ref="M165" r:id="rId498" xr:uid="{3034FCFE-DEE1-4E8B-B2D0-CA823BB96738}"/>
    <hyperlink ref="H164" r:id="rId499" xr:uid="{2E2BBC4C-0AF4-447E-A29D-53BB23599D2A}"/>
    <hyperlink ref="M164" r:id="rId500" xr:uid="{C0C47888-2A84-4708-88C8-A6529B4B6C9F}"/>
    <hyperlink ref="M22:M25" r:id="rId501" display="patricia@grupoautomega.com.br;" xr:uid="{6D537DF3-E2C2-48EF-A668-FF316C3EC4B6}"/>
    <hyperlink ref="H22:H25" r:id="rId502" display="vicente@grupoautomega.com.br;gerse.silva@grupoautomega.com.br" xr:uid="{2C6E2029-A08E-4076-A79D-83C9640145B3}"/>
    <hyperlink ref="I88" r:id="rId503" xr:uid="{D95C5539-603E-4481-9D08-70F38B9E31A3}"/>
    <hyperlink ref="I87" r:id="rId504" xr:uid="{639663D4-8E75-41DB-B087-5DCD59E0C42E}"/>
    <hyperlink ref="I86" r:id="rId505" xr:uid="{8978A08D-B71E-4039-A1BA-0CF4A3F8BA80}"/>
    <hyperlink ref="K32" r:id="rId506" xr:uid="{050CBC38-F630-4EE5-ACCA-7AE620072571}"/>
    <hyperlink ref="K34" r:id="rId507" xr:uid="{02171C25-CCCA-4340-BF97-29E49E43B653}"/>
    <hyperlink ref="F34" r:id="rId508" xr:uid="{F4588E38-F99A-41AF-9D1B-5630E7D3F87C}"/>
    <hyperlink ref="K33" r:id="rId509" xr:uid="{06EEAB40-F02D-47F0-BD7C-50AFE4DC3B0C}"/>
    <hyperlink ref="I32" r:id="rId510" xr:uid="{4069A47E-4C19-4E48-9ACF-AD581A30A162}"/>
    <hyperlink ref="F32" r:id="rId511" xr:uid="{42950F16-2D17-45BC-9CFC-31F2725E33FD}"/>
    <hyperlink ref="H253" r:id="rId512" display="carlos.henrique@revemar.com.br" xr:uid="{A3063F8C-3902-469B-B60C-076F2ED1DDD9}"/>
    <hyperlink ref="H263" r:id="rId513" display="carlos.henrique@revemar.com.br" xr:uid="{8AE4AFB3-DDCD-4D7E-AE42-D4A5E2E03CEB}"/>
    <hyperlink ref="H254" r:id="rId514" display="carlos.henrique@revemar.com.br" xr:uid="{A285F1E4-E2B8-46C1-AACF-70A5E515B656}"/>
    <hyperlink ref="H255" r:id="rId515" display="carlos.henrique@revemar.com.br" xr:uid="{CBA03F17-7565-4E20-B5E9-C565547DE8F4}"/>
    <hyperlink ref="H264" r:id="rId516" display="carlos.henrique@revemar.com.br" xr:uid="{066C3077-D7DA-413F-BA43-85D013D695B0}"/>
    <hyperlink ref="H256" r:id="rId517" display="carlos.henrique@revemar.com.br" xr:uid="{B1794669-061C-42E5-836B-6C72BDF12D03}"/>
    <hyperlink ref="H257" r:id="rId518" display="carlos.henrique@revemar.com.br" xr:uid="{CC45A20B-10D8-4F76-A527-A89228BAFC6F}"/>
    <hyperlink ref="H258" r:id="rId519" display="carlos.henrique@revemar.com.br" xr:uid="{8610915D-6006-4C45-8B73-D69BC425C361}"/>
    <hyperlink ref="H259" r:id="rId520" display="carlos.henrique@revemar.com.br" xr:uid="{17D30FB1-84EC-4FC6-BC4E-BCA4A2A021A6}"/>
    <hyperlink ref="H260" r:id="rId521" display="carlos.henrique@revemar.com.br" xr:uid="{737E004F-09F0-4A83-9ABA-9896D34D2BE1}"/>
    <hyperlink ref="H262" r:id="rId522" display="carlos.henrique@revemar.com.br" xr:uid="{850010DC-4934-4969-A9D1-A8344BAA34AF}"/>
    <hyperlink ref="H261" r:id="rId523" display="carlos.henrique@revemar.com.br" xr:uid="{D2B998FB-0369-4654-B702-0082A0A2F9E1}"/>
    <hyperlink ref="I253" r:id="rId524" xr:uid="{ED7B5BC7-FBD3-4EE6-A89B-9D51B675E870}"/>
    <hyperlink ref="I254" r:id="rId525" xr:uid="{3C0645EE-646A-4074-A01B-27E5A61C058C}"/>
    <hyperlink ref="I262" r:id="rId526" xr:uid="{0077D828-BC40-4651-BF80-E38836C26BE6}"/>
    <hyperlink ref="I255" r:id="rId527" xr:uid="{A05BE682-21DA-44B1-9666-1DC9F52836BB}"/>
    <hyperlink ref="I258" r:id="rId528" xr:uid="{79B881E6-25BA-4282-8619-DBFBDE56E265}"/>
    <hyperlink ref="I263" r:id="rId529" xr:uid="{B99D59CA-D468-4B0D-AA4F-DA97EFE6E680}"/>
    <hyperlink ref="K264" r:id="rId530" display="qualidade.mco.dno2@revemar.com.br" xr:uid="{13CB49E6-FCEA-404A-A457-A3E7D5C0FADF}"/>
    <hyperlink ref="M253" r:id="rId531" display="alice.mesquita@revemar.com.br; " xr:uid="{D97D0DD2-1558-410D-B54B-26FBFB0A872F}"/>
    <hyperlink ref="M136" r:id="rId532" display="samira.freitas@rpoint.com.br" xr:uid="{738EF592-5216-41B4-9717-A1A3C717B7DF}"/>
    <hyperlink ref="H138" r:id="rId533" xr:uid="{186AD214-B759-43A7-9337-30CBCC3E33F6}"/>
    <hyperlink ref="M137" r:id="rId534" display="johnata.rodrigues@rpoint.com.br" xr:uid="{5D6DF1E9-C517-40B2-A451-8751291D5172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1E4C-9613-489E-B956-273466711140}">
  <sheetPr codeName="Planilha2">
    <tabColor theme="0"/>
  </sheetPr>
  <dimension ref="A1:H29"/>
  <sheetViews>
    <sheetView showGridLines="0" zoomScale="85" zoomScaleNormal="85" workbookViewId="0">
      <pane ySplit="1" topLeftCell="A2" activePane="bottomLeft" state="frozen"/>
      <selection pane="bottomLeft" activeCell="H11" sqref="H11"/>
      <selection sqref="A1:XFD1048576"/>
    </sheetView>
  </sheetViews>
  <sheetFormatPr defaultColWidth="8.5703125" defaultRowHeight="12.6"/>
  <cols>
    <col min="1" max="1" width="10.5703125" style="42" bestFit="1" customWidth="1"/>
    <col min="2" max="2" width="10.42578125" style="43" bestFit="1" customWidth="1"/>
    <col min="3" max="3" width="4.5703125" style="43" customWidth="1"/>
    <col min="4" max="4" width="26.5703125" style="43" bestFit="1" customWidth="1"/>
    <col min="5" max="5" width="5" style="34" customWidth="1"/>
    <col min="6" max="6" width="7.42578125" style="34" customWidth="1"/>
    <col min="7" max="7" width="8.42578125" style="34" customWidth="1"/>
    <col min="8" max="8" width="8.5703125" style="34" customWidth="1"/>
    <col min="9" max="9" width="8.5703125" style="34"/>
    <col min="10" max="10" width="25.42578125" style="34" bestFit="1" customWidth="1"/>
    <col min="11" max="12" width="8.5703125" style="34"/>
    <col min="13" max="13" width="19.42578125" style="34" bestFit="1" customWidth="1"/>
    <col min="14" max="16384" width="8.5703125" style="34"/>
  </cols>
  <sheetData>
    <row r="1" spans="1:8" ht="18" customHeight="1">
      <c r="A1" s="33" t="s">
        <v>1565</v>
      </c>
      <c r="B1" s="33" t="s">
        <v>1566</v>
      </c>
      <c r="C1" s="33" t="s">
        <v>1567</v>
      </c>
      <c r="D1" s="33" t="s">
        <v>1568</v>
      </c>
      <c r="F1" s="379" t="s">
        <v>1569</v>
      </c>
      <c r="G1" s="379"/>
      <c r="H1" s="379"/>
    </row>
    <row r="2" spans="1:8" ht="15" customHeight="1">
      <c r="A2" s="380">
        <v>1</v>
      </c>
      <c r="B2" s="35">
        <v>1</v>
      </c>
      <c r="C2" s="36" t="str">
        <f>$A$2&amp;B2</f>
        <v>11</v>
      </c>
      <c r="D2" s="37" t="s">
        <v>1570</v>
      </c>
      <c r="F2" s="379"/>
      <c r="G2" s="379"/>
      <c r="H2" s="379"/>
    </row>
    <row r="3" spans="1:8" ht="15" customHeight="1">
      <c r="A3" s="380"/>
      <c r="B3" s="35">
        <v>2</v>
      </c>
      <c r="C3" s="36" t="str">
        <f t="shared" ref="C3:C8" si="0">$A$2&amp;B3</f>
        <v>12</v>
      </c>
      <c r="D3" s="38" t="s">
        <v>1571</v>
      </c>
      <c r="F3" s="379"/>
      <c r="G3" s="379"/>
      <c r="H3" s="379"/>
    </row>
    <row r="4" spans="1:8" ht="15" customHeight="1">
      <c r="A4" s="380"/>
      <c r="B4" s="35">
        <v>3</v>
      </c>
      <c r="C4" s="36" t="str">
        <f t="shared" si="0"/>
        <v>13</v>
      </c>
      <c r="D4" s="39" t="s">
        <v>1572</v>
      </c>
      <c r="F4" s="379"/>
      <c r="G4" s="379"/>
      <c r="H4" s="379"/>
    </row>
    <row r="5" spans="1:8" ht="15" customHeight="1">
      <c r="A5" s="380"/>
      <c r="B5" s="35">
        <v>4</v>
      </c>
      <c r="C5" s="36" t="str">
        <f t="shared" si="0"/>
        <v>14</v>
      </c>
      <c r="D5" s="39" t="s">
        <v>1573</v>
      </c>
      <c r="F5" s="379"/>
      <c r="G5" s="379"/>
      <c r="H5" s="379"/>
    </row>
    <row r="6" spans="1:8" ht="15" customHeight="1">
      <c r="A6" s="380"/>
      <c r="B6" s="35">
        <v>5</v>
      </c>
      <c r="C6" s="36" t="str">
        <f t="shared" si="0"/>
        <v>15</v>
      </c>
      <c r="D6" s="39" t="s">
        <v>1574</v>
      </c>
      <c r="F6" s="379"/>
      <c r="G6" s="379"/>
      <c r="H6" s="379"/>
    </row>
    <row r="7" spans="1:8" ht="15" customHeight="1">
      <c r="A7" s="380"/>
      <c r="B7" s="35">
        <v>6</v>
      </c>
      <c r="C7" s="36" t="str">
        <f t="shared" si="0"/>
        <v>16</v>
      </c>
      <c r="D7" s="39" t="s">
        <v>1575</v>
      </c>
    </row>
    <row r="8" spans="1:8" ht="15" customHeight="1">
      <c r="A8" s="380"/>
      <c r="B8" s="35">
        <v>7</v>
      </c>
      <c r="C8" s="36" t="str">
        <f t="shared" si="0"/>
        <v>17</v>
      </c>
      <c r="D8" s="38" t="s">
        <v>1576</v>
      </c>
    </row>
    <row r="9" spans="1:8" ht="15">
      <c r="A9" s="380">
        <v>2</v>
      </c>
      <c r="B9" s="35">
        <v>1</v>
      </c>
      <c r="C9" s="36" t="str">
        <f>$A$9&amp;B9</f>
        <v>21</v>
      </c>
      <c r="D9" s="39" t="s">
        <v>1577</v>
      </c>
    </row>
    <row r="10" spans="1:8" ht="15">
      <c r="A10" s="380"/>
      <c r="B10" s="35">
        <v>2</v>
      </c>
      <c r="C10" s="36" t="str">
        <f t="shared" ref="C10:C15" si="1">$A$9&amp;B10</f>
        <v>22</v>
      </c>
      <c r="D10" s="39" t="s">
        <v>1578</v>
      </c>
    </row>
    <row r="11" spans="1:8" ht="15">
      <c r="A11" s="380"/>
      <c r="B11" s="35">
        <v>3</v>
      </c>
      <c r="C11" s="36" t="str">
        <f t="shared" si="1"/>
        <v>23</v>
      </c>
      <c r="D11" s="39" t="s">
        <v>1579</v>
      </c>
    </row>
    <row r="12" spans="1:8" ht="15">
      <c r="A12" s="380"/>
      <c r="B12" s="35">
        <v>4</v>
      </c>
      <c r="C12" s="36" t="str">
        <f t="shared" si="1"/>
        <v>24</v>
      </c>
      <c r="D12" s="39" t="s">
        <v>1580</v>
      </c>
    </row>
    <row r="13" spans="1:8" ht="15">
      <c r="A13" s="380"/>
      <c r="B13" s="35">
        <v>5</v>
      </c>
      <c r="C13" s="36" t="str">
        <f t="shared" si="1"/>
        <v>25</v>
      </c>
      <c r="D13" s="39" t="s">
        <v>1581</v>
      </c>
    </row>
    <row r="14" spans="1:8" ht="15">
      <c r="A14" s="380"/>
      <c r="B14" s="35">
        <v>6</v>
      </c>
      <c r="C14" s="36" t="str">
        <f t="shared" si="1"/>
        <v>26</v>
      </c>
      <c r="D14" s="39" t="s">
        <v>1582</v>
      </c>
    </row>
    <row r="15" spans="1:8" ht="15">
      <c r="A15" s="380"/>
      <c r="B15" s="35">
        <v>7</v>
      </c>
      <c r="C15" s="36" t="str">
        <f t="shared" si="1"/>
        <v>27</v>
      </c>
      <c r="D15" s="39" t="s">
        <v>1577</v>
      </c>
    </row>
    <row r="16" spans="1:8" ht="15">
      <c r="A16" s="380">
        <v>3</v>
      </c>
      <c r="B16" s="35">
        <v>1</v>
      </c>
      <c r="C16" s="36" t="str">
        <f>$A$16&amp;B16</f>
        <v>31</v>
      </c>
      <c r="D16" s="39" t="s">
        <v>1577</v>
      </c>
    </row>
    <row r="17" spans="1:4" ht="15">
      <c r="A17" s="380"/>
      <c r="B17" s="35">
        <v>2</v>
      </c>
      <c r="C17" s="36" t="str">
        <f t="shared" ref="C17:C22" si="2">$A$16&amp;B17</f>
        <v>32</v>
      </c>
      <c r="D17" s="39" t="s">
        <v>1577</v>
      </c>
    </row>
    <row r="18" spans="1:4" ht="15">
      <c r="A18" s="380"/>
      <c r="B18" s="35">
        <v>3</v>
      </c>
      <c r="C18" s="36" t="str">
        <f t="shared" si="2"/>
        <v>33</v>
      </c>
      <c r="D18" s="37" t="s">
        <v>1583</v>
      </c>
    </row>
    <row r="19" spans="1:4" ht="15">
      <c r="A19" s="380"/>
      <c r="B19" s="35">
        <v>4</v>
      </c>
      <c r="C19" s="36" t="str">
        <f t="shared" si="2"/>
        <v>34</v>
      </c>
      <c r="D19" s="39" t="s">
        <v>1584</v>
      </c>
    </row>
    <row r="20" spans="1:4" ht="15">
      <c r="A20" s="380"/>
      <c r="B20" s="35">
        <v>5</v>
      </c>
      <c r="C20" s="36" t="str">
        <f t="shared" si="2"/>
        <v>35</v>
      </c>
      <c r="D20" s="37" t="s">
        <v>1585</v>
      </c>
    </row>
    <row r="21" spans="1:4" ht="15">
      <c r="A21" s="380"/>
      <c r="B21" s="35">
        <v>6</v>
      </c>
      <c r="C21" s="36" t="str">
        <f t="shared" si="2"/>
        <v>36</v>
      </c>
      <c r="D21" s="39" t="s">
        <v>1577</v>
      </c>
    </row>
    <row r="22" spans="1:4" ht="15">
      <c r="A22" s="380"/>
      <c r="B22" s="35">
        <v>7</v>
      </c>
      <c r="C22" s="36" t="str">
        <f t="shared" si="2"/>
        <v>37</v>
      </c>
      <c r="D22" s="38" t="s">
        <v>1586</v>
      </c>
    </row>
    <row r="23" spans="1:4" ht="15">
      <c r="A23" s="380">
        <v>4</v>
      </c>
      <c r="B23" s="35">
        <v>1</v>
      </c>
      <c r="C23" s="36" t="str">
        <f>$A$23&amp;B23</f>
        <v>41</v>
      </c>
      <c r="D23" s="40" t="s">
        <v>1587</v>
      </c>
    </row>
    <row r="24" spans="1:4" ht="15">
      <c r="A24" s="380"/>
      <c r="B24" s="35">
        <v>2</v>
      </c>
      <c r="C24" s="36" t="str">
        <f t="shared" ref="C24:C29" si="3">$A$23&amp;B24</f>
        <v>42</v>
      </c>
      <c r="D24" s="40" t="s">
        <v>1588</v>
      </c>
    </row>
    <row r="25" spans="1:4" ht="15">
      <c r="A25" s="380"/>
      <c r="B25" s="35">
        <v>3</v>
      </c>
      <c r="C25" s="36" t="str">
        <f t="shared" si="3"/>
        <v>43</v>
      </c>
      <c r="D25" s="40" t="s">
        <v>1589</v>
      </c>
    </row>
    <row r="26" spans="1:4" ht="15">
      <c r="A26" s="380"/>
      <c r="B26" s="35">
        <v>4</v>
      </c>
      <c r="C26" s="36" t="str">
        <f t="shared" si="3"/>
        <v>44</v>
      </c>
      <c r="D26" s="41" t="s">
        <v>1590</v>
      </c>
    </row>
    <row r="27" spans="1:4" ht="15">
      <c r="A27" s="380"/>
      <c r="B27" s="35">
        <v>5</v>
      </c>
      <c r="C27" s="36" t="str">
        <f t="shared" si="3"/>
        <v>45</v>
      </c>
      <c r="D27" s="41" t="s">
        <v>1591</v>
      </c>
    </row>
    <row r="28" spans="1:4" ht="15">
      <c r="A28" s="380"/>
      <c r="B28" s="35">
        <v>6</v>
      </c>
      <c r="C28" s="36" t="str">
        <f t="shared" si="3"/>
        <v>46</v>
      </c>
      <c r="D28" s="41" t="s">
        <v>1577</v>
      </c>
    </row>
    <row r="29" spans="1:4" ht="15">
      <c r="A29" s="380"/>
      <c r="B29" s="35">
        <v>7</v>
      </c>
      <c r="C29" s="36" t="str">
        <f t="shared" si="3"/>
        <v>47</v>
      </c>
      <c r="D29" s="41" t="s">
        <v>1592</v>
      </c>
    </row>
  </sheetData>
  <mergeCells count="5">
    <mergeCell ref="F1:H6"/>
    <mergeCell ref="A2:A8"/>
    <mergeCell ref="A9:A15"/>
    <mergeCell ref="A16:A22"/>
    <mergeCell ref="A23:A29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&amp;R_x000D_&amp;1#&amp;"Arial"&amp;10&amp;K000000 Confidential 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50E4-B582-4A72-AA72-A7F390FC420F}">
  <sheetPr codeName="Planilha4">
    <tabColor theme="0"/>
  </sheetPr>
  <dimension ref="B1:E103"/>
  <sheetViews>
    <sheetView showGridLines="0" topLeftCell="A44" workbookViewId="0">
      <selection activeCell="C45" sqref="C45:C47"/>
    </sheetView>
  </sheetViews>
  <sheetFormatPr defaultColWidth="8.5703125" defaultRowHeight="12.6"/>
  <cols>
    <col min="1" max="1" width="1.5703125" style="34" customWidth="1"/>
    <col min="2" max="2" width="7" style="34" bestFit="1" customWidth="1"/>
    <col min="3" max="3" width="24" style="34" bestFit="1" customWidth="1"/>
    <col min="4" max="4" width="20.5703125" style="34" bestFit="1" customWidth="1"/>
    <col min="5" max="5" width="53.85546875" style="34" bestFit="1" customWidth="1"/>
    <col min="6" max="6" width="8.5703125" style="34"/>
    <col min="7" max="7" width="19.42578125" style="34" bestFit="1" customWidth="1"/>
    <col min="8" max="16384" width="8.5703125" style="34"/>
  </cols>
  <sheetData>
    <row r="1" spans="2:5" ht="19.350000000000001" customHeight="1" thickBot="1">
      <c r="B1" s="44" t="s">
        <v>6</v>
      </c>
      <c r="C1" s="45" t="s">
        <v>1593</v>
      </c>
      <c r="D1" s="44" t="s">
        <v>1594</v>
      </c>
      <c r="E1" s="44" t="s">
        <v>1595</v>
      </c>
    </row>
    <row r="2" spans="2:5" ht="15" customHeight="1">
      <c r="B2" s="387" t="s">
        <v>1596</v>
      </c>
      <c r="C2" s="46" t="s">
        <v>1597</v>
      </c>
      <c r="D2" s="384" t="s">
        <v>1570</v>
      </c>
      <c r="E2" s="384" t="s">
        <v>1598</v>
      </c>
    </row>
    <row r="3" spans="2:5" ht="15" customHeight="1" thickBot="1">
      <c r="B3" s="389"/>
      <c r="C3" s="47" t="s">
        <v>1599</v>
      </c>
      <c r="D3" s="386"/>
      <c r="E3" s="386"/>
    </row>
    <row r="4" spans="2:5" ht="15" customHeight="1">
      <c r="B4" s="387" t="s">
        <v>1600</v>
      </c>
      <c r="C4" s="46" t="s">
        <v>1601</v>
      </c>
      <c r="D4" s="384" t="s">
        <v>1571</v>
      </c>
      <c r="E4" s="384" t="s">
        <v>1602</v>
      </c>
    </row>
    <row r="5" spans="2:5" ht="15" customHeight="1" thickBot="1">
      <c r="B5" s="389"/>
      <c r="C5" s="47" t="s">
        <v>1603</v>
      </c>
      <c r="D5" s="386"/>
      <c r="E5" s="386"/>
    </row>
    <row r="6" spans="2:5" ht="15" customHeight="1">
      <c r="B6" s="387" t="s">
        <v>1604</v>
      </c>
      <c r="C6" s="48" t="s">
        <v>1605</v>
      </c>
      <c r="D6" s="384" t="s">
        <v>1572</v>
      </c>
      <c r="E6" s="384" t="s">
        <v>1606</v>
      </c>
    </row>
    <row r="7" spans="2:5" ht="15" customHeight="1">
      <c r="B7" s="388"/>
      <c r="C7" s="49" t="s">
        <v>1607</v>
      </c>
      <c r="D7" s="385"/>
      <c r="E7" s="385"/>
    </row>
    <row r="8" spans="2:5" ht="15" customHeight="1" thickBot="1">
      <c r="B8" s="389"/>
      <c r="C8" s="49" t="s">
        <v>1608</v>
      </c>
      <c r="D8" s="386"/>
      <c r="E8" s="386"/>
    </row>
    <row r="9" spans="2:5">
      <c r="B9" s="387" t="s">
        <v>1609</v>
      </c>
      <c r="C9" s="48" t="s">
        <v>1610</v>
      </c>
      <c r="D9" s="384" t="s">
        <v>1573</v>
      </c>
      <c r="E9" s="384" t="s">
        <v>1611</v>
      </c>
    </row>
    <row r="10" spans="2:5" ht="12.95" thickBot="1">
      <c r="B10" s="389"/>
      <c r="C10" s="50" t="s">
        <v>1612</v>
      </c>
      <c r="D10" s="386"/>
      <c r="E10" s="386"/>
    </row>
    <row r="11" spans="2:5">
      <c r="B11" s="387" t="s">
        <v>1613</v>
      </c>
      <c r="C11" s="48" t="s">
        <v>1614</v>
      </c>
      <c r="D11" s="384" t="s">
        <v>1574</v>
      </c>
      <c r="E11" s="384" t="s">
        <v>1615</v>
      </c>
    </row>
    <row r="12" spans="2:5">
      <c r="B12" s="388"/>
      <c r="C12" s="49" t="s">
        <v>1616</v>
      </c>
      <c r="D12" s="385"/>
      <c r="E12" s="385"/>
    </row>
    <row r="13" spans="2:5" ht="12.95" thickBot="1">
      <c r="B13" s="389"/>
      <c r="C13" s="50" t="s">
        <v>1617</v>
      </c>
      <c r="D13" s="386"/>
      <c r="E13" s="386"/>
    </row>
    <row r="14" spans="2:5">
      <c r="B14" s="387" t="s">
        <v>1618</v>
      </c>
      <c r="C14" s="48" t="s">
        <v>1619</v>
      </c>
      <c r="D14" s="384" t="s">
        <v>1575</v>
      </c>
      <c r="E14" s="384" t="s">
        <v>1620</v>
      </c>
    </row>
    <row r="15" spans="2:5" ht="12.95" thickBot="1">
      <c r="B15" s="389"/>
      <c r="C15" s="54" t="s">
        <v>1621</v>
      </c>
      <c r="D15" s="386"/>
      <c r="E15" s="386"/>
    </row>
    <row r="16" spans="2:5" ht="13.35" customHeight="1">
      <c r="B16" s="396" t="s">
        <v>1622</v>
      </c>
      <c r="C16" s="46" t="s">
        <v>1623</v>
      </c>
      <c r="D16" s="393" t="s">
        <v>1576</v>
      </c>
      <c r="E16" s="384" t="s">
        <v>1624</v>
      </c>
    </row>
    <row r="17" spans="2:5" ht="13.35" customHeight="1">
      <c r="B17" s="397"/>
      <c r="C17" s="209" t="s">
        <v>1625</v>
      </c>
      <c r="D17" s="394"/>
      <c r="E17" s="385"/>
    </row>
    <row r="18" spans="2:5" ht="14.1" customHeight="1">
      <c r="B18" s="397"/>
      <c r="C18" s="209" t="s">
        <v>1626</v>
      </c>
      <c r="D18" s="394"/>
      <c r="E18" s="385"/>
    </row>
    <row r="19" spans="2:5" ht="14.1" customHeight="1" thickBot="1">
      <c r="B19" s="398"/>
      <c r="C19" s="47" t="s">
        <v>1627</v>
      </c>
      <c r="D19" s="395"/>
      <c r="E19" s="386"/>
    </row>
    <row r="20" spans="2:5" ht="13.35" customHeight="1">
      <c r="B20" s="381" t="s">
        <v>1628</v>
      </c>
      <c r="C20" s="208" t="s">
        <v>1629</v>
      </c>
      <c r="D20" s="390" t="s">
        <v>1630</v>
      </c>
      <c r="E20" s="384" t="s">
        <v>1631</v>
      </c>
    </row>
    <row r="21" spans="2:5" ht="14.45" customHeight="1">
      <c r="B21" s="382"/>
      <c r="C21" s="49" t="s">
        <v>1632</v>
      </c>
      <c r="D21" s="391"/>
      <c r="E21" s="385"/>
    </row>
    <row r="22" spans="2:5" ht="14.45" customHeight="1" thickBot="1">
      <c r="B22" s="382"/>
      <c r="C22" s="49" t="s">
        <v>1633</v>
      </c>
      <c r="D22" s="391"/>
      <c r="E22" s="385"/>
    </row>
    <row r="23" spans="2:5">
      <c r="B23" s="381" t="s">
        <v>1634</v>
      </c>
      <c r="C23" s="48" t="s">
        <v>1635</v>
      </c>
      <c r="D23" s="384" t="s">
        <v>1578</v>
      </c>
      <c r="E23" s="385" t="s">
        <v>1138</v>
      </c>
    </row>
    <row r="24" spans="2:5">
      <c r="B24" s="382"/>
      <c r="C24" s="49" t="s">
        <v>1636</v>
      </c>
      <c r="D24" s="385"/>
      <c r="E24" s="385"/>
    </row>
    <row r="25" spans="2:5" ht="12.95" thickBot="1">
      <c r="B25" s="383"/>
      <c r="C25" s="50" t="s">
        <v>1637</v>
      </c>
      <c r="D25" s="386"/>
      <c r="E25" s="386"/>
    </row>
    <row r="26" spans="2:5">
      <c r="B26" s="381" t="s">
        <v>1638</v>
      </c>
      <c r="C26" s="48" t="s">
        <v>1639</v>
      </c>
      <c r="D26" s="384" t="s">
        <v>1579</v>
      </c>
      <c r="E26" s="384" t="s">
        <v>1640</v>
      </c>
    </row>
    <row r="27" spans="2:5">
      <c r="B27" s="382"/>
      <c r="C27" s="208" t="s">
        <v>1641</v>
      </c>
      <c r="D27" s="385"/>
      <c r="E27" s="385"/>
    </row>
    <row r="28" spans="2:5">
      <c r="B28" s="382"/>
      <c r="C28" s="49" t="s">
        <v>1642</v>
      </c>
      <c r="D28" s="385"/>
      <c r="E28" s="385"/>
    </row>
    <row r="29" spans="2:5" ht="12.95" thickBot="1">
      <c r="B29" s="382"/>
      <c r="C29" s="54" t="s">
        <v>1643</v>
      </c>
      <c r="D29" s="386"/>
      <c r="E29" s="386"/>
    </row>
    <row r="30" spans="2:5">
      <c r="B30" s="381" t="s">
        <v>1644</v>
      </c>
      <c r="C30" s="48" t="s">
        <v>1645</v>
      </c>
      <c r="D30" s="384" t="s">
        <v>1580</v>
      </c>
      <c r="E30" s="384" t="s">
        <v>1646</v>
      </c>
    </row>
    <row r="31" spans="2:5" ht="12.95" thickBot="1">
      <c r="B31" s="383"/>
      <c r="C31" s="50" t="s">
        <v>1647</v>
      </c>
      <c r="D31" s="386"/>
      <c r="E31" s="385"/>
    </row>
    <row r="32" spans="2:5" ht="14.45">
      <c r="B32" s="381" t="s">
        <v>1648</v>
      </c>
      <c r="C32" s="48" t="s">
        <v>1649</v>
      </c>
      <c r="D32" s="390" t="s">
        <v>1577</v>
      </c>
      <c r="E32" s="244"/>
    </row>
    <row r="33" spans="2:5" ht="14.45">
      <c r="B33" s="382"/>
      <c r="C33" s="49" t="s">
        <v>1650</v>
      </c>
      <c r="D33" s="391"/>
      <c r="E33" s="245"/>
    </row>
    <row r="34" spans="2:5" ht="15" thickBot="1">
      <c r="B34" s="382"/>
      <c r="C34" s="49" t="s">
        <v>1651</v>
      </c>
      <c r="D34" s="391"/>
      <c r="E34" s="246"/>
    </row>
    <row r="35" spans="2:5">
      <c r="B35" s="381" t="s">
        <v>1652</v>
      </c>
      <c r="C35" s="48" t="s">
        <v>1653</v>
      </c>
      <c r="D35" s="384" t="s">
        <v>1582</v>
      </c>
      <c r="E35" s="385" t="s">
        <v>1654</v>
      </c>
    </row>
    <row r="36" spans="2:5">
      <c r="B36" s="382"/>
      <c r="C36" s="247" t="s">
        <v>1655</v>
      </c>
      <c r="D36" s="385"/>
      <c r="E36" s="385"/>
    </row>
    <row r="37" spans="2:5" ht="12.95" thickBot="1">
      <c r="B37" s="383"/>
      <c r="C37" s="50" t="s">
        <v>1656</v>
      </c>
      <c r="D37" s="386"/>
      <c r="E37" s="385"/>
    </row>
    <row r="38" spans="2:5">
      <c r="B38" s="381" t="s">
        <v>1657</v>
      </c>
      <c r="C38" s="48" t="s">
        <v>1658</v>
      </c>
      <c r="D38" s="390" t="s">
        <v>1577</v>
      </c>
      <c r="E38" s="51" t="s">
        <v>1640</v>
      </c>
    </row>
    <row r="39" spans="2:5">
      <c r="B39" s="382"/>
      <c r="C39" s="49" t="s">
        <v>1659</v>
      </c>
      <c r="D39" s="391"/>
      <c r="E39" s="52" t="s">
        <v>1654</v>
      </c>
    </row>
    <row r="40" spans="2:5" ht="12.95" thickBot="1">
      <c r="B40" s="383"/>
      <c r="C40" s="50" t="s">
        <v>1660</v>
      </c>
      <c r="D40" s="392"/>
      <c r="E40" s="53" t="s">
        <v>1646</v>
      </c>
    </row>
    <row r="41" spans="2:5" ht="13.35" customHeight="1">
      <c r="B41" s="387" t="s">
        <v>1661</v>
      </c>
      <c r="C41" s="48" t="s">
        <v>1662</v>
      </c>
      <c r="D41" s="390" t="s">
        <v>1663</v>
      </c>
      <c r="E41" s="384" t="s">
        <v>1664</v>
      </c>
    </row>
    <row r="42" spans="2:5" ht="14.45" customHeight="1">
      <c r="B42" s="388"/>
      <c r="C42" s="49" t="s">
        <v>1665</v>
      </c>
      <c r="D42" s="391"/>
      <c r="E42" s="385"/>
    </row>
    <row r="43" spans="2:5" ht="14.45" customHeight="1">
      <c r="B43" s="388"/>
      <c r="C43" s="49" t="s">
        <v>1666</v>
      </c>
      <c r="D43" s="391"/>
      <c r="E43" s="385"/>
    </row>
    <row r="44" spans="2:5" ht="15" customHeight="1" thickBot="1">
      <c r="B44" s="389"/>
      <c r="C44" s="50" t="s">
        <v>1667</v>
      </c>
      <c r="D44" s="392"/>
      <c r="E44" s="386"/>
    </row>
    <row r="45" spans="2:5">
      <c r="B45" s="387" t="s">
        <v>1668</v>
      </c>
      <c r="C45" s="48" t="s">
        <v>1669</v>
      </c>
      <c r="D45" s="390" t="s">
        <v>1577</v>
      </c>
      <c r="E45" s="51" t="s">
        <v>1670</v>
      </c>
    </row>
    <row r="46" spans="2:5">
      <c r="B46" s="388"/>
      <c r="C46" s="49" t="s">
        <v>1671</v>
      </c>
      <c r="D46" s="391"/>
      <c r="E46" s="52" t="s">
        <v>1672</v>
      </c>
    </row>
    <row r="47" spans="2:5">
      <c r="B47" s="388"/>
      <c r="C47" s="49" t="s">
        <v>1673</v>
      </c>
      <c r="D47" s="391"/>
      <c r="E47" s="52" t="s">
        <v>1674</v>
      </c>
    </row>
    <row r="48" spans="2:5" ht="12.95" thickBot="1">
      <c r="B48" s="389"/>
      <c r="C48" s="50" t="s">
        <v>1675</v>
      </c>
      <c r="D48" s="392"/>
      <c r="E48" s="53" t="s">
        <v>1676</v>
      </c>
    </row>
    <row r="49" spans="2:5">
      <c r="B49" s="387" t="s">
        <v>1677</v>
      </c>
      <c r="C49" s="48" t="s">
        <v>1678</v>
      </c>
      <c r="D49" s="384" t="s">
        <v>1583</v>
      </c>
      <c r="E49" s="385" t="s">
        <v>1679</v>
      </c>
    </row>
    <row r="50" spans="2:5">
      <c r="B50" s="388"/>
      <c r="C50" s="49" t="s">
        <v>1680</v>
      </c>
      <c r="D50" s="385"/>
      <c r="E50" s="385"/>
    </row>
    <row r="51" spans="2:5">
      <c r="B51" s="388"/>
      <c r="C51" s="49" t="s">
        <v>1681</v>
      </c>
      <c r="D51" s="385"/>
      <c r="E51" s="385"/>
    </row>
    <row r="52" spans="2:5" ht="12.95" thickBot="1">
      <c r="B52" s="389"/>
      <c r="C52" s="50" t="s">
        <v>1667</v>
      </c>
      <c r="D52" s="386"/>
      <c r="E52" s="386"/>
    </row>
    <row r="53" spans="2:5">
      <c r="B53" s="381" t="s">
        <v>1682</v>
      </c>
      <c r="C53" s="48" t="s">
        <v>1683</v>
      </c>
      <c r="D53" s="384" t="s">
        <v>1584</v>
      </c>
      <c r="E53" s="384" t="s">
        <v>1676</v>
      </c>
    </row>
    <row r="54" spans="2:5" ht="12.95" thickBot="1">
      <c r="B54" s="383"/>
      <c r="C54" s="50" t="s">
        <v>1684</v>
      </c>
      <c r="D54" s="386"/>
      <c r="E54" s="386"/>
    </row>
    <row r="55" spans="2:5">
      <c r="B55" s="381" t="s">
        <v>1685</v>
      </c>
      <c r="C55" s="48" t="s">
        <v>1686</v>
      </c>
      <c r="D55" s="384" t="s">
        <v>1585</v>
      </c>
      <c r="E55" s="384" t="s">
        <v>1670</v>
      </c>
    </row>
    <row r="56" spans="2:5">
      <c r="B56" s="382"/>
      <c r="C56" s="49" t="s">
        <v>1687</v>
      </c>
      <c r="D56" s="385"/>
      <c r="E56" s="385"/>
    </row>
    <row r="57" spans="2:5" ht="12.95" thickBot="1">
      <c r="B57" s="383"/>
      <c r="C57" s="50" t="s">
        <v>1688</v>
      </c>
      <c r="D57" s="385"/>
      <c r="E57" s="385"/>
    </row>
    <row r="58" spans="2:5">
      <c r="B58" s="381" t="s">
        <v>1689</v>
      </c>
      <c r="C58" s="48" t="s">
        <v>1690</v>
      </c>
      <c r="D58" s="390" t="s">
        <v>1577</v>
      </c>
      <c r="E58" s="51" t="s">
        <v>1679</v>
      </c>
    </row>
    <row r="59" spans="2:5">
      <c r="B59" s="382"/>
      <c r="C59" s="49" t="s">
        <v>1691</v>
      </c>
      <c r="D59" s="391"/>
      <c r="E59" s="52" t="s">
        <v>1676</v>
      </c>
    </row>
    <row r="60" spans="2:5">
      <c r="B60" s="382"/>
      <c r="C60" s="49" t="s">
        <v>1692</v>
      </c>
      <c r="D60" s="391"/>
      <c r="E60" s="52" t="s">
        <v>1676</v>
      </c>
    </row>
    <row r="61" spans="2:5" ht="12.95" thickBot="1">
      <c r="B61" s="383"/>
      <c r="C61" s="50" t="s">
        <v>1693</v>
      </c>
      <c r="D61" s="392"/>
      <c r="E61" s="53" t="s">
        <v>1679</v>
      </c>
    </row>
    <row r="62" spans="2:5">
      <c r="B62" s="381" t="s">
        <v>1694</v>
      </c>
      <c r="C62" s="48" t="s">
        <v>1695</v>
      </c>
      <c r="D62" s="385" t="s">
        <v>1586</v>
      </c>
      <c r="E62" s="385" t="s">
        <v>1674</v>
      </c>
    </row>
    <row r="63" spans="2:5">
      <c r="B63" s="382"/>
      <c r="C63" s="49" t="s">
        <v>1696</v>
      </c>
      <c r="D63" s="385"/>
      <c r="E63" s="385"/>
    </row>
    <row r="64" spans="2:5">
      <c r="B64" s="382"/>
      <c r="C64" s="49" t="s">
        <v>1697</v>
      </c>
      <c r="D64" s="385"/>
      <c r="E64" s="385"/>
    </row>
    <row r="65" spans="2:5" ht="12.95" thickBot="1">
      <c r="B65" s="383"/>
      <c r="C65" s="50" t="s">
        <v>1698</v>
      </c>
      <c r="D65" s="386"/>
      <c r="E65" s="386"/>
    </row>
    <row r="66" spans="2:5">
      <c r="B66" s="381" t="s">
        <v>1699</v>
      </c>
      <c r="C66" s="48" t="s">
        <v>1700</v>
      </c>
      <c r="D66" s="384" t="s">
        <v>1587</v>
      </c>
      <c r="E66" s="384" t="s">
        <v>1701</v>
      </c>
    </row>
    <row r="67" spans="2:5">
      <c r="B67" s="382"/>
      <c r="C67" s="49" t="s">
        <v>1702</v>
      </c>
      <c r="D67" s="385"/>
      <c r="E67" s="385"/>
    </row>
    <row r="68" spans="2:5">
      <c r="B68" s="382"/>
      <c r="C68" s="49" t="s">
        <v>1703</v>
      </c>
      <c r="D68" s="385"/>
      <c r="E68" s="385"/>
    </row>
    <row r="69" spans="2:5">
      <c r="B69" s="382"/>
      <c r="C69" s="49" t="s">
        <v>1704</v>
      </c>
      <c r="D69" s="385"/>
      <c r="E69" s="385"/>
    </row>
    <row r="70" spans="2:5" ht="12.95" thickBot="1">
      <c r="B70" s="383"/>
      <c r="C70" s="50" t="s">
        <v>1705</v>
      </c>
      <c r="D70" s="386"/>
      <c r="E70" s="386"/>
    </row>
    <row r="71" spans="2:5">
      <c r="B71" s="381" t="s">
        <v>1706</v>
      </c>
      <c r="C71" s="48" t="s">
        <v>1707</v>
      </c>
      <c r="D71" s="384" t="s">
        <v>1588</v>
      </c>
      <c r="E71" s="384" t="s">
        <v>1708</v>
      </c>
    </row>
    <row r="72" spans="2:5">
      <c r="B72" s="382"/>
      <c r="C72" s="49" t="s">
        <v>1709</v>
      </c>
      <c r="D72" s="385"/>
      <c r="E72" s="385"/>
    </row>
    <row r="73" spans="2:5">
      <c r="B73" s="382"/>
      <c r="C73" s="49" t="s">
        <v>1710</v>
      </c>
      <c r="D73" s="385"/>
      <c r="E73" s="385"/>
    </row>
    <row r="74" spans="2:5">
      <c r="B74" s="382"/>
      <c r="C74" s="49" t="s">
        <v>1711</v>
      </c>
      <c r="D74" s="385"/>
      <c r="E74" s="385"/>
    </row>
    <row r="75" spans="2:5" ht="12.95" thickBot="1">
      <c r="B75" s="383"/>
      <c r="C75" s="50" t="s">
        <v>1712</v>
      </c>
      <c r="D75" s="386"/>
      <c r="E75" s="386"/>
    </row>
    <row r="76" spans="2:5">
      <c r="B76" s="381" t="s">
        <v>1713</v>
      </c>
      <c r="C76" s="48" t="s">
        <v>1714</v>
      </c>
      <c r="D76" s="384" t="s">
        <v>1589</v>
      </c>
      <c r="E76" s="384" t="s">
        <v>1715</v>
      </c>
    </row>
    <row r="77" spans="2:5">
      <c r="B77" s="382"/>
      <c r="C77" s="49" t="s">
        <v>1716</v>
      </c>
      <c r="D77" s="385"/>
      <c r="E77" s="385"/>
    </row>
    <row r="78" spans="2:5">
      <c r="B78" s="382"/>
      <c r="C78" s="49" t="s">
        <v>1717</v>
      </c>
      <c r="D78" s="385"/>
      <c r="E78" s="385"/>
    </row>
    <row r="79" spans="2:5">
      <c r="B79" s="382"/>
      <c r="C79" s="49" t="s">
        <v>1718</v>
      </c>
      <c r="D79" s="385"/>
      <c r="E79" s="385"/>
    </row>
    <row r="80" spans="2:5">
      <c r="B80" s="382"/>
      <c r="C80" s="55" t="s">
        <v>1719</v>
      </c>
      <c r="D80" s="385"/>
      <c r="E80" s="385"/>
    </row>
    <row r="81" spans="2:5" ht="12.95" thickBot="1">
      <c r="B81" s="383"/>
      <c r="C81" s="50" t="s">
        <v>1720</v>
      </c>
      <c r="D81" s="386"/>
      <c r="E81" s="386"/>
    </row>
    <row r="82" spans="2:5">
      <c r="B82" s="381" t="s">
        <v>1721</v>
      </c>
      <c r="C82" s="48" t="s">
        <v>1722</v>
      </c>
      <c r="D82" s="384" t="s">
        <v>1590</v>
      </c>
      <c r="E82" s="384" t="s">
        <v>1723</v>
      </c>
    </row>
    <row r="83" spans="2:5">
      <c r="B83" s="382"/>
      <c r="C83" s="49" t="s">
        <v>1724</v>
      </c>
      <c r="D83" s="385"/>
      <c r="E83" s="385"/>
    </row>
    <row r="84" spans="2:5">
      <c r="B84" s="382"/>
      <c r="C84" s="49" t="s">
        <v>1725</v>
      </c>
      <c r="D84" s="385"/>
      <c r="E84" s="385"/>
    </row>
    <row r="85" spans="2:5">
      <c r="B85" s="382"/>
      <c r="C85" s="49" t="s">
        <v>1726</v>
      </c>
      <c r="D85" s="385"/>
      <c r="E85" s="385"/>
    </row>
    <row r="86" spans="2:5" ht="12.95" thickBot="1">
      <c r="B86" s="383"/>
      <c r="C86" s="50" t="s">
        <v>1727</v>
      </c>
      <c r="D86" s="386"/>
      <c r="E86" s="386"/>
    </row>
    <row r="87" spans="2:5">
      <c r="B87" s="381" t="s">
        <v>1728</v>
      </c>
      <c r="C87" s="48" t="s">
        <v>1729</v>
      </c>
      <c r="D87" s="384" t="s">
        <v>1591</v>
      </c>
      <c r="E87" s="384" t="s">
        <v>1730</v>
      </c>
    </row>
    <row r="88" spans="2:5">
      <c r="B88" s="382"/>
      <c r="C88" s="49" t="s">
        <v>1731</v>
      </c>
      <c r="D88" s="385"/>
      <c r="E88" s="385"/>
    </row>
    <row r="89" spans="2:5">
      <c r="B89" s="382"/>
      <c r="C89" s="49" t="s">
        <v>1732</v>
      </c>
      <c r="D89" s="385"/>
      <c r="E89" s="385"/>
    </row>
    <row r="90" spans="2:5">
      <c r="B90" s="382"/>
      <c r="C90" s="49" t="s">
        <v>1733</v>
      </c>
      <c r="D90" s="385"/>
      <c r="E90" s="385"/>
    </row>
    <row r="91" spans="2:5" ht="12.95" thickBot="1">
      <c r="B91" s="383"/>
      <c r="C91" s="50" t="s">
        <v>1734</v>
      </c>
      <c r="D91" s="386"/>
      <c r="E91" s="385"/>
    </row>
    <row r="92" spans="2:5">
      <c r="B92" s="381" t="s">
        <v>1735</v>
      </c>
      <c r="C92" s="48" t="s">
        <v>1736</v>
      </c>
      <c r="D92" s="384" t="s">
        <v>1577</v>
      </c>
      <c r="E92" s="51" t="s">
        <v>1737</v>
      </c>
    </row>
    <row r="93" spans="2:5">
      <c r="B93" s="382"/>
      <c r="C93" s="49" t="s">
        <v>1738</v>
      </c>
      <c r="D93" s="385"/>
      <c r="E93" s="52" t="s">
        <v>1723</v>
      </c>
    </row>
    <row r="94" spans="2:5">
      <c r="B94" s="382"/>
      <c r="C94" s="49" t="s">
        <v>1739</v>
      </c>
      <c r="D94" s="385"/>
      <c r="E94" s="52" t="s">
        <v>1740</v>
      </c>
    </row>
    <row r="95" spans="2:5">
      <c r="B95" s="382"/>
      <c r="C95" s="49" t="s">
        <v>1741</v>
      </c>
      <c r="D95" s="385"/>
      <c r="E95" s="52" t="s">
        <v>1708</v>
      </c>
    </row>
    <row r="96" spans="2:5">
      <c r="B96" s="382"/>
      <c r="C96" s="49" t="s">
        <v>1742</v>
      </c>
      <c r="D96" s="385"/>
      <c r="E96" s="52" t="s">
        <v>1715</v>
      </c>
    </row>
    <row r="97" spans="2:5" ht="15" thickBot="1">
      <c r="B97" s="383"/>
      <c r="C97" s="50" t="s">
        <v>1743</v>
      </c>
      <c r="D97" s="386"/>
      <c r="E97" s="210" t="s">
        <v>1708</v>
      </c>
    </row>
    <row r="98" spans="2:5">
      <c r="B98" s="381" t="s">
        <v>1744</v>
      </c>
      <c r="C98" s="48" t="s">
        <v>1745</v>
      </c>
      <c r="D98" s="384" t="s">
        <v>1592</v>
      </c>
      <c r="E98" s="385" t="s">
        <v>1737</v>
      </c>
    </row>
    <row r="99" spans="2:5">
      <c r="B99" s="382"/>
      <c r="C99" s="49" t="s">
        <v>1746</v>
      </c>
      <c r="D99" s="385"/>
      <c r="E99" s="385"/>
    </row>
    <row r="100" spans="2:5">
      <c r="B100" s="382"/>
      <c r="C100" s="49" t="s">
        <v>1747</v>
      </c>
      <c r="D100" s="385"/>
      <c r="E100" s="385"/>
    </row>
    <row r="101" spans="2:5">
      <c r="B101" s="382"/>
      <c r="C101" s="49" t="s">
        <v>1748</v>
      </c>
      <c r="D101" s="385"/>
      <c r="E101" s="385"/>
    </row>
    <row r="102" spans="2:5">
      <c r="B102" s="382"/>
      <c r="C102" s="49" t="s">
        <v>1749</v>
      </c>
      <c r="D102" s="385"/>
      <c r="E102" s="385"/>
    </row>
    <row r="103" spans="2:5" ht="12.95" thickBot="1">
      <c r="B103" s="383"/>
      <c r="C103" s="50" t="s">
        <v>1750</v>
      </c>
      <c r="D103" s="386"/>
      <c r="E103" s="386"/>
    </row>
  </sheetData>
  <mergeCells count="79">
    <mergeCell ref="E41:E44"/>
    <mergeCell ref="B9:B10"/>
    <mergeCell ref="D9:D10"/>
    <mergeCell ref="E9:E10"/>
    <mergeCell ref="B2:B3"/>
    <mergeCell ref="D2:D3"/>
    <mergeCell ref="E2:E3"/>
    <mergeCell ref="B4:B5"/>
    <mergeCell ref="D4:D5"/>
    <mergeCell ref="E4:E5"/>
    <mergeCell ref="D6:D8"/>
    <mergeCell ref="B6:B8"/>
    <mergeCell ref="E6:E8"/>
    <mergeCell ref="B23:B25"/>
    <mergeCell ref="D23:D25"/>
    <mergeCell ref="E23:E25"/>
    <mergeCell ref="B11:B13"/>
    <mergeCell ref="D11:D13"/>
    <mergeCell ref="E11:E13"/>
    <mergeCell ref="B14:B15"/>
    <mergeCell ref="D14:D15"/>
    <mergeCell ref="E14:E15"/>
    <mergeCell ref="B20:B22"/>
    <mergeCell ref="D20:D22"/>
    <mergeCell ref="D16:D19"/>
    <mergeCell ref="B16:B19"/>
    <mergeCell ref="E16:E19"/>
    <mergeCell ref="E20:E22"/>
    <mergeCell ref="B26:B29"/>
    <mergeCell ref="D26:D29"/>
    <mergeCell ref="E26:E29"/>
    <mergeCell ref="B30:B31"/>
    <mergeCell ref="D30:D31"/>
    <mergeCell ref="E30:E31"/>
    <mergeCell ref="B32:B34"/>
    <mergeCell ref="D32:D34"/>
    <mergeCell ref="B35:B37"/>
    <mergeCell ref="D35:D37"/>
    <mergeCell ref="E35:E37"/>
    <mergeCell ref="B38:B40"/>
    <mergeCell ref="D38:D40"/>
    <mergeCell ref="B41:B44"/>
    <mergeCell ref="D41:D44"/>
    <mergeCell ref="B45:B48"/>
    <mergeCell ref="D45:D48"/>
    <mergeCell ref="B62:B65"/>
    <mergeCell ref="D62:D65"/>
    <mergeCell ref="E62:E65"/>
    <mergeCell ref="B49:B52"/>
    <mergeCell ref="D49:D52"/>
    <mergeCell ref="E49:E52"/>
    <mergeCell ref="B53:B54"/>
    <mergeCell ref="D53:D54"/>
    <mergeCell ref="E53:E54"/>
    <mergeCell ref="B55:B57"/>
    <mergeCell ref="D55:D57"/>
    <mergeCell ref="E55:E57"/>
    <mergeCell ref="B58:B61"/>
    <mergeCell ref="D58:D61"/>
    <mergeCell ref="B66:B70"/>
    <mergeCell ref="D66:D70"/>
    <mergeCell ref="E66:E70"/>
    <mergeCell ref="B71:B75"/>
    <mergeCell ref="D71:D75"/>
    <mergeCell ref="E71:E75"/>
    <mergeCell ref="B98:B103"/>
    <mergeCell ref="D98:D103"/>
    <mergeCell ref="E98:E103"/>
    <mergeCell ref="B76:B81"/>
    <mergeCell ref="D76:D81"/>
    <mergeCell ref="E76:E81"/>
    <mergeCell ref="B82:B86"/>
    <mergeCell ref="D82:D86"/>
    <mergeCell ref="E82:E86"/>
    <mergeCell ref="B87:B91"/>
    <mergeCell ref="D87:D91"/>
    <mergeCell ref="E87:E91"/>
    <mergeCell ref="B92:B97"/>
    <mergeCell ref="D92:D97"/>
  </mergeCells>
  <hyperlinks>
    <hyperlink ref="E38" r:id="rId1" xr:uid="{48C23A17-47A2-4943-A744-24E63F4A944E}"/>
    <hyperlink ref="E39" r:id="rId2" xr:uid="{E8F5F138-D29C-49C8-9E03-B1699FBB7E53}"/>
    <hyperlink ref="E40" r:id="rId3" xr:uid="{B213298D-D36A-4549-B09F-93918A3A7390}"/>
    <hyperlink ref="E41" r:id="rId4" xr:uid="{791A712A-6399-4074-9A44-095DE02B2DC6}"/>
    <hyperlink ref="E45" r:id="rId5" xr:uid="{F548B5FA-C927-4971-8E4D-ED62130C2504}"/>
    <hyperlink ref="E47" r:id="rId6" xr:uid="{7F1F3B4E-45E7-424B-A91B-4985495229FF}"/>
    <hyperlink ref="E58" r:id="rId7" xr:uid="{D789B150-5702-4B5C-B2FE-DB112EEAAD00}"/>
    <hyperlink ref="E59" r:id="rId8" xr:uid="{F8EA19A8-AF19-453A-B1E5-07CC963672E1}"/>
    <hyperlink ref="E60" r:id="rId9" xr:uid="{39180FD8-23BD-4291-8E5F-92DA4C0E5976}"/>
    <hyperlink ref="E61" r:id="rId10" xr:uid="{AE7678CD-6E50-4343-881B-B1D19D8B02A2}"/>
    <hyperlink ref="E92" r:id="rId11" xr:uid="{853348D3-B442-491D-8E59-65867FB6261B}"/>
    <hyperlink ref="E93" r:id="rId12" xr:uid="{2C3180E1-9858-4F41-97D1-60FA6AAE0331}"/>
    <hyperlink ref="E95" r:id="rId13" xr:uid="{DEBF225C-C241-41D2-B9F6-7A7138AE20EE}"/>
    <hyperlink ref="E96" r:id="rId14" xr:uid="{C0291914-2BB5-44CF-A587-7EB4B164AF3D}"/>
    <hyperlink ref="E97" r:id="rId15" xr:uid="{DB62D286-6C13-44F2-9A3D-3ED06BFB03C6}"/>
    <hyperlink ref="E46" r:id="rId16" display="thiago.braga@renault.com; " xr:uid="{7259B23C-DB73-4728-8542-9F766347FFD1}"/>
    <hyperlink ref="E94" r:id="rId17" display="gisele.pinto@renault.com; " xr:uid="{F8F6C31F-F320-4581-BF05-10CFADBD0FE4}"/>
    <hyperlink ref="E20" r:id="rId18" xr:uid="{9905B19E-E5EB-4FB3-81C4-A34317F3FB64}"/>
    <hyperlink ref="E48" r:id="rId19" xr:uid="{48B36E80-1E4E-460F-A977-44F3290DF5F9}"/>
  </hyperlinks>
  <pageMargins left="0.511811024" right="0.511811024" top="0.78740157499999996" bottom="0.78740157499999996" header="0.31496062000000002" footer="0.31496062000000002"/>
  <legacyDrawing r:id="rId2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5269-3F90-4D77-B5F7-C732A2C1BADC}">
  <sheetPr codeName="Planilha3">
    <tabColor theme="0" tint="-0.34998626667073579"/>
  </sheetPr>
  <dimension ref="A1:AS262"/>
  <sheetViews>
    <sheetView showGridLines="0" zoomScale="85" zoomScaleNormal="85" workbookViewId="0">
      <pane ySplit="3" topLeftCell="A225" activePane="bottomLeft" state="frozen"/>
      <selection pane="bottomLeft" activeCell="E266" sqref="E266"/>
      <selection activeCell="A16" sqref="A16:D22"/>
    </sheetView>
  </sheetViews>
  <sheetFormatPr defaultColWidth="11.42578125" defaultRowHeight="17.45" customHeight="1"/>
  <cols>
    <col min="1" max="1" width="1.42578125" style="56" customWidth="1"/>
    <col min="2" max="2" width="8.85546875" style="205" bestFit="1" customWidth="1"/>
    <col min="3" max="3" width="18.140625" style="206" hidden="1" customWidth="1"/>
    <col min="4" max="4" width="15.140625" style="129" bestFit="1" customWidth="1"/>
    <col min="5" max="5" width="44.5703125" style="207" bestFit="1" customWidth="1"/>
    <col min="6" max="6" width="39.140625" style="74" customWidth="1"/>
    <col min="7" max="7" width="55" style="205" hidden="1" customWidth="1"/>
    <col min="8" max="8" width="14.140625" style="163" hidden="1" customWidth="1"/>
    <col min="9" max="9" width="12.85546875" style="129" bestFit="1" customWidth="1"/>
    <col min="10" max="10" width="16.5703125" style="163" bestFit="1" customWidth="1"/>
    <col min="11" max="12" width="13.42578125" style="163" bestFit="1" customWidth="1"/>
    <col min="13" max="13" width="20.85546875" style="74" bestFit="1" customWidth="1"/>
    <col min="14" max="14" width="24.140625" style="74" bestFit="1" customWidth="1"/>
    <col min="15" max="15" width="24.140625" style="74" customWidth="1"/>
    <col min="16" max="16" width="17" style="166" bestFit="1" customWidth="1"/>
    <col min="17" max="17" width="27.85546875" style="166" bestFit="1" customWidth="1"/>
    <col min="18" max="18" width="29.85546875" style="166" bestFit="1" customWidth="1"/>
    <col min="19" max="19" width="25.42578125" style="61" hidden="1" customWidth="1"/>
    <col min="20" max="20" width="2.5703125" style="129" customWidth="1"/>
    <col min="21" max="21" width="3.42578125" style="74" bestFit="1" customWidth="1"/>
    <col min="22" max="22" width="11.42578125" style="74"/>
    <col min="23" max="23" width="5.140625" style="74" bestFit="1" customWidth="1"/>
    <col min="24" max="25" width="1.85546875" style="74" bestFit="1" customWidth="1"/>
    <col min="26" max="16384" width="11.42578125" style="74"/>
  </cols>
  <sheetData>
    <row r="1" spans="1:45" s="61" customFormat="1" ht="83.1" customHeight="1">
      <c r="A1" s="56"/>
      <c r="B1" s="57"/>
      <c r="C1" s="58"/>
      <c r="D1" s="59"/>
      <c r="E1" s="60"/>
      <c r="F1" s="60" t="s">
        <v>1751</v>
      </c>
      <c r="I1" s="59" t="s">
        <v>1751</v>
      </c>
      <c r="P1" s="62"/>
      <c r="Q1" s="62"/>
      <c r="R1" s="62"/>
    </row>
    <row r="2" spans="1:45" ht="17.45" customHeight="1" thickBot="1">
      <c r="B2" s="349"/>
      <c r="C2" s="349"/>
      <c r="D2" s="349"/>
      <c r="E2" s="349"/>
      <c r="F2" s="348" t="s">
        <v>1752</v>
      </c>
      <c r="G2" s="349"/>
      <c r="H2" s="303"/>
      <c r="I2" s="349"/>
      <c r="J2" s="349"/>
      <c r="K2" s="349"/>
      <c r="L2" s="349"/>
      <c r="M2" s="349"/>
      <c r="N2" s="348" t="s">
        <v>1753</v>
      </c>
      <c r="O2" s="348"/>
      <c r="P2" s="349"/>
      <c r="Q2" s="349"/>
      <c r="R2" s="349"/>
      <c r="S2" s="62"/>
      <c r="T2" s="70"/>
    </row>
    <row r="3" spans="1:45" s="86" customFormat="1" ht="25.5" thickBot="1">
      <c r="A3" s="56"/>
      <c r="B3" s="342" t="s">
        <v>1754</v>
      </c>
      <c r="C3" s="343" t="s">
        <v>1755</v>
      </c>
      <c r="D3" s="344" t="s">
        <v>1756</v>
      </c>
      <c r="E3" s="345" t="s">
        <v>1757</v>
      </c>
      <c r="F3" s="345" t="s">
        <v>1758</v>
      </c>
      <c r="G3" s="345" t="s">
        <v>1759</v>
      </c>
      <c r="H3" s="330" t="s">
        <v>1760</v>
      </c>
      <c r="I3" s="344" t="s">
        <v>1761</v>
      </c>
      <c r="J3" s="342" t="s">
        <v>1565</v>
      </c>
      <c r="K3" s="344" t="s">
        <v>1762</v>
      </c>
      <c r="L3" s="344" t="s">
        <v>1763</v>
      </c>
      <c r="M3" s="344" t="s">
        <v>1764</v>
      </c>
      <c r="N3" s="344" t="s">
        <v>1765</v>
      </c>
      <c r="O3" s="344" t="s">
        <v>1766</v>
      </c>
      <c r="P3" s="344" t="s">
        <v>1767</v>
      </c>
      <c r="Q3" s="85" t="s">
        <v>1768</v>
      </c>
      <c r="R3" s="85" t="s">
        <v>1769</v>
      </c>
      <c r="S3" s="326" t="s">
        <v>1770</v>
      </c>
      <c r="T3" s="70"/>
      <c r="U3" s="86">
        <v>87</v>
      </c>
    </row>
    <row r="4" spans="1:45" ht="14.45">
      <c r="A4" s="74"/>
      <c r="B4" s="351">
        <v>1</v>
      </c>
      <c r="C4" s="304">
        <v>42447</v>
      </c>
      <c r="D4" s="305">
        <v>7600804</v>
      </c>
      <c r="E4" s="306" t="s">
        <v>1771</v>
      </c>
      <c r="F4" s="306" t="s">
        <v>1056</v>
      </c>
      <c r="G4" s="307" t="s">
        <v>1772</v>
      </c>
      <c r="H4" s="331">
        <v>4</v>
      </c>
      <c r="I4" s="305" t="s">
        <v>1773</v>
      </c>
      <c r="J4" s="338" t="s">
        <v>1774</v>
      </c>
      <c r="K4" s="308" t="s">
        <v>1775</v>
      </c>
      <c r="L4" s="309" t="s">
        <v>1775</v>
      </c>
      <c r="M4" s="307" t="s">
        <v>1736</v>
      </c>
      <c r="N4" s="313" t="s">
        <v>1776</v>
      </c>
      <c r="O4" s="313" t="s">
        <v>1776</v>
      </c>
      <c r="P4" s="329">
        <v>7600804</v>
      </c>
      <c r="Q4" s="352" t="s">
        <v>1777</v>
      </c>
      <c r="R4" s="352" t="s">
        <v>1777</v>
      </c>
      <c r="S4" s="402"/>
      <c r="T4" s="107"/>
      <c r="X4" s="88" t="s">
        <v>1778</v>
      </c>
      <c r="Y4" s="88" t="s">
        <v>1779</v>
      </c>
      <c r="AA4" s="309"/>
      <c r="AB4" s="313"/>
    </row>
    <row r="5" spans="1:45" ht="14.45">
      <c r="A5" s="74"/>
      <c r="B5" s="351">
        <v>2</v>
      </c>
      <c r="C5" s="304">
        <v>39303</v>
      </c>
      <c r="D5" s="305">
        <v>7601095</v>
      </c>
      <c r="E5" s="306" t="s">
        <v>1771</v>
      </c>
      <c r="F5" s="306" t="s">
        <v>1061</v>
      </c>
      <c r="G5" s="307" t="s">
        <v>1772</v>
      </c>
      <c r="H5" s="331">
        <v>4</v>
      </c>
      <c r="I5" s="305" t="s">
        <v>1780</v>
      </c>
      <c r="J5" s="338" t="s">
        <v>1774</v>
      </c>
      <c r="K5" s="308" t="s">
        <v>1775</v>
      </c>
      <c r="L5" s="309" t="s">
        <v>1775</v>
      </c>
      <c r="M5" s="307" t="s">
        <v>1736</v>
      </c>
      <c r="N5" s="313" t="s">
        <v>1776</v>
      </c>
      <c r="O5" s="313" t="s">
        <v>1776</v>
      </c>
      <c r="P5" s="329">
        <v>7600804</v>
      </c>
      <c r="Q5" s="352" t="s">
        <v>1777</v>
      </c>
      <c r="R5" s="352" t="s">
        <v>1777</v>
      </c>
      <c r="S5" s="402"/>
      <c r="T5" s="107"/>
      <c r="X5" s="88" t="s">
        <v>1778</v>
      </c>
      <c r="Y5" s="88" t="s">
        <v>1779</v>
      </c>
      <c r="AA5" s="309"/>
      <c r="AB5" s="313"/>
      <c r="AD5" s="313"/>
    </row>
    <row r="6" spans="1:45" ht="14.45">
      <c r="A6" s="88"/>
      <c r="B6" s="351">
        <v>3</v>
      </c>
      <c r="C6" s="304">
        <v>44379</v>
      </c>
      <c r="D6" s="305">
        <v>7600033</v>
      </c>
      <c r="E6" s="306" t="s">
        <v>1781</v>
      </c>
      <c r="F6" s="306" t="s">
        <v>461</v>
      </c>
      <c r="G6" s="307" t="s">
        <v>1782</v>
      </c>
      <c r="H6" s="331">
        <v>2</v>
      </c>
      <c r="I6" s="305" t="s">
        <v>1783</v>
      </c>
      <c r="J6" s="338" t="s">
        <v>1784</v>
      </c>
      <c r="K6" s="308" t="s">
        <v>1644</v>
      </c>
      <c r="L6" s="309" t="s">
        <v>1628</v>
      </c>
      <c r="M6" s="307" t="s">
        <v>1658</v>
      </c>
      <c r="N6" s="313" t="s">
        <v>1785</v>
      </c>
      <c r="O6" s="313" t="s">
        <v>1579</v>
      </c>
      <c r="P6" s="329">
        <v>7600033</v>
      </c>
      <c r="Q6" s="1" t="s">
        <v>1786</v>
      </c>
      <c r="R6" s="1" t="s">
        <v>1787</v>
      </c>
      <c r="S6" s="327" t="s">
        <v>1659</v>
      </c>
      <c r="T6" s="91"/>
      <c r="U6" s="88"/>
      <c r="V6" s="88"/>
      <c r="W6" s="88"/>
      <c r="X6" s="88" t="s">
        <v>1778</v>
      </c>
      <c r="Y6" s="88" t="s">
        <v>1779</v>
      </c>
      <c r="Z6" s="88"/>
      <c r="AA6" s="309"/>
      <c r="AB6" s="313"/>
      <c r="AC6" s="88"/>
      <c r="AD6" s="313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</row>
    <row r="7" spans="1:45" ht="14.45">
      <c r="A7" s="74"/>
      <c r="B7" s="351">
        <v>4</v>
      </c>
      <c r="C7" s="304">
        <v>43368</v>
      </c>
      <c r="D7" s="305">
        <v>7600093</v>
      </c>
      <c r="E7" s="306" t="s">
        <v>1781</v>
      </c>
      <c r="F7" s="306" t="s">
        <v>454</v>
      </c>
      <c r="G7" s="307" t="s">
        <v>1782</v>
      </c>
      <c r="H7" s="331">
        <v>2</v>
      </c>
      <c r="I7" s="305" t="s">
        <v>1788</v>
      </c>
      <c r="J7" s="338" t="s">
        <v>1784</v>
      </c>
      <c r="K7" s="308" t="s">
        <v>1644</v>
      </c>
      <c r="L7" s="309" t="s">
        <v>1628</v>
      </c>
      <c r="M7" s="307" t="s">
        <v>1658</v>
      </c>
      <c r="N7" s="313" t="s">
        <v>1785</v>
      </c>
      <c r="O7" s="313" t="s">
        <v>1579</v>
      </c>
      <c r="P7" s="329">
        <v>7600033</v>
      </c>
      <c r="Q7" s="1" t="s">
        <v>1786</v>
      </c>
      <c r="R7" s="1" t="s">
        <v>1787</v>
      </c>
      <c r="S7" s="327" t="s">
        <v>1641</v>
      </c>
      <c r="T7" s="107"/>
      <c r="X7" s="88" t="s">
        <v>1778</v>
      </c>
      <c r="Y7" s="88" t="s">
        <v>1779</v>
      </c>
      <c r="AA7" s="309"/>
      <c r="AB7" s="313"/>
      <c r="AD7" s="313"/>
    </row>
    <row r="8" spans="1:45" ht="14.45">
      <c r="A8" s="74"/>
      <c r="B8" s="351">
        <v>5</v>
      </c>
      <c r="C8" s="304">
        <v>43889</v>
      </c>
      <c r="D8" s="305">
        <v>7600713</v>
      </c>
      <c r="E8" s="306" t="s">
        <v>1781</v>
      </c>
      <c r="F8" s="306" t="s">
        <v>456</v>
      </c>
      <c r="G8" s="307" t="s">
        <v>1789</v>
      </c>
      <c r="H8" s="331">
        <v>1</v>
      </c>
      <c r="I8" s="305" t="s">
        <v>1790</v>
      </c>
      <c r="J8" s="338" t="s">
        <v>1784</v>
      </c>
      <c r="K8" s="308" t="s">
        <v>1644</v>
      </c>
      <c r="L8" s="309" t="s">
        <v>1628</v>
      </c>
      <c r="M8" s="307" t="s">
        <v>1658</v>
      </c>
      <c r="N8" s="313" t="s">
        <v>1785</v>
      </c>
      <c r="O8" s="313" t="s">
        <v>1579</v>
      </c>
      <c r="P8" s="329">
        <v>7600033</v>
      </c>
      <c r="Q8" s="1" t="s">
        <v>1786</v>
      </c>
      <c r="R8" s="1" t="s">
        <v>1787</v>
      </c>
      <c r="S8" s="403"/>
      <c r="T8" s="107"/>
      <c r="X8" s="88" t="s">
        <v>1778</v>
      </c>
      <c r="Y8" s="88" t="s">
        <v>1779</v>
      </c>
      <c r="AA8" s="308"/>
      <c r="AB8" s="313"/>
      <c r="AD8" s="313"/>
    </row>
    <row r="9" spans="1:45" ht="14.45">
      <c r="A9" s="74"/>
      <c r="B9" s="351">
        <v>6</v>
      </c>
      <c r="C9" s="304">
        <v>36134</v>
      </c>
      <c r="D9" s="305">
        <v>7600951</v>
      </c>
      <c r="E9" s="306" t="s">
        <v>1781</v>
      </c>
      <c r="F9" s="306" t="s">
        <v>464</v>
      </c>
      <c r="G9" s="307" t="s">
        <v>1791</v>
      </c>
      <c r="H9" s="331">
        <v>2</v>
      </c>
      <c r="I9" s="305" t="s">
        <v>1792</v>
      </c>
      <c r="J9" s="338" t="s">
        <v>1784</v>
      </c>
      <c r="K9" s="308" t="s">
        <v>1644</v>
      </c>
      <c r="L9" s="309" t="s">
        <v>1628</v>
      </c>
      <c r="M9" s="307" t="s">
        <v>1658</v>
      </c>
      <c r="N9" s="313" t="s">
        <v>1785</v>
      </c>
      <c r="O9" s="313" t="s">
        <v>1579</v>
      </c>
      <c r="P9" s="329">
        <v>7600033</v>
      </c>
      <c r="Q9" s="1" t="s">
        <v>1786</v>
      </c>
      <c r="R9" s="1" t="s">
        <v>1787</v>
      </c>
      <c r="S9" s="327" t="s">
        <v>1690</v>
      </c>
      <c r="T9" s="107"/>
      <c r="X9" s="88" t="s">
        <v>1778</v>
      </c>
      <c r="Y9" s="88" t="s">
        <v>1779</v>
      </c>
      <c r="AA9" s="309"/>
      <c r="AB9" s="313"/>
      <c r="AD9" s="313"/>
    </row>
    <row r="10" spans="1:45" ht="14.45">
      <c r="A10" s="74"/>
      <c r="B10" s="351">
        <v>7</v>
      </c>
      <c r="C10" s="304">
        <v>41271</v>
      </c>
      <c r="D10" s="305">
        <v>7601062</v>
      </c>
      <c r="E10" s="306" t="s">
        <v>1793</v>
      </c>
      <c r="F10" s="306" t="s">
        <v>322</v>
      </c>
      <c r="G10" s="307" t="s">
        <v>1791</v>
      </c>
      <c r="H10" s="331">
        <v>2</v>
      </c>
      <c r="I10" s="305" t="s">
        <v>1794</v>
      </c>
      <c r="J10" s="338" t="s">
        <v>1784</v>
      </c>
      <c r="K10" s="308" t="s">
        <v>1628</v>
      </c>
      <c r="L10" s="309" t="s">
        <v>1634</v>
      </c>
      <c r="M10" s="307" t="s">
        <v>1635</v>
      </c>
      <c r="N10" s="313" t="s">
        <v>1580</v>
      </c>
      <c r="O10" s="313" t="s">
        <v>1795</v>
      </c>
      <c r="P10" s="329">
        <v>7601062</v>
      </c>
      <c r="Q10" s="1" t="s">
        <v>1796</v>
      </c>
      <c r="R10" s="1" t="s">
        <v>1797</v>
      </c>
      <c r="S10" s="327" t="s">
        <v>1798</v>
      </c>
      <c r="T10" s="107"/>
      <c r="X10" s="88" t="s">
        <v>1778</v>
      </c>
      <c r="Y10" s="88" t="s">
        <v>1779</v>
      </c>
      <c r="AA10" s="309"/>
      <c r="AB10" s="313"/>
      <c r="AD10" s="313"/>
    </row>
    <row r="11" spans="1:45" ht="14.45">
      <c r="A11" s="74"/>
      <c r="B11" s="351">
        <v>8</v>
      </c>
      <c r="C11" s="304">
        <v>35781</v>
      </c>
      <c r="D11" s="305">
        <v>7601165</v>
      </c>
      <c r="E11" s="306" t="s">
        <v>1793</v>
      </c>
      <c r="F11" s="306" t="s">
        <v>316</v>
      </c>
      <c r="G11" s="307" t="s">
        <v>1791</v>
      </c>
      <c r="H11" s="331">
        <v>2</v>
      </c>
      <c r="I11" s="305" t="s">
        <v>1799</v>
      </c>
      <c r="J11" s="338" t="s">
        <v>1784</v>
      </c>
      <c r="K11" s="308" t="s">
        <v>1628</v>
      </c>
      <c r="L11" s="309" t="s">
        <v>1634</v>
      </c>
      <c r="M11" s="307" t="s">
        <v>1635</v>
      </c>
      <c r="N11" s="313" t="s">
        <v>1580</v>
      </c>
      <c r="O11" s="313" t="s">
        <v>1795</v>
      </c>
      <c r="P11" s="329">
        <v>7601062</v>
      </c>
      <c r="Q11" s="1" t="s">
        <v>1796</v>
      </c>
      <c r="R11" s="1" t="s">
        <v>1797</v>
      </c>
      <c r="S11" s="327" t="s">
        <v>1635</v>
      </c>
      <c r="T11" s="107"/>
      <c r="X11" s="88" t="s">
        <v>1778</v>
      </c>
      <c r="Y11" s="88" t="s">
        <v>1779</v>
      </c>
      <c r="AA11" s="309"/>
      <c r="AB11" s="313"/>
      <c r="AD11" s="313"/>
    </row>
    <row r="12" spans="1:45" ht="14.45">
      <c r="A12" s="74"/>
      <c r="B12" s="351">
        <v>9</v>
      </c>
      <c r="C12" s="304">
        <v>42733</v>
      </c>
      <c r="D12" s="305">
        <v>7601053</v>
      </c>
      <c r="E12" s="306" t="s">
        <v>1800</v>
      </c>
      <c r="F12" s="306" t="s">
        <v>763</v>
      </c>
      <c r="G12" s="307" t="s">
        <v>1791</v>
      </c>
      <c r="H12" s="331">
        <v>2</v>
      </c>
      <c r="I12" s="305" t="s">
        <v>1801</v>
      </c>
      <c r="J12" s="338" t="s">
        <v>1802</v>
      </c>
      <c r="K12" s="308" t="s">
        <v>1803</v>
      </c>
      <c r="L12" s="309" t="s">
        <v>1803</v>
      </c>
      <c r="M12" s="307" t="s">
        <v>1690</v>
      </c>
      <c r="N12" s="313" t="s">
        <v>1804</v>
      </c>
      <c r="O12" s="313" t="s">
        <v>1804</v>
      </c>
      <c r="P12" s="329">
        <v>7601053</v>
      </c>
      <c r="Q12" s="1" t="s">
        <v>1805</v>
      </c>
      <c r="R12" s="352" t="s">
        <v>1805</v>
      </c>
      <c r="S12" s="327" t="s">
        <v>1678</v>
      </c>
      <c r="T12" s="107"/>
      <c r="X12" s="88" t="s">
        <v>1778</v>
      </c>
      <c r="Y12" s="88" t="s">
        <v>1779</v>
      </c>
      <c r="AA12" s="309"/>
      <c r="AB12" s="313"/>
      <c r="AD12" s="313"/>
    </row>
    <row r="13" spans="1:45" ht="22.5">
      <c r="B13" s="351">
        <v>10</v>
      </c>
      <c r="C13" s="304">
        <v>41247</v>
      </c>
      <c r="D13" s="305">
        <v>7601054</v>
      </c>
      <c r="E13" s="306" t="s">
        <v>1800</v>
      </c>
      <c r="F13" s="306" t="s">
        <v>769</v>
      </c>
      <c r="G13" s="307" t="s">
        <v>1806</v>
      </c>
      <c r="H13" s="333">
        <v>3</v>
      </c>
      <c r="I13" s="305" t="s">
        <v>1807</v>
      </c>
      <c r="J13" s="338" t="s">
        <v>1802</v>
      </c>
      <c r="K13" s="308" t="s">
        <v>1803</v>
      </c>
      <c r="L13" s="309" t="s">
        <v>1803</v>
      </c>
      <c r="M13" s="307" t="s">
        <v>1690</v>
      </c>
      <c r="N13" s="313" t="s">
        <v>1804</v>
      </c>
      <c r="O13" s="313" t="s">
        <v>1804</v>
      </c>
      <c r="P13" s="329">
        <v>7601053</v>
      </c>
      <c r="Q13" s="1" t="s">
        <v>1805</v>
      </c>
      <c r="R13" s="352" t="s">
        <v>1805</v>
      </c>
      <c r="S13" s="403"/>
      <c r="X13" s="88" t="s">
        <v>1778</v>
      </c>
      <c r="Y13" s="88" t="s">
        <v>1779</v>
      </c>
      <c r="AA13" s="308"/>
      <c r="AB13" s="313"/>
      <c r="AD13" s="313"/>
    </row>
    <row r="14" spans="1:45" ht="22.5">
      <c r="B14" s="351">
        <v>11</v>
      </c>
      <c r="C14" s="304">
        <v>41600</v>
      </c>
      <c r="D14" s="305">
        <v>7600742</v>
      </c>
      <c r="E14" s="306" t="s">
        <v>1808</v>
      </c>
      <c r="F14" s="306" t="s">
        <v>151</v>
      </c>
      <c r="G14" s="307" t="s">
        <v>1806</v>
      </c>
      <c r="H14" s="331">
        <v>3</v>
      </c>
      <c r="I14" s="305" t="s">
        <v>1809</v>
      </c>
      <c r="J14" s="338" t="s">
        <v>1810</v>
      </c>
      <c r="K14" s="308" t="s">
        <v>1596</v>
      </c>
      <c r="L14" s="308" t="s">
        <v>1596</v>
      </c>
      <c r="M14" s="307" t="s">
        <v>1605</v>
      </c>
      <c r="N14" s="313" t="s">
        <v>1570</v>
      </c>
      <c r="O14" s="313" t="s">
        <v>1811</v>
      </c>
      <c r="P14" s="329">
        <v>7600742</v>
      </c>
      <c r="Q14" s="1" t="s">
        <v>1812</v>
      </c>
      <c r="R14" s="352" t="s">
        <v>552</v>
      </c>
      <c r="S14" s="403"/>
      <c r="X14" s="88" t="s">
        <v>1778</v>
      </c>
      <c r="Y14" s="88" t="s">
        <v>1779</v>
      </c>
      <c r="AA14" s="308"/>
      <c r="AB14" s="313"/>
      <c r="AD14" s="313"/>
    </row>
    <row r="15" spans="1:45" ht="22.5">
      <c r="B15" s="351">
        <v>12</v>
      </c>
      <c r="C15" s="304">
        <v>41999</v>
      </c>
      <c r="D15" s="305">
        <v>7600777</v>
      </c>
      <c r="E15" s="306" t="s">
        <v>1808</v>
      </c>
      <c r="F15" s="306" t="s">
        <v>148</v>
      </c>
      <c r="G15" s="307" t="s">
        <v>1806</v>
      </c>
      <c r="H15" s="333">
        <v>3</v>
      </c>
      <c r="I15" s="305" t="s">
        <v>1813</v>
      </c>
      <c r="J15" s="338" t="s">
        <v>1810</v>
      </c>
      <c r="K15" s="308" t="s">
        <v>1596</v>
      </c>
      <c r="L15" s="308" t="s">
        <v>1596</v>
      </c>
      <c r="M15" s="307" t="s">
        <v>1605</v>
      </c>
      <c r="N15" s="313" t="s">
        <v>1570</v>
      </c>
      <c r="O15" s="313" t="s">
        <v>1811</v>
      </c>
      <c r="P15" s="329">
        <v>7600742</v>
      </c>
      <c r="Q15" s="1" t="s">
        <v>1812</v>
      </c>
      <c r="R15" s="352" t="s">
        <v>552</v>
      </c>
      <c r="S15" s="403"/>
      <c r="X15" s="88" t="s">
        <v>1778</v>
      </c>
      <c r="Y15" s="88" t="s">
        <v>1779</v>
      </c>
      <c r="AA15" s="309"/>
      <c r="AB15" s="313"/>
      <c r="AD15" s="313"/>
    </row>
    <row r="16" spans="1:45" ht="22.5">
      <c r="B16" s="351">
        <v>13</v>
      </c>
      <c r="C16" s="304">
        <v>41989</v>
      </c>
      <c r="D16" s="305">
        <v>7600873</v>
      </c>
      <c r="E16" s="306" t="s">
        <v>1808</v>
      </c>
      <c r="F16" s="306" t="s">
        <v>154</v>
      </c>
      <c r="G16" s="307" t="s">
        <v>1806</v>
      </c>
      <c r="H16" s="333">
        <v>3</v>
      </c>
      <c r="I16" s="305" t="s">
        <v>1814</v>
      </c>
      <c r="J16" s="338" t="s">
        <v>1810</v>
      </c>
      <c r="K16" s="308" t="s">
        <v>1596</v>
      </c>
      <c r="L16" s="308" t="s">
        <v>1596</v>
      </c>
      <c r="M16" s="307" t="s">
        <v>1605</v>
      </c>
      <c r="N16" s="313" t="s">
        <v>1570</v>
      </c>
      <c r="O16" s="313" t="s">
        <v>1811</v>
      </c>
      <c r="P16" s="329">
        <v>7600742</v>
      </c>
      <c r="Q16" s="1" t="s">
        <v>1812</v>
      </c>
      <c r="R16" s="352" t="s">
        <v>552</v>
      </c>
      <c r="S16" s="403"/>
      <c r="T16" s="107"/>
      <c r="X16" s="88" t="s">
        <v>1778</v>
      </c>
      <c r="Y16" s="88" t="s">
        <v>1779</v>
      </c>
      <c r="AD16" s="313"/>
    </row>
    <row r="17" spans="2:25" ht="22.5">
      <c r="B17" s="351">
        <v>14</v>
      </c>
      <c r="C17" s="304">
        <v>40542</v>
      </c>
      <c r="D17" s="305">
        <v>7601210</v>
      </c>
      <c r="E17" s="306" t="s">
        <v>1808</v>
      </c>
      <c r="F17" s="306" t="s">
        <v>142</v>
      </c>
      <c r="G17" s="307" t="s">
        <v>1815</v>
      </c>
      <c r="H17" s="331">
        <v>1</v>
      </c>
      <c r="I17" s="305" t="s">
        <v>1816</v>
      </c>
      <c r="J17" s="338" t="s">
        <v>1810</v>
      </c>
      <c r="K17" s="308" t="s">
        <v>1596</v>
      </c>
      <c r="L17" s="308" t="s">
        <v>1596</v>
      </c>
      <c r="M17" s="307" t="s">
        <v>1605</v>
      </c>
      <c r="N17" s="313" t="s">
        <v>1570</v>
      </c>
      <c r="O17" s="313" t="s">
        <v>1811</v>
      </c>
      <c r="P17" s="329">
        <v>7600742</v>
      </c>
      <c r="Q17" s="1" t="s">
        <v>1812</v>
      </c>
      <c r="R17" s="352" t="s">
        <v>552</v>
      </c>
      <c r="S17" s="403"/>
      <c r="X17" s="88" t="s">
        <v>1778</v>
      </c>
      <c r="Y17" s="88" t="s">
        <v>1779</v>
      </c>
    </row>
    <row r="18" spans="2:25" ht="22.5">
      <c r="B18" s="351">
        <v>15</v>
      </c>
      <c r="C18" s="304">
        <v>36972</v>
      </c>
      <c r="D18" s="305">
        <v>7601216</v>
      </c>
      <c r="E18" s="306" t="s">
        <v>1808</v>
      </c>
      <c r="F18" s="306" t="s">
        <v>137</v>
      </c>
      <c r="G18" s="307" t="s">
        <v>1815</v>
      </c>
      <c r="H18" s="331">
        <v>1</v>
      </c>
      <c r="I18" s="305" t="s">
        <v>1817</v>
      </c>
      <c r="J18" s="338" t="s">
        <v>1810</v>
      </c>
      <c r="K18" s="308" t="s">
        <v>1596</v>
      </c>
      <c r="L18" s="308" t="s">
        <v>1596</v>
      </c>
      <c r="M18" s="307" t="s">
        <v>1605</v>
      </c>
      <c r="N18" s="313" t="s">
        <v>1570</v>
      </c>
      <c r="O18" s="313" t="s">
        <v>1811</v>
      </c>
      <c r="P18" s="329">
        <v>7600742</v>
      </c>
      <c r="Q18" s="1" t="s">
        <v>1812</v>
      </c>
      <c r="R18" s="352" t="s">
        <v>552</v>
      </c>
      <c r="S18" s="403"/>
      <c r="X18" s="88" t="s">
        <v>1778</v>
      </c>
      <c r="Y18" s="88" t="s">
        <v>1779</v>
      </c>
    </row>
    <row r="19" spans="2:25" ht="22.5">
      <c r="B19" s="351">
        <v>16</v>
      </c>
      <c r="C19" s="304">
        <v>35455</v>
      </c>
      <c r="D19" s="305">
        <v>7601224</v>
      </c>
      <c r="E19" s="306" t="s">
        <v>1808</v>
      </c>
      <c r="F19" s="306" t="s">
        <v>1818</v>
      </c>
      <c r="G19" s="307" t="s">
        <v>1815</v>
      </c>
      <c r="H19" s="331">
        <v>1</v>
      </c>
      <c r="I19" s="305" t="s">
        <v>1819</v>
      </c>
      <c r="J19" s="338" t="s">
        <v>1810</v>
      </c>
      <c r="K19" s="308" t="s">
        <v>1596</v>
      </c>
      <c r="L19" s="308" t="s">
        <v>1596</v>
      </c>
      <c r="M19" s="307" t="s">
        <v>1605</v>
      </c>
      <c r="N19" s="313" t="s">
        <v>1570</v>
      </c>
      <c r="O19" s="313" t="s">
        <v>1811</v>
      </c>
      <c r="P19" s="329">
        <v>7600742</v>
      </c>
      <c r="Q19" s="1" t="s">
        <v>1812</v>
      </c>
      <c r="R19" s="352" t="s">
        <v>552</v>
      </c>
      <c r="S19" s="403"/>
      <c r="X19" s="88" t="s">
        <v>1778</v>
      </c>
      <c r="Y19" s="88" t="s">
        <v>1779</v>
      </c>
    </row>
    <row r="20" spans="2:25" ht="22.5">
      <c r="B20" s="351">
        <v>17</v>
      </c>
      <c r="C20" s="304">
        <v>40892</v>
      </c>
      <c r="D20" s="305">
        <v>7600732</v>
      </c>
      <c r="E20" s="306" t="s">
        <v>1820</v>
      </c>
      <c r="F20" s="306" t="s">
        <v>1821</v>
      </c>
      <c r="G20" s="307" t="s">
        <v>1815</v>
      </c>
      <c r="H20" s="331">
        <v>1</v>
      </c>
      <c r="I20" s="305" t="s">
        <v>1822</v>
      </c>
      <c r="J20" s="338" t="s">
        <v>1774</v>
      </c>
      <c r="K20" s="308" t="s">
        <v>1699</v>
      </c>
      <c r="L20" s="309" t="s">
        <v>1699</v>
      </c>
      <c r="M20" s="307" t="s">
        <v>1722</v>
      </c>
      <c r="N20" s="313" t="s">
        <v>1587</v>
      </c>
      <c r="O20" s="313" t="s">
        <v>1589</v>
      </c>
      <c r="P20" s="329">
        <v>7600732</v>
      </c>
      <c r="Q20" s="1" t="s">
        <v>1823</v>
      </c>
      <c r="R20" s="1" t="s">
        <v>1715</v>
      </c>
      <c r="S20" s="402"/>
      <c r="T20" s="107"/>
      <c r="X20" s="88" t="s">
        <v>1778</v>
      </c>
      <c r="Y20" s="88" t="s">
        <v>1779</v>
      </c>
    </row>
    <row r="21" spans="2:25" ht="22.5">
      <c r="B21" s="351">
        <v>18</v>
      </c>
      <c r="C21" s="304">
        <v>41627</v>
      </c>
      <c r="D21" s="305">
        <v>7600968</v>
      </c>
      <c r="E21" s="306" t="s">
        <v>1824</v>
      </c>
      <c r="F21" s="306" t="s">
        <v>673</v>
      </c>
      <c r="G21" s="307" t="s">
        <v>1815</v>
      </c>
      <c r="H21" s="333">
        <v>1</v>
      </c>
      <c r="I21" s="305" t="s">
        <v>1825</v>
      </c>
      <c r="J21" s="338" t="s">
        <v>1802</v>
      </c>
      <c r="K21" s="308" t="s">
        <v>1668</v>
      </c>
      <c r="L21" s="309" t="s">
        <v>1661</v>
      </c>
      <c r="M21" s="307" t="s">
        <v>1678</v>
      </c>
      <c r="N21" s="313" t="s">
        <v>1826</v>
      </c>
      <c r="O21" s="313" t="s">
        <v>1583</v>
      </c>
      <c r="P21" s="329">
        <v>7600878</v>
      </c>
      <c r="Q21" s="1" t="s">
        <v>1827</v>
      </c>
      <c r="R21" s="1" t="s">
        <v>1679</v>
      </c>
      <c r="S21" s="403"/>
      <c r="X21" s="88" t="s">
        <v>1778</v>
      </c>
      <c r="Y21" s="88" t="s">
        <v>1779</v>
      </c>
    </row>
    <row r="22" spans="2:25" ht="22.5">
      <c r="B22" s="351">
        <v>19</v>
      </c>
      <c r="C22" s="304">
        <v>37256</v>
      </c>
      <c r="D22" s="305">
        <v>7600878</v>
      </c>
      <c r="E22" s="306" t="s">
        <v>1824</v>
      </c>
      <c r="F22" s="306" t="s">
        <v>1156</v>
      </c>
      <c r="G22" s="307" t="s">
        <v>1828</v>
      </c>
      <c r="H22" s="331">
        <v>1</v>
      </c>
      <c r="I22" s="305" t="s">
        <v>1829</v>
      </c>
      <c r="J22" s="338" t="s">
        <v>1802</v>
      </c>
      <c r="K22" s="308" t="s">
        <v>1668</v>
      </c>
      <c r="L22" s="309" t="s">
        <v>1661</v>
      </c>
      <c r="M22" s="307" t="s">
        <v>1678</v>
      </c>
      <c r="N22" s="313" t="s">
        <v>1826</v>
      </c>
      <c r="O22" s="313" t="s">
        <v>1583</v>
      </c>
      <c r="P22" s="329">
        <v>7600878</v>
      </c>
      <c r="Q22" s="1" t="s">
        <v>1827</v>
      </c>
      <c r="R22" s="1" t="s">
        <v>1679</v>
      </c>
      <c r="S22" s="327" t="s">
        <v>1633</v>
      </c>
      <c r="X22" s="88" t="s">
        <v>1778</v>
      </c>
      <c r="Y22" s="88" t="s">
        <v>1779</v>
      </c>
    </row>
    <row r="23" spans="2:25" ht="22.5">
      <c r="B23" s="351">
        <v>20</v>
      </c>
      <c r="C23" s="304">
        <v>44866</v>
      </c>
      <c r="D23" s="305">
        <v>7601134</v>
      </c>
      <c r="E23" s="306" t="s">
        <v>1824</v>
      </c>
      <c r="F23" s="306" t="s">
        <v>666</v>
      </c>
      <c r="G23" s="307" t="s">
        <v>1828</v>
      </c>
      <c r="H23" s="333">
        <v>1</v>
      </c>
      <c r="I23" s="305" t="s">
        <v>1830</v>
      </c>
      <c r="J23" s="338" t="s">
        <v>1802</v>
      </c>
      <c r="K23" s="308" t="s">
        <v>1668</v>
      </c>
      <c r="L23" s="309" t="s">
        <v>1661</v>
      </c>
      <c r="M23" s="307" t="s">
        <v>1678</v>
      </c>
      <c r="N23" s="313" t="s">
        <v>1826</v>
      </c>
      <c r="O23" s="313" t="s">
        <v>1583</v>
      </c>
      <c r="P23" s="329">
        <v>7600878</v>
      </c>
      <c r="Q23" s="1" t="s">
        <v>1827</v>
      </c>
      <c r="R23" s="1" t="s">
        <v>1679</v>
      </c>
      <c r="S23" s="327" t="s">
        <v>1610</v>
      </c>
      <c r="X23" s="88" t="s">
        <v>1778</v>
      </c>
      <c r="Y23" s="88" t="s">
        <v>1779</v>
      </c>
    </row>
    <row r="24" spans="2:25" ht="22.5">
      <c r="B24" s="351">
        <v>21</v>
      </c>
      <c r="C24" s="304">
        <v>45202</v>
      </c>
      <c r="D24" s="305">
        <v>7600824</v>
      </c>
      <c r="E24" s="306" t="s">
        <v>1831</v>
      </c>
      <c r="F24" s="306" t="s">
        <v>475</v>
      </c>
      <c r="G24" s="307" t="s">
        <v>1828</v>
      </c>
      <c r="H24" s="331">
        <v>1</v>
      </c>
      <c r="I24" s="305" t="s">
        <v>1832</v>
      </c>
      <c r="J24" s="338" t="s">
        <v>1784</v>
      </c>
      <c r="K24" s="308" t="s">
        <v>1833</v>
      </c>
      <c r="L24" s="309" t="s">
        <v>1833</v>
      </c>
      <c r="M24" s="307" t="s">
        <v>1641</v>
      </c>
      <c r="N24" s="313" t="s">
        <v>1804</v>
      </c>
      <c r="O24" s="313" t="s">
        <v>1804</v>
      </c>
      <c r="P24" s="329">
        <v>7600824</v>
      </c>
      <c r="Q24" s="1" t="s">
        <v>1805</v>
      </c>
      <c r="R24" s="352" t="s">
        <v>1805</v>
      </c>
      <c r="S24" s="327" t="s">
        <v>1834</v>
      </c>
      <c r="X24" s="88" t="s">
        <v>1778</v>
      </c>
      <c r="Y24" s="88" t="s">
        <v>1779</v>
      </c>
    </row>
    <row r="25" spans="2:25" ht="22.5">
      <c r="B25" s="351">
        <v>22</v>
      </c>
      <c r="C25" s="304">
        <v>41628</v>
      </c>
      <c r="D25" s="305">
        <v>7600549</v>
      </c>
      <c r="E25" s="306" t="s">
        <v>1835</v>
      </c>
      <c r="F25" s="306" t="s">
        <v>410</v>
      </c>
      <c r="G25" s="307" t="s">
        <v>1828</v>
      </c>
      <c r="H25" s="333">
        <v>1</v>
      </c>
      <c r="I25" s="305" t="s">
        <v>1836</v>
      </c>
      <c r="J25" s="338" t="s">
        <v>1784</v>
      </c>
      <c r="K25" s="308" t="s">
        <v>1634</v>
      </c>
      <c r="L25" s="309" t="s">
        <v>1634</v>
      </c>
      <c r="M25" s="307" t="s">
        <v>1659</v>
      </c>
      <c r="N25" s="313" t="s">
        <v>1811</v>
      </c>
      <c r="O25" s="313" t="s">
        <v>1795</v>
      </c>
      <c r="P25" s="329">
        <v>7600549</v>
      </c>
      <c r="Q25" s="1" t="s">
        <v>552</v>
      </c>
      <c r="R25" s="1" t="s">
        <v>1797</v>
      </c>
      <c r="S25" s="327" t="s">
        <v>1714</v>
      </c>
      <c r="X25" s="88" t="s">
        <v>1778</v>
      </c>
      <c r="Y25" s="88" t="s">
        <v>1779</v>
      </c>
    </row>
    <row r="26" spans="2:25" ht="22.5">
      <c r="B26" s="351">
        <v>23</v>
      </c>
      <c r="C26" s="304">
        <v>41486</v>
      </c>
      <c r="D26" s="305">
        <v>7600618</v>
      </c>
      <c r="E26" s="306" t="s">
        <v>1835</v>
      </c>
      <c r="F26" s="306" t="s">
        <v>422</v>
      </c>
      <c r="G26" s="307" t="s">
        <v>1828</v>
      </c>
      <c r="H26" s="333">
        <v>1</v>
      </c>
      <c r="I26" s="305" t="s">
        <v>1837</v>
      </c>
      <c r="J26" s="338" t="s">
        <v>1784</v>
      </c>
      <c r="K26" s="308" t="s">
        <v>1634</v>
      </c>
      <c r="L26" s="309" t="s">
        <v>1634</v>
      </c>
      <c r="M26" s="307" t="s">
        <v>1659</v>
      </c>
      <c r="N26" s="313" t="s">
        <v>1811</v>
      </c>
      <c r="O26" s="313" t="s">
        <v>1795</v>
      </c>
      <c r="P26" s="329">
        <v>7600549</v>
      </c>
      <c r="Q26" s="1" t="s">
        <v>552</v>
      </c>
      <c r="R26" s="1" t="s">
        <v>1797</v>
      </c>
      <c r="S26" s="327" t="s">
        <v>1688</v>
      </c>
      <c r="X26" s="88" t="s">
        <v>1778</v>
      </c>
      <c r="Y26" s="88" t="s">
        <v>1779</v>
      </c>
    </row>
    <row r="27" spans="2:25" ht="22.5">
      <c r="B27" s="351">
        <v>24</v>
      </c>
      <c r="C27" s="304">
        <v>42502</v>
      </c>
      <c r="D27" s="305">
        <v>7600817</v>
      </c>
      <c r="E27" s="306" t="s">
        <v>1835</v>
      </c>
      <c r="F27" s="306" t="s">
        <v>419</v>
      </c>
      <c r="G27" s="307" t="s">
        <v>1828</v>
      </c>
      <c r="H27" s="333">
        <v>1</v>
      </c>
      <c r="I27" s="305" t="s">
        <v>1838</v>
      </c>
      <c r="J27" s="338" t="s">
        <v>1784</v>
      </c>
      <c r="K27" s="308" t="s">
        <v>1634</v>
      </c>
      <c r="L27" s="309" t="s">
        <v>1634</v>
      </c>
      <c r="M27" s="307" t="s">
        <v>1659</v>
      </c>
      <c r="N27" s="313" t="s">
        <v>1811</v>
      </c>
      <c r="O27" s="313" t="s">
        <v>1795</v>
      </c>
      <c r="P27" s="329">
        <v>7600549</v>
      </c>
      <c r="Q27" s="1" t="s">
        <v>552</v>
      </c>
      <c r="R27" s="1" t="s">
        <v>1797</v>
      </c>
      <c r="S27" s="327" t="s">
        <v>1649</v>
      </c>
      <c r="X27" s="88" t="s">
        <v>1778</v>
      </c>
      <c r="Y27" s="88" t="s">
        <v>1779</v>
      </c>
    </row>
    <row r="28" spans="2:25" ht="22.5">
      <c r="B28" s="351">
        <v>25</v>
      </c>
      <c r="C28" s="304">
        <v>42094</v>
      </c>
      <c r="D28" s="305">
        <v>7600819</v>
      </c>
      <c r="E28" s="306" t="s">
        <v>1835</v>
      </c>
      <c r="F28" s="306" t="s">
        <v>1147</v>
      </c>
      <c r="G28" s="307" t="s">
        <v>1839</v>
      </c>
      <c r="H28" s="333">
        <v>3</v>
      </c>
      <c r="I28" s="305" t="s">
        <v>1840</v>
      </c>
      <c r="J28" s="338" t="s">
        <v>1784</v>
      </c>
      <c r="K28" s="308" t="s">
        <v>1634</v>
      </c>
      <c r="L28" s="309" t="s">
        <v>1634</v>
      </c>
      <c r="M28" s="307" t="s">
        <v>1659</v>
      </c>
      <c r="N28" s="313" t="s">
        <v>1811</v>
      </c>
      <c r="O28" s="313" t="s">
        <v>1795</v>
      </c>
      <c r="P28" s="329">
        <v>7600549</v>
      </c>
      <c r="Q28" s="1" t="s">
        <v>552</v>
      </c>
      <c r="R28" s="1" t="s">
        <v>1797</v>
      </c>
      <c r="S28" s="327" t="s">
        <v>1619</v>
      </c>
      <c r="X28" s="88" t="s">
        <v>1778</v>
      </c>
      <c r="Y28" s="88" t="s">
        <v>1779</v>
      </c>
    </row>
    <row r="29" spans="2:25" ht="22.5">
      <c r="B29" s="351">
        <v>26</v>
      </c>
      <c r="C29" s="304">
        <v>35468</v>
      </c>
      <c r="D29" s="305">
        <v>7600922</v>
      </c>
      <c r="E29" s="306" t="s">
        <v>1835</v>
      </c>
      <c r="F29" s="306" t="s">
        <v>430</v>
      </c>
      <c r="G29" s="307" t="s">
        <v>1839</v>
      </c>
      <c r="H29" s="333">
        <v>3</v>
      </c>
      <c r="I29" s="305" t="s">
        <v>1841</v>
      </c>
      <c r="J29" s="338" t="s">
        <v>1784</v>
      </c>
      <c r="K29" s="308" t="s">
        <v>1634</v>
      </c>
      <c r="L29" s="309" t="s">
        <v>1634</v>
      </c>
      <c r="M29" s="307" t="s">
        <v>1659</v>
      </c>
      <c r="N29" s="313" t="s">
        <v>1811</v>
      </c>
      <c r="O29" s="313" t="s">
        <v>1795</v>
      </c>
      <c r="P29" s="329">
        <v>7600549</v>
      </c>
      <c r="Q29" s="1" t="s">
        <v>552</v>
      </c>
      <c r="R29" s="1" t="s">
        <v>1797</v>
      </c>
      <c r="S29" s="327" t="s">
        <v>1639</v>
      </c>
      <c r="X29" s="88" t="s">
        <v>1778</v>
      </c>
      <c r="Y29" s="88" t="s">
        <v>1779</v>
      </c>
    </row>
    <row r="30" spans="2:25" ht="22.5">
      <c r="B30" s="351">
        <v>27</v>
      </c>
      <c r="C30" s="304">
        <v>40542</v>
      </c>
      <c r="D30" s="305">
        <v>7600939</v>
      </c>
      <c r="E30" s="306" t="s">
        <v>1835</v>
      </c>
      <c r="F30" s="306" t="s">
        <v>435</v>
      </c>
      <c r="G30" s="307" t="s">
        <v>1839</v>
      </c>
      <c r="H30" s="331">
        <v>3</v>
      </c>
      <c r="I30" s="305" t="s">
        <v>1842</v>
      </c>
      <c r="J30" s="338" t="s">
        <v>1784</v>
      </c>
      <c r="K30" s="308" t="s">
        <v>1634</v>
      </c>
      <c r="L30" s="309" t="s">
        <v>1634</v>
      </c>
      <c r="M30" s="307" t="s">
        <v>1659</v>
      </c>
      <c r="N30" s="313" t="s">
        <v>1811</v>
      </c>
      <c r="O30" s="313" t="s">
        <v>1795</v>
      </c>
      <c r="P30" s="329">
        <v>7600549</v>
      </c>
      <c r="Q30" s="1" t="s">
        <v>552</v>
      </c>
      <c r="R30" s="1" t="s">
        <v>1797</v>
      </c>
      <c r="S30" s="327" t="s">
        <v>1691</v>
      </c>
      <c r="X30" s="88" t="s">
        <v>1778</v>
      </c>
      <c r="Y30" s="88" t="s">
        <v>1779</v>
      </c>
    </row>
    <row r="31" spans="2:25" ht="22.5">
      <c r="B31" s="351">
        <v>29</v>
      </c>
      <c r="C31" s="304">
        <v>40046</v>
      </c>
      <c r="D31" s="305">
        <v>7600929</v>
      </c>
      <c r="E31" s="306" t="s">
        <v>1835</v>
      </c>
      <c r="F31" s="306" t="s">
        <v>433</v>
      </c>
      <c r="G31" s="307" t="s">
        <v>1843</v>
      </c>
      <c r="H31" s="333">
        <v>2</v>
      </c>
      <c r="I31" s="305" t="s">
        <v>1844</v>
      </c>
      <c r="J31" s="338" t="s">
        <v>1784</v>
      </c>
      <c r="K31" s="308" t="s">
        <v>1634</v>
      </c>
      <c r="L31" s="309" t="s">
        <v>1634</v>
      </c>
      <c r="M31" s="307" t="s">
        <v>1659</v>
      </c>
      <c r="N31" s="313" t="s">
        <v>1811</v>
      </c>
      <c r="O31" s="313" t="s">
        <v>1795</v>
      </c>
      <c r="P31" s="329">
        <v>7600549</v>
      </c>
      <c r="Q31" s="1" t="s">
        <v>552</v>
      </c>
      <c r="R31" s="1" t="s">
        <v>1797</v>
      </c>
      <c r="S31" s="327" t="s">
        <v>1653</v>
      </c>
      <c r="X31" s="88" t="s">
        <v>1778</v>
      </c>
      <c r="Y31" s="88" t="s">
        <v>1779</v>
      </c>
    </row>
    <row r="32" spans="2:25" ht="17.45" customHeight="1">
      <c r="B32" s="351">
        <v>30</v>
      </c>
      <c r="C32" s="304">
        <v>40749</v>
      </c>
      <c r="D32" s="305">
        <v>7601037</v>
      </c>
      <c r="E32" s="306" t="s">
        <v>1845</v>
      </c>
      <c r="F32" s="306" t="s">
        <v>1433</v>
      </c>
      <c r="G32" s="307" t="s">
        <v>1846</v>
      </c>
      <c r="H32" s="331">
        <v>1</v>
      </c>
      <c r="I32" s="305" t="s">
        <v>1847</v>
      </c>
      <c r="J32" s="338" t="s">
        <v>1802</v>
      </c>
      <c r="K32" s="308" t="s">
        <v>1677</v>
      </c>
      <c r="L32" s="309" t="s">
        <v>1668</v>
      </c>
      <c r="M32" s="307" t="s">
        <v>1848</v>
      </c>
      <c r="N32" s="313" t="s">
        <v>1586</v>
      </c>
      <c r="O32" s="313" t="s">
        <v>1584</v>
      </c>
      <c r="P32" s="329">
        <v>7601037</v>
      </c>
      <c r="Q32" s="1" t="s">
        <v>1674</v>
      </c>
      <c r="R32" s="1" t="s">
        <v>1676</v>
      </c>
      <c r="S32" s="403"/>
      <c r="X32" s="88" t="s">
        <v>1778</v>
      </c>
      <c r="Y32" s="88" t="s">
        <v>1779</v>
      </c>
    </row>
    <row r="33" spans="2:25" ht="17.45" customHeight="1">
      <c r="B33" s="351">
        <v>31</v>
      </c>
      <c r="C33" s="310">
        <v>38558</v>
      </c>
      <c r="D33" s="311">
        <v>7601038</v>
      </c>
      <c r="E33" s="312" t="s">
        <v>1845</v>
      </c>
      <c r="F33" s="306" t="s">
        <v>1424</v>
      </c>
      <c r="G33" s="313" t="s">
        <v>1846</v>
      </c>
      <c r="H33" s="332">
        <v>1</v>
      </c>
      <c r="I33" s="305" t="s">
        <v>1849</v>
      </c>
      <c r="J33" s="338" t="s">
        <v>1802</v>
      </c>
      <c r="K33" s="308" t="s">
        <v>1677</v>
      </c>
      <c r="L33" s="309" t="s">
        <v>1668</v>
      </c>
      <c r="M33" s="307" t="s">
        <v>1848</v>
      </c>
      <c r="N33" s="313" t="s">
        <v>1586</v>
      </c>
      <c r="O33" s="313" t="s">
        <v>1584</v>
      </c>
      <c r="P33" s="329">
        <v>7601037</v>
      </c>
      <c r="Q33" s="1" t="s">
        <v>1674</v>
      </c>
      <c r="R33" s="1" t="s">
        <v>1676</v>
      </c>
      <c r="S33" s="403"/>
      <c r="X33" s="88" t="s">
        <v>1778</v>
      </c>
      <c r="Y33" s="88" t="s">
        <v>1779</v>
      </c>
    </row>
    <row r="34" spans="2:25" ht="17.45" customHeight="1">
      <c r="B34" s="351">
        <v>32</v>
      </c>
      <c r="C34" s="304">
        <v>38946</v>
      </c>
      <c r="D34" s="305">
        <v>7601128</v>
      </c>
      <c r="E34" s="306" t="s">
        <v>1845</v>
      </c>
      <c r="F34" s="306" t="s">
        <v>1430</v>
      </c>
      <c r="G34" s="307" t="s">
        <v>1846</v>
      </c>
      <c r="H34" s="331">
        <v>1</v>
      </c>
      <c r="I34" s="305" t="s">
        <v>1850</v>
      </c>
      <c r="J34" s="338" t="s">
        <v>1802</v>
      </c>
      <c r="K34" s="308" t="s">
        <v>1677</v>
      </c>
      <c r="L34" s="309" t="s">
        <v>1668</v>
      </c>
      <c r="M34" s="307" t="s">
        <v>1848</v>
      </c>
      <c r="N34" s="313" t="s">
        <v>1586</v>
      </c>
      <c r="O34" s="313" t="s">
        <v>1584</v>
      </c>
      <c r="P34" s="329">
        <v>7601037</v>
      </c>
      <c r="Q34" s="1" t="s">
        <v>1674</v>
      </c>
      <c r="R34" s="1" t="s">
        <v>1676</v>
      </c>
      <c r="S34" s="403"/>
      <c r="X34" s="88" t="s">
        <v>1778</v>
      </c>
      <c r="Y34" s="88" t="s">
        <v>1779</v>
      </c>
    </row>
    <row r="35" spans="2:25" ht="17.45" customHeight="1">
      <c r="B35" s="351">
        <v>33</v>
      </c>
      <c r="C35" s="304">
        <v>40560</v>
      </c>
      <c r="D35" s="305">
        <v>7600546</v>
      </c>
      <c r="E35" s="306" t="s">
        <v>1851</v>
      </c>
      <c r="F35" s="306" t="s">
        <v>1442</v>
      </c>
      <c r="G35" s="307" t="s">
        <v>1846</v>
      </c>
      <c r="H35" s="331">
        <v>1</v>
      </c>
      <c r="I35" s="305" t="s">
        <v>1852</v>
      </c>
      <c r="J35" s="338" t="s">
        <v>1802</v>
      </c>
      <c r="K35" s="308" t="s">
        <v>1682</v>
      </c>
      <c r="L35" s="309" t="s">
        <v>1661</v>
      </c>
      <c r="M35" s="307" t="s">
        <v>1853</v>
      </c>
      <c r="N35" s="313" t="s">
        <v>1585</v>
      </c>
      <c r="O35" s="313" t="s">
        <v>1583</v>
      </c>
      <c r="P35" s="329">
        <v>7600546</v>
      </c>
      <c r="Q35" s="1" t="s">
        <v>1670</v>
      </c>
      <c r="R35" s="1" t="s">
        <v>1679</v>
      </c>
      <c r="S35" s="403"/>
      <c r="T35" s="147"/>
      <c r="U35" s="147"/>
      <c r="V35" s="147"/>
      <c r="W35" s="147"/>
      <c r="X35" s="88" t="s">
        <v>1778</v>
      </c>
      <c r="Y35" s="88" t="s">
        <v>1779</v>
      </c>
    </row>
    <row r="36" spans="2:25" ht="17.45" customHeight="1">
      <c r="B36" s="351">
        <v>34</v>
      </c>
      <c r="C36" s="304">
        <v>39450</v>
      </c>
      <c r="D36" s="305">
        <v>7600705</v>
      </c>
      <c r="E36" s="306" t="s">
        <v>1851</v>
      </c>
      <c r="F36" s="306" t="s">
        <v>1440</v>
      </c>
      <c r="G36" s="307" t="s">
        <v>1846</v>
      </c>
      <c r="H36" s="331">
        <v>1</v>
      </c>
      <c r="I36" s="305" t="s">
        <v>1854</v>
      </c>
      <c r="J36" s="338" t="s">
        <v>1802</v>
      </c>
      <c r="K36" s="308" t="s">
        <v>1682</v>
      </c>
      <c r="L36" s="309" t="s">
        <v>1661</v>
      </c>
      <c r="M36" s="307" t="s">
        <v>1853</v>
      </c>
      <c r="N36" s="313" t="s">
        <v>1585</v>
      </c>
      <c r="O36" s="313" t="s">
        <v>1583</v>
      </c>
      <c r="P36" s="329">
        <v>7600546</v>
      </c>
      <c r="Q36" s="1" t="s">
        <v>1670</v>
      </c>
      <c r="R36" s="1" t="s">
        <v>1679</v>
      </c>
      <c r="S36" s="403"/>
      <c r="T36" s="147"/>
      <c r="U36" s="147"/>
      <c r="V36" s="147"/>
      <c r="W36" s="147"/>
      <c r="X36" s="88" t="s">
        <v>1778</v>
      </c>
      <c r="Y36" s="88" t="s">
        <v>1779</v>
      </c>
    </row>
    <row r="37" spans="2:25" ht="17.45" customHeight="1">
      <c r="B37" s="351">
        <v>35</v>
      </c>
      <c r="C37" s="304">
        <v>42332</v>
      </c>
      <c r="D37" s="305">
        <v>7601169</v>
      </c>
      <c r="E37" s="306" t="s">
        <v>1851</v>
      </c>
      <c r="F37" s="306" t="s">
        <v>1437</v>
      </c>
      <c r="G37" s="307" t="s">
        <v>1846</v>
      </c>
      <c r="H37" s="331">
        <v>1</v>
      </c>
      <c r="I37" s="305" t="s">
        <v>1855</v>
      </c>
      <c r="J37" s="338" t="s">
        <v>1802</v>
      </c>
      <c r="K37" s="308" t="s">
        <v>1682</v>
      </c>
      <c r="L37" s="309" t="s">
        <v>1661</v>
      </c>
      <c r="M37" s="307" t="s">
        <v>1853</v>
      </c>
      <c r="N37" s="313" t="s">
        <v>1585</v>
      </c>
      <c r="O37" s="313" t="s">
        <v>1583</v>
      </c>
      <c r="P37" s="329">
        <v>7600546</v>
      </c>
      <c r="Q37" s="1" t="s">
        <v>1670</v>
      </c>
      <c r="R37" s="1" t="s">
        <v>1679</v>
      </c>
      <c r="S37" s="403"/>
      <c r="X37" s="88" t="s">
        <v>1778</v>
      </c>
      <c r="Y37" s="88" t="s">
        <v>1779</v>
      </c>
    </row>
    <row r="38" spans="2:25" ht="17.45" customHeight="1">
      <c r="B38" s="351">
        <v>36</v>
      </c>
      <c r="C38" s="304">
        <v>38909</v>
      </c>
      <c r="D38" s="305">
        <v>7600501</v>
      </c>
      <c r="E38" s="306" t="s">
        <v>1856</v>
      </c>
      <c r="F38" s="306" t="s">
        <v>881</v>
      </c>
      <c r="G38" s="307" t="s">
        <v>1846</v>
      </c>
      <c r="H38" s="331">
        <v>1</v>
      </c>
      <c r="I38" s="305" t="s">
        <v>1857</v>
      </c>
      <c r="J38" s="338" t="s">
        <v>1774</v>
      </c>
      <c r="K38" s="308" t="s">
        <v>1699</v>
      </c>
      <c r="L38" s="309" t="s">
        <v>1699</v>
      </c>
      <c r="M38" s="307" t="s">
        <v>1707</v>
      </c>
      <c r="N38" s="313" t="s">
        <v>1587</v>
      </c>
      <c r="O38" s="313" t="s">
        <v>1589</v>
      </c>
      <c r="P38" s="329">
        <v>7600501</v>
      </c>
      <c r="Q38" s="1" t="s">
        <v>1823</v>
      </c>
      <c r="R38" s="1" t="s">
        <v>1715</v>
      </c>
      <c r="S38" s="403"/>
      <c r="X38" s="88" t="s">
        <v>1778</v>
      </c>
      <c r="Y38" s="88" t="s">
        <v>1779</v>
      </c>
    </row>
    <row r="39" spans="2:25" ht="17.45" customHeight="1">
      <c r="B39" s="351">
        <v>37</v>
      </c>
      <c r="C39" s="304">
        <v>41850</v>
      </c>
      <c r="D39" s="305">
        <v>7600086</v>
      </c>
      <c r="E39" s="306" t="s">
        <v>1858</v>
      </c>
      <c r="F39" s="306" t="s">
        <v>745</v>
      </c>
      <c r="G39" s="307" t="s">
        <v>1859</v>
      </c>
      <c r="H39" s="331">
        <v>3</v>
      </c>
      <c r="I39" s="305" t="s">
        <v>1860</v>
      </c>
      <c r="J39" s="338" t="s">
        <v>1802</v>
      </c>
      <c r="K39" s="308" t="s">
        <v>1677</v>
      </c>
      <c r="L39" s="309" t="s">
        <v>1661</v>
      </c>
      <c r="M39" s="307" t="s">
        <v>1688</v>
      </c>
      <c r="N39" s="313" t="s">
        <v>1586</v>
      </c>
      <c r="O39" s="313" t="s">
        <v>1583</v>
      </c>
      <c r="P39" s="329">
        <v>7600086</v>
      </c>
      <c r="Q39" s="1" t="s">
        <v>1674</v>
      </c>
      <c r="R39" s="1" t="s">
        <v>1679</v>
      </c>
      <c r="S39" s="327" t="s">
        <v>1861</v>
      </c>
      <c r="T39" s="147"/>
      <c r="U39" s="147"/>
      <c r="V39" s="147"/>
      <c r="W39" s="147"/>
      <c r="X39" s="88" t="s">
        <v>1778</v>
      </c>
      <c r="Y39" s="88" t="s">
        <v>1779</v>
      </c>
    </row>
    <row r="40" spans="2:25" ht="17.45" customHeight="1">
      <c r="B40" s="351">
        <v>38</v>
      </c>
      <c r="C40" s="304">
        <v>35490</v>
      </c>
      <c r="D40" s="305">
        <v>7601004</v>
      </c>
      <c r="E40" s="306" t="s">
        <v>1858</v>
      </c>
      <c r="F40" s="306" t="s">
        <v>740</v>
      </c>
      <c r="G40" s="307" t="s">
        <v>1859</v>
      </c>
      <c r="H40" s="331">
        <v>3</v>
      </c>
      <c r="I40" s="305" t="s">
        <v>1862</v>
      </c>
      <c r="J40" s="338" t="s">
        <v>1802</v>
      </c>
      <c r="K40" s="308" t="s">
        <v>1677</v>
      </c>
      <c r="L40" s="309" t="s">
        <v>1661</v>
      </c>
      <c r="M40" s="307" t="s">
        <v>1688</v>
      </c>
      <c r="N40" s="313" t="s">
        <v>1586</v>
      </c>
      <c r="O40" s="313" t="s">
        <v>1583</v>
      </c>
      <c r="P40" s="329">
        <v>7600086</v>
      </c>
      <c r="Q40" s="1" t="s">
        <v>1674</v>
      </c>
      <c r="R40" s="1" t="s">
        <v>1679</v>
      </c>
      <c r="S40" s="327" t="s">
        <v>1707</v>
      </c>
      <c r="T40" s="147"/>
      <c r="U40" s="147"/>
      <c r="V40" s="147"/>
      <c r="W40" s="147"/>
      <c r="X40" s="88" t="s">
        <v>1778</v>
      </c>
      <c r="Y40" s="88" t="s">
        <v>1779</v>
      </c>
    </row>
    <row r="41" spans="2:25" s="147" customFormat="1" ht="17.45" customHeight="1">
      <c r="B41" s="351">
        <v>39</v>
      </c>
      <c r="C41" s="304">
        <v>39984</v>
      </c>
      <c r="D41" s="305">
        <v>7601094</v>
      </c>
      <c r="E41" s="306" t="s">
        <v>1863</v>
      </c>
      <c r="F41" s="306" t="s">
        <v>946</v>
      </c>
      <c r="G41" s="307" t="s">
        <v>1864</v>
      </c>
      <c r="H41" s="331">
        <v>4</v>
      </c>
      <c r="I41" s="305" t="s">
        <v>1865</v>
      </c>
      <c r="J41" s="338" t="s">
        <v>1774</v>
      </c>
      <c r="K41" s="308" t="s">
        <v>1775</v>
      </c>
      <c r="L41" s="309" t="s">
        <v>1775</v>
      </c>
      <c r="M41" s="307" t="s">
        <v>1714</v>
      </c>
      <c r="N41" s="313" t="s">
        <v>1776</v>
      </c>
      <c r="O41" s="313" t="s">
        <v>1776</v>
      </c>
      <c r="P41" s="329">
        <v>7601094</v>
      </c>
      <c r="Q41" s="352" t="s">
        <v>1777</v>
      </c>
      <c r="R41" s="352" t="s">
        <v>1777</v>
      </c>
      <c r="S41" s="353" t="s">
        <v>1719</v>
      </c>
      <c r="X41" s="88" t="s">
        <v>1778</v>
      </c>
      <c r="Y41" s="88" t="s">
        <v>1779</v>
      </c>
    </row>
    <row r="42" spans="2:25" s="147" customFormat="1" ht="17.45" customHeight="1">
      <c r="B42" s="351">
        <v>40</v>
      </c>
      <c r="C42" s="304">
        <v>40998</v>
      </c>
      <c r="D42" s="305">
        <v>7601123</v>
      </c>
      <c r="E42" s="306" t="s">
        <v>1866</v>
      </c>
      <c r="F42" s="306" t="s">
        <v>394</v>
      </c>
      <c r="G42" s="307" t="s">
        <v>1867</v>
      </c>
      <c r="H42" s="331">
        <v>3</v>
      </c>
      <c r="I42" s="305" t="s">
        <v>1868</v>
      </c>
      <c r="J42" s="338" t="s">
        <v>1784</v>
      </c>
      <c r="K42" s="308" t="s">
        <v>1833</v>
      </c>
      <c r="L42" s="309" t="s">
        <v>1833</v>
      </c>
      <c r="M42" s="307" t="s">
        <v>1649</v>
      </c>
      <c r="N42" s="313" t="s">
        <v>1804</v>
      </c>
      <c r="O42" s="313" t="s">
        <v>1804</v>
      </c>
      <c r="P42" s="329">
        <v>7601122</v>
      </c>
      <c r="Q42" s="1" t="s">
        <v>1805</v>
      </c>
      <c r="R42" s="352" t="s">
        <v>1805</v>
      </c>
      <c r="S42" s="327" t="s">
        <v>1725</v>
      </c>
      <c r="X42" s="88" t="s">
        <v>1778</v>
      </c>
      <c r="Y42" s="88" t="s">
        <v>1779</v>
      </c>
    </row>
    <row r="43" spans="2:25" s="147" customFormat="1" ht="17.100000000000001" customHeight="1">
      <c r="B43" s="351">
        <v>41</v>
      </c>
      <c r="C43" s="304">
        <v>36083</v>
      </c>
      <c r="D43" s="305">
        <v>7600167</v>
      </c>
      <c r="E43" s="306" t="s">
        <v>1869</v>
      </c>
      <c r="F43" s="306" t="s">
        <v>173</v>
      </c>
      <c r="G43" s="307" t="s">
        <v>1870</v>
      </c>
      <c r="H43" s="331">
        <v>3</v>
      </c>
      <c r="I43" s="305" t="s">
        <v>1871</v>
      </c>
      <c r="J43" s="338" t="s">
        <v>1810</v>
      </c>
      <c r="K43" s="308" t="s">
        <v>1604</v>
      </c>
      <c r="L43" s="308" t="s">
        <v>1600</v>
      </c>
      <c r="M43" s="307" t="s">
        <v>1610</v>
      </c>
      <c r="N43" s="313" t="s">
        <v>1574</v>
      </c>
      <c r="O43" s="313" t="s">
        <v>1572</v>
      </c>
      <c r="P43" s="329">
        <v>7600167</v>
      </c>
      <c r="Q43" s="1" t="s">
        <v>1615</v>
      </c>
      <c r="R43" s="1" t="s">
        <v>1606</v>
      </c>
      <c r="S43" s="327" t="s">
        <v>1709</v>
      </c>
      <c r="T43" s="129"/>
      <c r="U43" s="74"/>
      <c r="V43" s="74"/>
      <c r="W43" s="74"/>
      <c r="X43" s="88" t="s">
        <v>1778</v>
      </c>
      <c r="Y43" s="88" t="s">
        <v>1779</v>
      </c>
    </row>
    <row r="44" spans="2:25" s="147" customFormat="1" ht="17.45" customHeight="1">
      <c r="B44" s="351">
        <v>42</v>
      </c>
      <c r="C44" s="304">
        <v>35479</v>
      </c>
      <c r="D44" s="305">
        <v>7600633</v>
      </c>
      <c r="E44" s="306" t="s">
        <v>1869</v>
      </c>
      <c r="F44" s="306" t="s">
        <v>170</v>
      </c>
      <c r="G44" s="307" t="s">
        <v>1872</v>
      </c>
      <c r="H44" s="331">
        <v>1</v>
      </c>
      <c r="I44" s="305" t="s">
        <v>1873</v>
      </c>
      <c r="J44" s="338" t="s">
        <v>1810</v>
      </c>
      <c r="K44" s="308" t="s">
        <v>1604</v>
      </c>
      <c r="L44" s="308" t="s">
        <v>1600</v>
      </c>
      <c r="M44" s="307" t="s">
        <v>1610</v>
      </c>
      <c r="N44" s="313" t="s">
        <v>1574</v>
      </c>
      <c r="O44" s="313" t="s">
        <v>1572</v>
      </c>
      <c r="P44" s="329">
        <v>7600167</v>
      </c>
      <c r="Q44" s="1" t="s">
        <v>1615</v>
      </c>
      <c r="R44" s="1" t="s">
        <v>1606</v>
      </c>
      <c r="S44" s="327" t="s">
        <v>1703</v>
      </c>
      <c r="T44" s="129"/>
      <c r="U44" s="74"/>
      <c r="V44" s="74"/>
      <c r="W44" s="74"/>
      <c r="X44" s="88" t="s">
        <v>1778</v>
      </c>
      <c r="Y44" s="88" t="s">
        <v>1779</v>
      </c>
    </row>
    <row r="45" spans="2:25" s="147" customFormat="1" ht="17.45" customHeight="1">
      <c r="B45" s="351">
        <v>43</v>
      </c>
      <c r="C45" s="304">
        <v>41445</v>
      </c>
      <c r="D45" s="305">
        <v>7600641</v>
      </c>
      <c r="E45" s="306" t="s">
        <v>1869</v>
      </c>
      <c r="F45" s="306" t="s">
        <v>179</v>
      </c>
      <c r="G45" s="307" t="s">
        <v>1872</v>
      </c>
      <c r="H45" s="333">
        <v>1</v>
      </c>
      <c r="I45" s="305" t="s">
        <v>1874</v>
      </c>
      <c r="J45" s="338" t="s">
        <v>1810</v>
      </c>
      <c r="K45" s="308" t="s">
        <v>1604</v>
      </c>
      <c r="L45" s="308" t="s">
        <v>1600</v>
      </c>
      <c r="M45" s="307" t="s">
        <v>1610</v>
      </c>
      <c r="N45" s="313" t="s">
        <v>1574</v>
      </c>
      <c r="O45" s="313" t="s">
        <v>1572</v>
      </c>
      <c r="P45" s="329">
        <v>7600167</v>
      </c>
      <c r="Q45" s="1" t="s">
        <v>1615</v>
      </c>
      <c r="R45" s="1" t="s">
        <v>1606</v>
      </c>
      <c r="S45" s="327" t="s">
        <v>1625</v>
      </c>
      <c r="T45" s="129"/>
      <c r="U45" s="74"/>
      <c r="V45" s="74"/>
      <c r="W45" s="74"/>
      <c r="X45" s="88" t="s">
        <v>1778</v>
      </c>
      <c r="Y45" s="88" t="s">
        <v>1779</v>
      </c>
    </row>
    <row r="46" spans="2:25" s="147" customFormat="1" ht="17.45" customHeight="1">
      <c r="B46" s="351">
        <v>44</v>
      </c>
      <c r="C46" s="304">
        <v>35571</v>
      </c>
      <c r="D46" s="305">
        <v>7600746</v>
      </c>
      <c r="E46" s="306" t="s">
        <v>1869</v>
      </c>
      <c r="F46" s="306" t="s">
        <v>163</v>
      </c>
      <c r="G46" s="307" t="s">
        <v>1872</v>
      </c>
      <c r="H46" s="331">
        <v>1</v>
      </c>
      <c r="I46" s="305" t="s">
        <v>1875</v>
      </c>
      <c r="J46" s="338" t="s">
        <v>1810</v>
      </c>
      <c r="K46" s="308" t="s">
        <v>1604</v>
      </c>
      <c r="L46" s="308" t="s">
        <v>1600</v>
      </c>
      <c r="M46" s="307" t="s">
        <v>1610</v>
      </c>
      <c r="N46" s="313" t="s">
        <v>1574</v>
      </c>
      <c r="O46" s="313" t="s">
        <v>1572</v>
      </c>
      <c r="P46" s="329">
        <v>7600167</v>
      </c>
      <c r="Q46" s="1" t="s">
        <v>1615</v>
      </c>
      <c r="R46" s="1" t="s">
        <v>1606</v>
      </c>
      <c r="S46" s="327" t="s">
        <v>1617</v>
      </c>
      <c r="T46" s="129"/>
      <c r="U46" s="74"/>
      <c r="V46" s="74"/>
      <c r="W46" s="74"/>
      <c r="X46" s="88" t="s">
        <v>1778</v>
      </c>
      <c r="Y46" s="88" t="s">
        <v>1779</v>
      </c>
    </row>
    <row r="47" spans="2:25" ht="17.45" customHeight="1">
      <c r="B47" s="351">
        <v>45</v>
      </c>
      <c r="C47" s="304">
        <v>40876</v>
      </c>
      <c r="D47" s="305">
        <v>7600776</v>
      </c>
      <c r="E47" s="306" t="s">
        <v>1869</v>
      </c>
      <c r="F47" s="306" t="s">
        <v>176</v>
      </c>
      <c r="G47" s="307" t="s">
        <v>1872</v>
      </c>
      <c r="H47" s="331">
        <v>1</v>
      </c>
      <c r="I47" s="305" t="s">
        <v>1876</v>
      </c>
      <c r="J47" s="338" t="s">
        <v>1810</v>
      </c>
      <c r="K47" s="308" t="s">
        <v>1604</v>
      </c>
      <c r="L47" s="308" t="s">
        <v>1600</v>
      </c>
      <c r="M47" s="307" t="s">
        <v>1610</v>
      </c>
      <c r="N47" s="313" t="s">
        <v>1574</v>
      </c>
      <c r="O47" s="313" t="s">
        <v>1572</v>
      </c>
      <c r="P47" s="329">
        <v>7600167</v>
      </c>
      <c r="Q47" s="1" t="s">
        <v>1615</v>
      </c>
      <c r="R47" s="1" t="s">
        <v>1606</v>
      </c>
      <c r="S47" s="327" t="s">
        <v>1702</v>
      </c>
      <c r="X47" s="88" t="s">
        <v>1778</v>
      </c>
      <c r="Y47" s="88" t="s">
        <v>1779</v>
      </c>
    </row>
    <row r="48" spans="2:25" ht="17.45" customHeight="1">
      <c r="B48" s="351">
        <v>46</v>
      </c>
      <c r="C48" s="304">
        <v>36779</v>
      </c>
      <c r="D48" s="305">
        <v>7600888</v>
      </c>
      <c r="E48" s="306" t="s">
        <v>1869</v>
      </c>
      <c r="F48" s="306" t="s">
        <v>181</v>
      </c>
      <c r="G48" s="307" t="s">
        <v>1872</v>
      </c>
      <c r="H48" s="331">
        <v>1</v>
      </c>
      <c r="I48" s="305" t="s">
        <v>1877</v>
      </c>
      <c r="J48" s="338" t="s">
        <v>1810</v>
      </c>
      <c r="K48" s="308" t="s">
        <v>1604</v>
      </c>
      <c r="L48" s="308" t="s">
        <v>1600</v>
      </c>
      <c r="M48" s="307" t="s">
        <v>1610</v>
      </c>
      <c r="N48" s="313" t="s">
        <v>1574</v>
      </c>
      <c r="O48" s="313" t="s">
        <v>1572</v>
      </c>
      <c r="P48" s="329">
        <v>7600167</v>
      </c>
      <c r="Q48" s="1" t="s">
        <v>1615</v>
      </c>
      <c r="R48" s="1" t="s">
        <v>1606</v>
      </c>
      <c r="S48" s="327" t="s">
        <v>1749</v>
      </c>
      <c r="X48" s="88" t="s">
        <v>1778</v>
      </c>
      <c r="Y48" s="88" t="s">
        <v>1779</v>
      </c>
    </row>
    <row r="49" spans="2:27" ht="17.45" customHeight="1">
      <c r="B49" s="351">
        <v>47</v>
      </c>
      <c r="C49" s="304">
        <v>41626</v>
      </c>
      <c r="D49" s="305">
        <v>7600943</v>
      </c>
      <c r="E49" s="306" t="s">
        <v>1869</v>
      </c>
      <c r="F49" s="306" t="s">
        <v>167</v>
      </c>
      <c r="G49" s="307" t="s">
        <v>1872</v>
      </c>
      <c r="H49" s="333">
        <v>1</v>
      </c>
      <c r="I49" s="305" t="s">
        <v>1878</v>
      </c>
      <c r="J49" s="338" t="s">
        <v>1810</v>
      </c>
      <c r="K49" s="308" t="s">
        <v>1604</v>
      </c>
      <c r="L49" s="308" t="s">
        <v>1600</v>
      </c>
      <c r="M49" s="307" t="s">
        <v>1610</v>
      </c>
      <c r="N49" s="313" t="s">
        <v>1574</v>
      </c>
      <c r="O49" s="313" t="s">
        <v>1572</v>
      </c>
      <c r="P49" s="329">
        <v>7600167</v>
      </c>
      <c r="Q49" s="1" t="s">
        <v>1615</v>
      </c>
      <c r="R49" s="1" t="s">
        <v>1606</v>
      </c>
      <c r="S49" s="327" t="s">
        <v>1667</v>
      </c>
      <c r="X49" s="88" t="s">
        <v>1778</v>
      </c>
      <c r="Y49" s="88" t="s">
        <v>1779</v>
      </c>
    </row>
    <row r="50" spans="2:27" ht="17.45" customHeight="1">
      <c r="B50" s="351">
        <v>48</v>
      </c>
      <c r="C50" s="304">
        <v>44096</v>
      </c>
      <c r="D50" s="305">
        <v>7601126</v>
      </c>
      <c r="E50" s="306" t="s">
        <v>1869</v>
      </c>
      <c r="F50" s="306" t="s">
        <v>178</v>
      </c>
      <c r="G50" s="307" t="s">
        <v>1872</v>
      </c>
      <c r="H50" s="331">
        <v>1</v>
      </c>
      <c r="I50" s="305" t="s">
        <v>1879</v>
      </c>
      <c r="J50" s="338" t="s">
        <v>1810</v>
      </c>
      <c r="K50" s="308" t="s">
        <v>1604</v>
      </c>
      <c r="L50" s="308" t="s">
        <v>1600</v>
      </c>
      <c r="M50" s="307" t="s">
        <v>1610</v>
      </c>
      <c r="N50" s="313" t="s">
        <v>1574</v>
      </c>
      <c r="O50" s="313" t="s">
        <v>1572</v>
      </c>
      <c r="P50" s="329">
        <v>7600167</v>
      </c>
      <c r="Q50" s="1" t="s">
        <v>1615</v>
      </c>
      <c r="R50" s="1" t="s">
        <v>1606</v>
      </c>
      <c r="S50" s="327" t="s">
        <v>1731</v>
      </c>
      <c r="X50" s="88" t="s">
        <v>1778</v>
      </c>
      <c r="Y50" s="88" t="s">
        <v>1779</v>
      </c>
    </row>
    <row r="51" spans="2:27" ht="17.45" customHeight="1">
      <c r="B51" s="351">
        <v>49</v>
      </c>
      <c r="C51" s="304">
        <v>40889</v>
      </c>
      <c r="D51" s="305">
        <v>7601213</v>
      </c>
      <c r="E51" s="306" t="s">
        <v>1869</v>
      </c>
      <c r="F51" s="306" t="s">
        <v>157</v>
      </c>
      <c r="G51" s="307" t="s">
        <v>1872</v>
      </c>
      <c r="H51" s="331">
        <v>1</v>
      </c>
      <c r="I51" s="305" t="s">
        <v>1880</v>
      </c>
      <c r="J51" s="338" t="s">
        <v>1810</v>
      </c>
      <c r="K51" s="308" t="s">
        <v>1604</v>
      </c>
      <c r="L51" s="308" t="s">
        <v>1600</v>
      </c>
      <c r="M51" s="307" t="s">
        <v>1610</v>
      </c>
      <c r="N51" s="313" t="s">
        <v>1574</v>
      </c>
      <c r="O51" s="313" t="s">
        <v>1572</v>
      </c>
      <c r="P51" s="329">
        <v>7600167</v>
      </c>
      <c r="Q51" s="1" t="s">
        <v>1615</v>
      </c>
      <c r="R51" s="1" t="s">
        <v>1606</v>
      </c>
      <c r="S51" s="327" t="s">
        <v>1636</v>
      </c>
      <c r="X51" s="88" t="s">
        <v>1778</v>
      </c>
      <c r="Y51" s="88" t="s">
        <v>1779</v>
      </c>
    </row>
    <row r="52" spans="2:27" ht="17.45" customHeight="1">
      <c r="B52" s="351">
        <v>50</v>
      </c>
      <c r="C52" s="304">
        <v>42333</v>
      </c>
      <c r="D52" s="305">
        <v>7600332</v>
      </c>
      <c r="E52" s="306" t="s">
        <v>1881</v>
      </c>
      <c r="F52" s="306" t="s">
        <v>440</v>
      </c>
      <c r="G52" s="307" t="s">
        <v>1872</v>
      </c>
      <c r="H52" s="333">
        <v>1</v>
      </c>
      <c r="I52" s="305" t="s">
        <v>1882</v>
      </c>
      <c r="J52" s="338" t="s">
        <v>1784</v>
      </c>
      <c r="K52" s="308" t="s">
        <v>1638</v>
      </c>
      <c r="L52" s="309" t="s">
        <v>1628</v>
      </c>
      <c r="M52" s="307" t="s">
        <v>1633</v>
      </c>
      <c r="N52" s="313" t="s">
        <v>1630</v>
      </c>
      <c r="O52" s="313" t="s">
        <v>1579</v>
      </c>
      <c r="P52" s="329">
        <v>7600332</v>
      </c>
      <c r="Q52" s="1" t="s">
        <v>1631</v>
      </c>
      <c r="R52" s="1" t="s">
        <v>1787</v>
      </c>
      <c r="S52" s="327" t="s">
        <v>1662</v>
      </c>
      <c r="X52" s="88" t="s">
        <v>1778</v>
      </c>
      <c r="Y52" s="88" t="s">
        <v>1779</v>
      </c>
    </row>
    <row r="53" spans="2:27" ht="17.45" customHeight="1">
      <c r="B53" s="351">
        <v>51</v>
      </c>
      <c r="C53" s="304">
        <v>37589</v>
      </c>
      <c r="D53" s="305">
        <v>7600845</v>
      </c>
      <c r="E53" s="306" t="s">
        <v>1881</v>
      </c>
      <c r="F53" s="306" t="s">
        <v>445</v>
      </c>
      <c r="G53" s="307" t="s">
        <v>1883</v>
      </c>
      <c r="H53" s="331">
        <v>2</v>
      </c>
      <c r="I53" s="305" t="s">
        <v>1884</v>
      </c>
      <c r="J53" s="338" t="s">
        <v>1784</v>
      </c>
      <c r="K53" s="308" t="s">
        <v>1638</v>
      </c>
      <c r="L53" s="309" t="s">
        <v>1628</v>
      </c>
      <c r="M53" s="307" t="s">
        <v>1633</v>
      </c>
      <c r="N53" s="313" t="s">
        <v>1630</v>
      </c>
      <c r="O53" s="313" t="s">
        <v>1579</v>
      </c>
      <c r="P53" s="329">
        <v>7600332</v>
      </c>
      <c r="Q53" s="1" t="s">
        <v>1631</v>
      </c>
      <c r="R53" s="1" t="s">
        <v>1787</v>
      </c>
      <c r="S53" s="327" t="s">
        <v>1632</v>
      </c>
      <c r="X53" s="88" t="s">
        <v>1778</v>
      </c>
      <c r="Y53" s="88" t="s">
        <v>1779</v>
      </c>
    </row>
    <row r="54" spans="2:27" ht="17.45" customHeight="1">
      <c r="B54" s="351">
        <v>52</v>
      </c>
      <c r="C54" s="304">
        <v>41999</v>
      </c>
      <c r="D54" s="305">
        <v>7600466</v>
      </c>
      <c r="E54" s="306" t="s">
        <v>1885</v>
      </c>
      <c r="F54" s="306" t="s">
        <v>1086</v>
      </c>
      <c r="G54" s="307" t="s">
        <v>1883</v>
      </c>
      <c r="H54" s="333">
        <v>2</v>
      </c>
      <c r="I54" s="305" t="s">
        <v>1886</v>
      </c>
      <c r="J54" s="338" t="s">
        <v>1774</v>
      </c>
      <c r="K54" s="308" t="s">
        <v>1721</v>
      </c>
      <c r="L54" s="308" t="s">
        <v>1706</v>
      </c>
      <c r="M54" s="307" t="s">
        <v>1745</v>
      </c>
      <c r="N54" s="313" t="s">
        <v>1811</v>
      </c>
      <c r="O54" s="313" t="s">
        <v>1590</v>
      </c>
      <c r="P54" s="329">
        <v>7600466</v>
      </c>
      <c r="Q54" s="1" t="s">
        <v>552</v>
      </c>
      <c r="R54" s="1" t="s">
        <v>1723</v>
      </c>
      <c r="S54" s="327" t="s">
        <v>1627</v>
      </c>
      <c r="X54" s="88" t="s">
        <v>1778</v>
      </c>
      <c r="Y54" s="88" t="s">
        <v>1779</v>
      </c>
    </row>
    <row r="55" spans="2:27" ht="17.45" customHeight="1">
      <c r="B55" s="351">
        <v>53</v>
      </c>
      <c r="C55" s="304">
        <v>41631</v>
      </c>
      <c r="D55" s="305">
        <v>7600718</v>
      </c>
      <c r="E55" s="306" t="s">
        <v>1885</v>
      </c>
      <c r="F55" s="306" t="s">
        <v>1083</v>
      </c>
      <c r="G55" s="307" t="s">
        <v>1887</v>
      </c>
      <c r="H55" s="333">
        <v>4</v>
      </c>
      <c r="I55" s="305" t="s">
        <v>1888</v>
      </c>
      <c r="J55" s="338" t="s">
        <v>1774</v>
      </c>
      <c r="K55" s="308" t="s">
        <v>1721</v>
      </c>
      <c r="L55" s="308" t="s">
        <v>1706</v>
      </c>
      <c r="M55" s="307" t="s">
        <v>1745</v>
      </c>
      <c r="N55" s="313" t="s">
        <v>1811</v>
      </c>
      <c r="O55" s="313" t="s">
        <v>1590</v>
      </c>
      <c r="P55" s="329">
        <v>7600466</v>
      </c>
      <c r="Q55" s="1" t="s">
        <v>552</v>
      </c>
      <c r="R55" s="1" t="s">
        <v>1723</v>
      </c>
      <c r="S55" s="327" t="s">
        <v>1710</v>
      </c>
      <c r="X55" s="88" t="s">
        <v>1778</v>
      </c>
      <c r="Y55" s="88" t="s">
        <v>1779</v>
      </c>
    </row>
    <row r="56" spans="2:27" ht="17.45" customHeight="1">
      <c r="B56" s="351">
        <v>54</v>
      </c>
      <c r="C56" s="304">
        <v>41425</v>
      </c>
      <c r="D56" s="305">
        <v>7601158</v>
      </c>
      <c r="E56" s="306" t="s">
        <v>1885</v>
      </c>
      <c r="F56" s="306" t="s">
        <v>1088</v>
      </c>
      <c r="G56" s="307" t="s">
        <v>1889</v>
      </c>
      <c r="H56" s="333">
        <v>3</v>
      </c>
      <c r="I56" s="305" t="s">
        <v>1890</v>
      </c>
      <c r="J56" s="338" t="s">
        <v>1774</v>
      </c>
      <c r="K56" s="308" t="s">
        <v>1721</v>
      </c>
      <c r="L56" s="308" t="s">
        <v>1706</v>
      </c>
      <c r="M56" s="307" t="s">
        <v>1746</v>
      </c>
      <c r="N56" s="313" t="s">
        <v>1811</v>
      </c>
      <c r="O56" s="313" t="s">
        <v>1590</v>
      </c>
      <c r="P56" s="329">
        <v>7601155</v>
      </c>
      <c r="Q56" s="1" t="s">
        <v>552</v>
      </c>
      <c r="R56" s="1" t="s">
        <v>1723</v>
      </c>
      <c r="S56" s="327" t="s">
        <v>1673</v>
      </c>
      <c r="X56" s="88" t="s">
        <v>1778</v>
      </c>
      <c r="Y56" s="88" t="s">
        <v>1779</v>
      </c>
    </row>
    <row r="57" spans="2:27" ht="17.45" customHeight="1">
      <c r="B57" s="351">
        <v>55</v>
      </c>
      <c r="C57" s="304">
        <v>39072</v>
      </c>
      <c r="D57" s="305">
        <v>7601153</v>
      </c>
      <c r="E57" s="306" t="s">
        <v>1885</v>
      </c>
      <c r="F57" s="306" t="s">
        <v>1091</v>
      </c>
      <c r="G57" s="307" t="s">
        <v>1891</v>
      </c>
      <c r="H57" s="331">
        <v>3</v>
      </c>
      <c r="I57" s="305" t="s">
        <v>1892</v>
      </c>
      <c r="J57" s="338" t="s">
        <v>1774</v>
      </c>
      <c r="K57" s="308" t="s">
        <v>1721</v>
      </c>
      <c r="L57" s="308" t="s">
        <v>1706</v>
      </c>
      <c r="M57" s="307" t="s">
        <v>1747</v>
      </c>
      <c r="N57" s="313" t="s">
        <v>1811</v>
      </c>
      <c r="O57" s="313" t="s">
        <v>1590</v>
      </c>
      <c r="P57" s="329">
        <v>7601153</v>
      </c>
      <c r="Q57" s="1" t="s">
        <v>552</v>
      </c>
      <c r="R57" s="1" t="s">
        <v>1723</v>
      </c>
      <c r="S57" s="327" t="s">
        <v>1626</v>
      </c>
      <c r="X57" s="88" t="s">
        <v>1778</v>
      </c>
      <c r="Y57" s="88" t="s">
        <v>1779</v>
      </c>
    </row>
    <row r="58" spans="2:27" ht="17.45" customHeight="1">
      <c r="B58" s="351">
        <v>56</v>
      </c>
      <c r="C58" s="304">
        <v>43819</v>
      </c>
      <c r="D58" s="305">
        <v>7601156</v>
      </c>
      <c r="E58" s="306" t="s">
        <v>1885</v>
      </c>
      <c r="F58" s="306" t="s">
        <v>1072</v>
      </c>
      <c r="G58" s="307" t="s">
        <v>1889</v>
      </c>
      <c r="H58" s="333">
        <v>3</v>
      </c>
      <c r="I58" s="305" t="s">
        <v>1893</v>
      </c>
      <c r="J58" s="338" t="s">
        <v>1774</v>
      </c>
      <c r="K58" s="308" t="s">
        <v>1721</v>
      </c>
      <c r="L58" s="308" t="s">
        <v>1706</v>
      </c>
      <c r="M58" s="307" t="s">
        <v>1748</v>
      </c>
      <c r="N58" s="313" t="s">
        <v>1811</v>
      </c>
      <c r="O58" s="313" t="s">
        <v>1590</v>
      </c>
      <c r="P58" s="329">
        <v>7601156</v>
      </c>
      <c r="Q58" s="1" t="s">
        <v>552</v>
      </c>
      <c r="R58" s="1" t="s">
        <v>1723</v>
      </c>
      <c r="S58" s="327" t="s">
        <v>1692</v>
      </c>
      <c r="X58" s="88" t="s">
        <v>1778</v>
      </c>
      <c r="Y58" s="88" t="s">
        <v>1779</v>
      </c>
      <c r="AA58" s="313"/>
    </row>
    <row r="59" spans="2:27" ht="17.45" customHeight="1">
      <c r="B59" s="351">
        <v>57</v>
      </c>
      <c r="C59" s="304">
        <v>36091</v>
      </c>
      <c r="D59" s="305">
        <v>7601159</v>
      </c>
      <c r="E59" s="306" t="s">
        <v>1885</v>
      </c>
      <c r="F59" s="306" t="s">
        <v>1094</v>
      </c>
      <c r="G59" s="307" t="s">
        <v>1894</v>
      </c>
      <c r="H59" s="331">
        <v>3</v>
      </c>
      <c r="I59" s="305" t="s">
        <v>1895</v>
      </c>
      <c r="J59" s="338" t="s">
        <v>1774</v>
      </c>
      <c r="K59" s="308" t="s">
        <v>1721</v>
      </c>
      <c r="L59" s="308" t="s">
        <v>1706</v>
      </c>
      <c r="M59" s="307" t="s">
        <v>1747</v>
      </c>
      <c r="N59" s="313" t="s">
        <v>1811</v>
      </c>
      <c r="O59" s="313" t="s">
        <v>1590</v>
      </c>
      <c r="P59" s="329">
        <v>7601153</v>
      </c>
      <c r="Q59" s="1" t="s">
        <v>552</v>
      </c>
      <c r="R59" s="1" t="s">
        <v>1723</v>
      </c>
      <c r="S59" s="327" t="s">
        <v>1704</v>
      </c>
      <c r="X59" s="88" t="s">
        <v>1778</v>
      </c>
      <c r="Y59" s="88" t="s">
        <v>1779</v>
      </c>
      <c r="AA59" s="313"/>
    </row>
    <row r="60" spans="2:27" ht="17.45" customHeight="1">
      <c r="B60" s="351">
        <v>58</v>
      </c>
      <c r="C60" s="304">
        <v>36301</v>
      </c>
      <c r="D60" s="305">
        <v>7601135</v>
      </c>
      <c r="E60" s="306" t="s">
        <v>1885</v>
      </c>
      <c r="F60" s="306" t="s">
        <v>1079</v>
      </c>
      <c r="G60" s="307" t="s">
        <v>1894</v>
      </c>
      <c r="H60" s="331">
        <v>3</v>
      </c>
      <c r="I60" s="305" t="s">
        <v>1896</v>
      </c>
      <c r="J60" s="338" t="s">
        <v>1774</v>
      </c>
      <c r="K60" s="308" t="s">
        <v>1721</v>
      </c>
      <c r="L60" s="308" t="s">
        <v>1706</v>
      </c>
      <c r="M60" s="307" t="s">
        <v>1748</v>
      </c>
      <c r="N60" s="313" t="s">
        <v>1811</v>
      </c>
      <c r="O60" s="313" t="s">
        <v>1590</v>
      </c>
      <c r="P60" s="329">
        <v>7601156</v>
      </c>
      <c r="Q60" s="1" t="s">
        <v>552</v>
      </c>
      <c r="R60" s="1" t="s">
        <v>1723</v>
      </c>
      <c r="S60" s="327" t="s">
        <v>1897</v>
      </c>
      <c r="X60" s="88" t="s">
        <v>1778</v>
      </c>
      <c r="Y60" s="88" t="s">
        <v>1779</v>
      </c>
    </row>
    <row r="61" spans="2:27" ht="17.45" customHeight="1">
      <c r="B61" s="351">
        <v>59</v>
      </c>
      <c r="C61" s="304"/>
      <c r="D61" s="350">
        <v>7601155</v>
      </c>
      <c r="E61" s="306" t="s">
        <v>1885</v>
      </c>
      <c r="F61" s="306" t="s">
        <v>1098</v>
      </c>
      <c r="G61" s="307"/>
      <c r="H61" s="333"/>
      <c r="I61" s="305" t="s">
        <v>1898</v>
      </c>
      <c r="J61" s="338" t="s">
        <v>1774</v>
      </c>
      <c r="K61" s="308" t="s">
        <v>1721</v>
      </c>
      <c r="L61" s="308" t="s">
        <v>1706</v>
      </c>
      <c r="M61" s="307" t="s">
        <v>1746</v>
      </c>
      <c r="N61" s="313" t="s">
        <v>1811</v>
      </c>
      <c r="O61" s="313" t="s">
        <v>1590</v>
      </c>
      <c r="P61" s="329">
        <v>7601155</v>
      </c>
      <c r="Q61" s="1" t="s">
        <v>552</v>
      </c>
      <c r="R61" s="1" t="s">
        <v>1723</v>
      </c>
      <c r="S61" s="327"/>
      <c r="X61" s="88" t="s">
        <v>1778</v>
      </c>
      <c r="Y61" s="88" t="s">
        <v>1779</v>
      </c>
      <c r="AA61" s="313"/>
    </row>
    <row r="62" spans="2:27" ht="17.45" customHeight="1">
      <c r="B62" s="351">
        <v>60</v>
      </c>
      <c r="C62" s="304">
        <v>36867</v>
      </c>
      <c r="D62" s="305">
        <v>7601154</v>
      </c>
      <c r="E62" s="306" t="s">
        <v>1885</v>
      </c>
      <c r="F62" s="306" t="s">
        <v>1101</v>
      </c>
      <c r="G62" s="307" t="s">
        <v>1899</v>
      </c>
      <c r="H62" s="331">
        <v>1</v>
      </c>
      <c r="I62" s="305" t="s">
        <v>1900</v>
      </c>
      <c r="J62" s="338" t="s">
        <v>1774</v>
      </c>
      <c r="K62" s="308" t="s">
        <v>1721</v>
      </c>
      <c r="L62" s="308" t="s">
        <v>1706</v>
      </c>
      <c r="M62" s="307" t="s">
        <v>1746</v>
      </c>
      <c r="N62" s="313" t="s">
        <v>1811</v>
      </c>
      <c r="O62" s="313" t="s">
        <v>1590</v>
      </c>
      <c r="P62" s="329">
        <v>7601155</v>
      </c>
      <c r="Q62" s="1" t="s">
        <v>552</v>
      </c>
      <c r="R62" s="1" t="s">
        <v>1723</v>
      </c>
      <c r="S62" s="327" t="s">
        <v>1697</v>
      </c>
      <c r="X62" s="88" t="s">
        <v>1778</v>
      </c>
      <c r="Y62" s="88" t="s">
        <v>1779</v>
      </c>
    </row>
    <row r="63" spans="2:27" ht="17.45" customHeight="1">
      <c r="B63" s="351">
        <v>61</v>
      </c>
      <c r="C63" s="304">
        <v>41240</v>
      </c>
      <c r="D63" s="305">
        <v>7601196</v>
      </c>
      <c r="E63" s="306" t="s">
        <v>1885</v>
      </c>
      <c r="F63" s="306" t="s">
        <v>1102</v>
      </c>
      <c r="G63" s="307" t="s">
        <v>1899</v>
      </c>
      <c r="H63" s="333">
        <v>1</v>
      </c>
      <c r="I63" s="305" t="s">
        <v>1901</v>
      </c>
      <c r="J63" s="338" t="s">
        <v>1774</v>
      </c>
      <c r="K63" s="308" t="s">
        <v>1721</v>
      </c>
      <c r="L63" s="308" t="s">
        <v>1706</v>
      </c>
      <c r="M63" s="307" t="s">
        <v>1745</v>
      </c>
      <c r="N63" s="313" t="s">
        <v>1811</v>
      </c>
      <c r="O63" s="313" t="s">
        <v>1590</v>
      </c>
      <c r="P63" s="329">
        <v>7600466</v>
      </c>
      <c r="Q63" s="1" t="s">
        <v>552</v>
      </c>
      <c r="R63" s="1" t="s">
        <v>1723</v>
      </c>
      <c r="S63" s="327" t="s">
        <v>1656</v>
      </c>
      <c r="X63" s="88" t="s">
        <v>1778</v>
      </c>
      <c r="Y63" s="88" t="s">
        <v>1779</v>
      </c>
    </row>
    <row r="64" spans="2:27" ht="17.45" customHeight="1">
      <c r="B64" s="351">
        <v>62</v>
      </c>
      <c r="C64" s="304">
        <v>41486</v>
      </c>
      <c r="D64" s="305">
        <v>7601291</v>
      </c>
      <c r="E64" s="306" t="s">
        <v>1885</v>
      </c>
      <c r="F64" s="306" t="s">
        <v>1169</v>
      </c>
      <c r="G64" s="307" t="s">
        <v>1899</v>
      </c>
      <c r="H64" s="333">
        <v>1</v>
      </c>
      <c r="I64" s="305" t="s">
        <v>1902</v>
      </c>
      <c r="J64" s="338" t="s">
        <v>1774</v>
      </c>
      <c r="K64" s="308" t="s">
        <v>1721</v>
      </c>
      <c r="L64" s="308" t="s">
        <v>1706</v>
      </c>
      <c r="M64" s="307" t="s">
        <v>1903</v>
      </c>
      <c r="N64" s="313" t="s">
        <v>1811</v>
      </c>
      <c r="O64" s="313" t="s">
        <v>1590</v>
      </c>
      <c r="P64" s="329">
        <v>7601291</v>
      </c>
      <c r="Q64" s="1" t="s">
        <v>552</v>
      </c>
      <c r="R64" s="1" t="s">
        <v>1723</v>
      </c>
      <c r="S64" s="327" t="s">
        <v>1651</v>
      </c>
      <c r="X64" s="88" t="s">
        <v>1778</v>
      </c>
      <c r="Y64" s="88" t="s">
        <v>1779</v>
      </c>
    </row>
    <row r="65" spans="1:25" ht="17.45" customHeight="1">
      <c r="B65" s="351">
        <v>63</v>
      </c>
      <c r="C65" s="304">
        <v>41607</v>
      </c>
      <c r="D65" s="305">
        <v>7601292</v>
      </c>
      <c r="E65" s="306" t="s">
        <v>1885</v>
      </c>
      <c r="F65" s="306" t="s">
        <v>1170</v>
      </c>
      <c r="G65" s="307" t="s">
        <v>1899</v>
      </c>
      <c r="H65" s="333">
        <v>1</v>
      </c>
      <c r="I65" s="305" t="s">
        <v>1904</v>
      </c>
      <c r="J65" s="338" t="s">
        <v>1774</v>
      </c>
      <c r="K65" s="308" t="s">
        <v>1721</v>
      </c>
      <c r="L65" s="308" t="s">
        <v>1706</v>
      </c>
      <c r="M65" s="307" t="s">
        <v>1903</v>
      </c>
      <c r="N65" s="313" t="s">
        <v>1811</v>
      </c>
      <c r="O65" s="313" t="s">
        <v>1590</v>
      </c>
      <c r="P65" s="329">
        <v>7601291</v>
      </c>
      <c r="Q65" s="1" t="s">
        <v>552</v>
      </c>
      <c r="R65" s="1" t="s">
        <v>1723</v>
      </c>
      <c r="S65" s="327" t="s">
        <v>1643</v>
      </c>
      <c r="X65" s="88" t="s">
        <v>1778</v>
      </c>
      <c r="Y65" s="88" t="s">
        <v>1779</v>
      </c>
    </row>
    <row r="66" spans="1:25" ht="17.45" customHeight="1">
      <c r="B66" s="351">
        <v>64</v>
      </c>
      <c r="C66" s="304">
        <v>36307</v>
      </c>
      <c r="D66" s="305">
        <v>7600678</v>
      </c>
      <c r="E66" s="306" t="s">
        <v>1905</v>
      </c>
      <c r="F66" s="306" t="s">
        <v>1049</v>
      </c>
      <c r="G66" s="307" t="s">
        <v>1899</v>
      </c>
      <c r="H66" s="331">
        <v>1</v>
      </c>
      <c r="I66" s="305" t="s">
        <v>1906</v>
      </c>
      <c r="J66" s="338" t="s">
        <v>1774</v>
      </c>
      <c r="K66" s="308" t="s">
        <v>1775</v>
      </c>
      <c r="L66" s="309" t="s">
        <v>1775</v>
      </c>
      <c r="M66" s="307" t="s">
        <v>1738</v>
      </c>
      <c r="N66" s="313" t="s">
        <v>1776</v>
      </c>
      <c r="O66" s="313" t="s">
        <v>1776</v>
      </c>
      <c r="P66" s="329">
        <v>7600678</v>
      </c>
      <c r="Q66" s="352" t="s">
        <v>1777</v>
      </c>
      <c r="R66" s="352" t="s">
        <v>1777</v>
      </c>
      <c r="S66" s="327" t="s">
        <v>1907</v>
      </c>
      <c r="X66" s="88" t="s">
        <v>1778</v>
      </c>
      <c r="Y66" s="88" t="s">
        <v>1779</v>
      </c>
    </row>
    <row r="67" spans="1:25" ht="17.45" customHeight="1">
      <c r="B67" s="351">
        <v>65</v>
      </c>
      <c r="C67" s="304"/>
      <c r="D67" s="350">
        <v>7600417</v>
      </c>
      <c r="E67" s="306" t="s">
        <v>1908</v>
      </c>
      <c r="F67" s="306" t="s">
        <v>687</v>
      </c>
      <c r="G67" s="307"/>
      <c r="H67" s="333"/>
      <c r="I67" s="305" t="s">
        <v>1909</v>
      </c>
      <c r="J67" s="338" t="s">
        <v>1802</v>
      </c>
      <c r="K67" s="308" t="s">
        <v>1682</v>
      </c>
      <c r="L67" s="309" t="s">
        <v>1661</v>
      </c>
      <c r="M67" s="307" t="s">
        <v>1680</v>
      </c>
      <c r="N67" s="313" t="s">
        <v>1585</v>
      </c>
      <c r="O67" s="313" t="s">
        <v>1583</v>
      </c>
      <c r="P67" s="329">
        <v>7600417</v>
      </c>
      <c r="Q67" s="1" t="s">
        <v>1670</v>
      </c>
      <c r="R67" s="1" t="s">
        <v>1679</v>
      </c>
      <c r="S67" s="327"/>
      <c r="X67" s="88" t="s">
        <v>1778</v>
      </c>
      <c r="Y67" s="88" t="s">
        <v>1779</v>
      </c>
    </row>
    <row r="68" spans="1:25" ht="17.45" customHeight="1">
      <c r="B68" s="351">
        <v>66</v>
      </c>
      <c r="C68" s="304"/>
      <c r="D68" s="350">
        <v>7601188</v>
      </c>
      <c r="E68" s="306" t="s">
        <v>1908</v>
      </c>
      <c r="F68" s="306" t="s">
        <v>682</v>
      </c>
      <c r="G68" s="307"/>
      <c r="H68" s="333"/>
      <c r="I68" s="305" t="s">
        <v>1910</v>
      </c>
      <c r="J68" s="338" t="s">
        <v>1802</v>
      </c>
      <c r="K68" s="308" t="s">
        <v>1682</v>
      </c>
      <c r="L68" s="309" t="s">
        <v>1661</v>
      </c>
      <c r="M68" s="307" t="s">
        <v>1680</v>
      </c>
      <c r="N68" s="313" t="s">
        <v>1585</v>
      </c>
      <c r="O68" s="313" t="s">
        <v>1583</v>
      </c>
      <c r="P68" s="329">
        <v>7600417</v>
      </c>
      <c r="Q68" s="1" t="s">
        <v>1670</v>
      </c>
      <c r="R68" s="1" t="s">
        <v>1679</v>
      </c>
      <c r="S68" s="327"/>
      <c r="X68" s="88"/>
      <c r="Y68" s="88"/>
    </row>
    <row r="69" spans="1:25" ht="17.45" customHeight="1">
      <c r="B69" s="351">
        <v>67</v>
      </c>
      <c r="C69" s="304">
        <v>42873</v>
      </c>
      <c r="D69" s="305">
        <v>7601109</v>
      </c>
      <c r="E69" s="306" t="s">
        <v>1908</v>
      </c>
      <c r="F69" s="306" t="s">
        <v>691</v>
      </c>
      <c r="G69" s="307" t="s">
        <v>1911</v>
      </c>
      <c r="H69" s="333">
        <v>1</v>
      </c>
      <c r="I69" s="305" t="s">
        <v>1912</v>
      </c>
      <c r="J69" s="338" t="s">
        <v>1802</v>
      </c>
      <c r="K69" s="308" t="s">
        <v>1682</v>
      </c>
      <c r="L69" s="309" t="s">
        <v>1661</v>
      </c>
      <c r="M69" s="307" t="s">
        <v>1680</v>
      </c>
      <c r="N69" s="313" t="s">
        <v>1585</v>
      </c>
      <c r="O69" s="313" t="s">
        <v>1583</v>
      </c>
      <c r="P69" s="329">
        <v>7600417</v>
      </c>
      <c r="Q69" s="1" t="s">
        <v>1670</v>
      </c>
      <c r="R69" s="1" t="s">
        <v>1679</v>
      </c>
      <c r="S69" s="328" t="s">
        <v>1655</v>
      </c>
      <c r="X69" s="88"/>
      <c r="Y69" s="88"/>
    </row>
    <row r="70" spans="1:25" ht="17.45" customHeight="1">
      <c r="B70" s="351">
        <v>68</v>
      </c>
      <c r="C70" s="304">
        <v>42270</v>
      </c>
      <c r="D70" s="305">
        <v>7600088</v>
      </c>
      <c r="E70" s="306" t="s">
        <v>1913</v>
      </c>
      <c r="F70" s="306" t="s">
        <v>771</v>
      </c>
      <c r="G70" s="307" t="s">
        <v>1899</v>
      </c>
      <c r="H70" s="333">
        <v>1</v>
      </c>
      <c r="I70" s="305" t="s">
        <v>1914</v>
      </c>
      <c r="J70" s="338" t="s">
        <v>1802</v>
      </c>
      <c r="K70" s="308" t="s">
        <v>1668</v>
      </c>
      <c r="L70" s="309" t="s">
        <v>1661</v>
      </c>
      <c r="M70" s="307" t="s">
        <v>1691</v>
      </c>
      <c r="N70" s="313" t="s">
        <v>1826</v>
      </c>
      <c r="O70" s="313" t="s">
        <v>1583</v>
      </c>
      <c r="P70" s="329">
        <v>7600088</v>
      </c>
      <c r="Q70" s="1" t="s">
        <v>1827</v>
      </c>
      <c r="R70" s="1" t="s">
        <v>1679</v>
      </c>
      <c r="S70" s="327" t="s">
        <v>1733</v>
      </c>
      <c r="X70" s="88"/>
      <c r="Y70" s="88"/>
    </row>
    <row r="71" spans="1:25" ht="17.45" customHeight="1">
      <c r="B71" s="351">
        <v>69</v>
      </c>
      <c r="C71" s="304">
        <v>42870</v>
      </c>
      <c r="D71" s="305">
        <v>7600111</v>
      </c>
      <c r="E71" s="306" t="s">
        <v>1913</v>
      </c>
      <c r="F71" s="306" t="s">
        <v>776</v>
      </c>
      <c r="G71" s="307" t="s">
        <v>1899</v>
      </c>
      <c r="H71" s="333">
        <v>1</v>
      </c>
      <c r="I71" s="305" t="s">
        <v>1915</v>
      </c>
      <c r="J71" s="338" t="s">
        <v>1802</v>
      </c>
      <c r="K71" s="308" t="s">
        <v>1668</v>
      </c>
      <c r="L71" s="309" t="s">
        <v>1661</v>
      </c>
      <c r="M71" s="307" t="s">
        <v>1691</v>
      </c>
      <c r="N71" s="313" t="s">
        <v>1826</v>
      </c>
      <c r="O71" s="313" t="s">
        <v>1583</v>
      </c>
      <c r="P71" s="329">
        <v>7600088</v>
      </c>
      <c r="Q71" s="1" t="s">
        <v>1827</v>
      </c>
      <c r="R71" s="1" t="s">
        <v>1679</v>
      </c>
      <c r="S71" s="327" t="s">
        <v>1698</v>
      </c>
      <c r="X71" s="88" t="s">
        <v>1778</v>
      </c>
      <c r="Y71" s="88" t="s">
        <v>1779</v>
      </c>
    </row>
    <row r="72" spans="1:25" ht="17.45" customHeight="1">
      <c r="B72" s="351">
        <v>70</v>
      </c>
      <c r="C72" s="304">
        <v>41264</v>
      </c>
      <c r="D72" s="305">
        <v>7600109</v>
      </c>
      <c r="E72" s="306" t="s">
        <v>1916</v>
      </c>
      <c r="F72" s="306" t="s">
        <v>195</v>
      </c>
      <c r="G72" s="307" t="s">
        <v>1899</v>
      </c>
      <c r="H72" s="331">
        <v>1</v>
      </c>
      <c r="I72" s="305" t="s">
        <v>1917</v>
      </c>
      <c r="J72" s="338" t="s">
        <v>1810</v>
      </c>
      <c r="K72" s="308" t="s">
        <v>1609</v>
      </c>
      <c r="L72" s="308" t="s">
        <v>1600</v>
      </c>
      <c r="M72" s="307" t="s">
        <v>1619</v>
      </c>
      <c r="N72" s="313" t="s">
        <v>1575</v>
      </c>
      <c r="O72" s="313" t="s">
        <v>1572</v>
      </c>
      <c r="P72" s="329">
        <v>7600109</v>
      </c>
      <c r="Q72" s="1" t="s">
        <v>1620</v>
      </c>
      <c r="R72" s="1" t="s">
        <v>1606</v>
      </c>
      <c r="S72" s="327" t="s">
        <v>1918</v>
      </c>
      <c r="X72" s="88" t="s">
        <v>1778</v>
      </c>
      <c r="Y72" s="88" t="s">
        <v>1779</v>
      </c>
    </row>
    <row r="73" spans="1:25" ht="17.45" customHeight="1">
      <c r="B73" s="351">
        <v>71</v>
      </c>
      <c r="C73" s="304">
        <v>41787</v>
      </c>
      <c r="D73" s="305">
        <v>7600192</v>
      </c>
      <c r="E73" s="306" t="s">
        <v>1916</v>
      </c>
      <c r="F73" s="306" t="s">
        <v>183</v>
      </c>
      <c r="G73" s="307" t="s">
        <v>1899</v>
      </c>
      <c r="H73" s="333">
        <v>1</v>
      </c>
      <c r="I73" s="305" t="s">
        <v>1919</v>
      </c>
      <c r="J73" s="338" t="s">
        <v>1810</v>
      </c>
      <c r="K73" s="308" t="s">
        <v>1609</v>
      </c>
      <c r="L73" s="308" t="s">
        <v>1600</v>
      </c>
      <c r="M73" s="307" t="s">
        <v>1619</v>
      </c>
      <c r="N73" s="313" t="s">
        <v>1575</v>
      </c>
      <c r="O73" s="313" t="s">
        <v>1572</v>
      </c>
      <c r="P73" s="329">
        <v>7600109</v>
      </c>
      <c r="Q73" s="1" t="s">
        <v>1620</v>
      </c>
      <c r="R73" s="1" t="s">
        <v>1606</v>
      </c>
      <c r="S73" s="327" t="s">
        <v>1599</v>
      </c>
      <c r="X73" s="88" t="s">
        <v>1778</v>
      </c>
      <c r="Y73" s="88" t="s">
        <v>1779</v>
      </c>
    </row>
    <row r="74" spans="1:25" ht="17.45" customHeight="1">
      <c r="B74" s="351">
        <v>72</v>
      </c>
      <c r="C74" s="304">
        <v>41612</v>
      </c>
      <c r="D74" s="305">
        <v>7600692</v>
      </c>
      <c r="E74" s="306" t="s">
        <v>1916</v>
      </c>
      <c r="F74" s="306" t="s">
        <v>189</v>
      </c>
      <c r="G74" s="307" t="s">
        <v>1920</v>
      </c>
      <c r="H74" s="331">
        <v>4</v>
      </c>
      <c r="I74" s="305" t="s">
        <v>1921</v>
      </c>
      <c r="J74" s="338" t="s">
        <v>1810</v>
      </c>
      <c r="K74" s="308" t="s">
        <v>1609</v>
      </c>
      <c r="L74" s="308" t="s">
        <v>1600</v>
      </c>
      <c r="M74" s="307" t="s">
        <v>1619</v>
      </c>
      <c r="N74" s="313" t="s">
        <v>1575</v>
      </c>
      <c r="O74" s="313" t="s">
        <v>1572</v>
      </c>
      <c r="P74" s="329">
        <v>7600109</v>
      </c>
      <c r="Q74" s="1" t="s">
        <v>1620</v>
      </c>
      <c r="R74" s="1" t="s">
        <v>1606</v>
      </c>
      <c r="S74" s="327" t="s">
        <v>1683</v>
      </c>
      <c r="X74" s="88" t="s">
        <v>1778</v>
      </c>
      <c r="Y74" s="88" t="s">
        <v>1779</v>
      </c>
    </row>
    <row r="75" spans="1:25" s="365" customFormat="1" ht="17.45" customHeight="1">
      <c r="A75" s="366"/>
      <c r="B75" s="360">
        <v>73</v>
      </c>
      <c r="C75" s="321"/>
      <c r="D75" s="363">
        <v>7600752</v>
      </c>
      <c r="E75" s="323" t="s">
        <v>1916</v>
      </c>
      <c r="F75" s="306" t="s">
        <v>1922</v>
      </c>
      <c r="G75" s="368"/>
      <c r="H75" s="362">
        <v>4</v>
      </c>
      <c r="I75" s="305" t="s">
        <v>1923</v>
      </c>
      <c r="J75" s="339" t="s">
        <v>1810</v>
      </c>
      <c r="K75" s="308" t="s">
        <v>1609</v>
      </c>
      <c r="L75" s="308" t="s">
        <v>1600</v>
      </c>
      <c r="M75" s="307" t="s">
        <v>1619</v>
      </c>
      <c r="N75" s="313" t="s">
        <v>1575</v>
      </c>
      <c r="O75" s="313" t="s">
        <v>1572</v>
      </c>
      <c r="P75" s="329">
        <v>7600109</v>
      </c>
      <c r="Q75" s="1" t="s">
        <v>1620</v>
      </c>
      <c r="R75" s="1" t="s">
        <v>1606</v>
      </c>
      <c r="S75" s="354"/>
      <c r="T75" s="367"/>
      <c r="X75" s="364" t="s">
        <v>1778</v>
      </c>
      <c r="Y75" s="364" t="s">
        <v>1779</v>
      </c>
    </row>
    <row r="76" spans="1:25" ht="17.45" customHeight="1">
      <c r="B76" s="351">
        <v>74</v>
      </c>
      <c r="C76" s="304">
        <v>39289</v>
      </c>
      <c r="D76" s="305">
        <v>7600762</v>
      </c>
      <c r="E76" s="306" t="s">
        <v>1916</v>
      </c>
      <c r="F76" s="306" t="s">
        <v>192</v>
      </c>
      <c r="G76" s="307" t="s">
        <v>1920</v>
      </c>
      <c r="H76" s="331">
        <v>4</v>
      </c>
      <c r="I76" s="305" t="s">
        <v>1924</v>
      </c>
      <c r="J76" s="338" t="s">
        <v>1810</v>
      </c>
      <c r="K76" s="308" t="s">
        <v>1609</v>
      </c>
      <c r="L76" s="308" t="s">
        <v>1600</v>
      </c>
      <c r="M76" s="307" t="s">
        <v>1619</v>
      </c>
      <c r="N76" s="313" t="s">
        <v>1575</v>
      </c>
      <c r="O76" s="313" t="s">
        <v>1572</v>
      </c>
      <c r="P76" s="329">
        <v>7600109</v>
      </c>
      <c r="Q76" s="1" t="s">
        <v>1620</v>
      </c>
      <c r="R76" s="1" t="s">
        <v>1606</v>
      </c>
      <c r="S76" s="327" t="s">
        <v>1750</v>
      </c>
      <c r="X76" s="88" t="s">
        <v>1778</v>
      </c>
      <c r="Y76" s="88" t="s">
        <v>1779</v>
      </c>
    </row>
    <row r="77" spans="1:25" ht="17.45" customHeight="1">
      <c r="B77" s="351">
        <v>75</v>
      </c>
      <c r="C77" s="304">
        <v>36867</v>
      </c>
      <c r="D77" s="305">
        <v>7600808</v>
      </c>
      <c r="E77" s="307" t="s">
        <v>1916</v>
      </c>
      <c r="F77" s="306" t="s">
        <v>204</v>
      </c>
      <c r="G77" s="319" t="s">
        <v>1920</v>
      </c>
      <c r="H77" s="333">
        <v>4</v>
      </c>
      <c r="I77" s="305" t="s">
        <v>1925</v>
      </c>
      <c r="J77" s="338" t="s">
        <v>1810</v>
      </c>
      <c r="K77" s="308" t="s">
        <v>1609</v>
      </c>
      <c r="L77" s="308" t="s">
        <v>1600</v>
      </c>
      <c r="M77" s="307" t="s">
        <v>1619</v>
      </c>
      <c r="N77" s="313" t="s">
        <v>1575</v>
      </c>
      <c r="O77" s="313" t="s">
        <v>1572</v>
      </c>
      <c r="P77" s="329">
        <v>7600109</v>
      </c>
      <c r="Q77" s="1" t="s">
        <v>1620</v>
      </c>
      <c r="R77" s="1" t="s">
        <v>1606</v>
      </c>
      <c r="S77" s="327" t="s">
        <v>1742</v>
      </c>
      <c r="X77" s="88" t="s">
        <v>1778</v>
      </c>
      <c r="Y77" s="88" t="s">
        <v>1779</v>
      </c>
    </row>
    <row r="78" spans="1:25" s="365" customFormat="1" ht="17.45" customHeight="1">
      <c r="A78" s="366"/>
      <c r="B78" s="360">
        <v>76</v>
      </c>
      <c r="C78" s="321"/>
      <c r="D78" s="363">
        <v>7600871</v>
      </c>
      <c r="E78" s="323" t="s">
        <v>1916</v>
      </c>
      <c r="F78" s="306" t="s">
        <v>200</v>
      </c>
      <c r="G78" s="368"/>
      <c r="H78" s="362">
        <v>4</v>
      </c>
      <c r="I78" s="305" t="s">
        <v>1926</v>
      </c>
      <c r="J78" s="339" t="s">
        <v>1810</v>
      </c>
      <c r="K78" s="308" t="s">
        <v>1609</v>
      </c>
      <c r="L78" s="308" t="s">
        <v>1600</v>
      </c>
      <c r="M78" s="307" t="s">
        <v>1619</v>
      </c>
      <c r="N78" s="313" t="s">
        <v>1575</v>
      </c>
      <c r="O78" s="313" t="s">
        <v>1572</v>
      </c>
      <c r="P78" s="329">
        <v>7600109</v>
      </c>
      <c r="Q78" s="1" t="s">
        <v>1620</v>
      </c>
      <c r="R78" s="1" t="s">
        <v>1606</v>
      </c>
      <c r="S78" s="354"/>
      <c r="T78" s="367"/>
      <c r="X78" s="364" t="s">
        <v>1778</v>
      </c>
      <c r="Y78" s="364" t="s">
        <v>1779</v>
      </c>
    </row>
    <row r="79" spans="1:25" ht="17.45" customHeight="1">
      <c r="B79" s="351">
        <v>77</v>
      </c>
      <c r="C79" s="304">
        <v>39703</v>
      </c>
      <c r="D79" s="305">
        <v>7600963</v>
      </c>
      <c r="E79" s="306" t="s">
        <v>1916</v>
      </c>
      <c r="F79" s="306" t="s">
        <v>203</v>
      </c>
      <c r="G79" s="307" t="s">
        <v>1920</v>
      </c>
      <c r="H79" s="333">
        <v>4</v>
      </c>
      <c r="I79" s="305" t="s">
        <v>1927</v>
      </c>
      <c r="J79" s="338" t="s">
        <v>1810</v>
      </c>
      <c r="K79" s="308" t="s">
        <v>1609</v>
      </c>
      <c r="L79" s="308" t="s">
        <v>1600</v>
      </c>
      <c r="M79" s="307" t="s">
        <v>1619</v>
      </c>
      <c r="N79" s="313" t="s">
        <v>1575</v>
      </c>
      <c r="O79" s="313" t="s">
        <v>1572</v>
      </c>
      <c r="P79" s="329">
        <v>7600109</v>
      </c>
      <c r="Q79" s="1" t="s">
        <v>1620</v>
      </c>
      <c r="R79" s="1" t="s">
        <v>1606</v>
      </c>
      <c r="S79" s="354" t="s">
        <v>1684</v>
      </c>
      <c r="X79" s="88" t="s">
        <v>1778</v>
      </c>
      <c r="Y79" s="88" t="s">
        <v>1779</v>
      </c>
    </row>
    <row r="80" spans="1:25" ht="17.45" customHeight="1">
      <c r="B80" s="351">
        <v>78</v>
      </c>
      <c r="C80" s="304">
        <v>38377</v>
      </c>
      <c r="D80" s="305">
        <v>7601198</v>
      </c>
      <c r="E80" s="306" t="s">
        <v>1916</v>
      </c>
      <c r="F80" s="306" t="s">
        <v>197</v>
      </c>
      <c r="G80" s="307" t="s">
        <v>1920</v>
      </c>
      <c r="H80" s="331">
        <v>4</v>
      </c>
      <c r="I80" s="305" t="s">
        <v>1928</v>
      </c>
      <c r="J80" s="338" t="s">
        <v>1810</v>
      </c>
      <c r="K80" s="308" t="s">
        <v>1609</v>
      </c>
      <c r="L80" s="308" t="s">
        <v>1600</v>
      </c>
      <c r="M80" s="307" t="s">
        <v>1619</v>
      </c>
      <c r="N80" s="313" t="s">
        <v>1575</v>
      </c>
      <c r="O80" s="313" t="s">
        <v>1572</v>
      </c>
      <c r="P80" s="329">
        <v>7600109</v>
      </c>
      <c r="Q80" s="1" t="s">
        <v>1620</v>
      </c>
      <c r="R80" s="1" t="s">
        <v>1606</v>
      </c>
      <c r="S80" s="327" t="s">
        <v>1929</v>
      </c>
      <c r="X80" s="88" t="s">
        <v>1778</v>
      </c>
      <c r="Y80" s="88" t="s">
        <v>1779</v>
      </c>
    </row>
    <row r="81" spans="2:25" ht="17.45" customHeight="1">
      <c r="B81" s="351">
        <v>79</v>
      </c>
      <c r="C81" s="304">
        <v>41638</v>
      </c>
      <c r="D81" s="305">
        <v>7601293</v>
      </c>
      <c r="E81" s="306" t="s">
        <v>1916</v>
      </c>
      <c r="F81" s="306" t="s">
        <v>1173</v>
      </c>
      <c r="G81" s="307" t="s">
        <v>1920</v>
      </c>
      <c r="H81" s="333">
        <v>4</v>
      </c>
      <c r="I81" s="305" t="s">
        <v>1930</v>
      </c>
      <c r="J81" s="338" t="s">
        <v>1810</v>
      </c>
      <c r="K81" s="308" t="s">
        <v>1609</v>
      </c>
      <c r="L81" s="308" t="s">
        <v>1600</v>
      </c>
      <c r="M81" s="307" t="s">
        <v>1619</v>
      </c>
      <c r="N81" s="313" t="s">
        <v>1575</v>
      </c>
      <c r="O81" s="313" t="s">
        <v>1572</v>
      </c>
      <c r="P81" s="329">
        <v>7600109</v>
      </c>
      <c r="Q81" s="1" t="s">
        <v>1620</v>
      </c>
      <c r="R81" s="1" t="s">
        <v>1606</v>
      </c>
      <c r="S81" s="327" t="s">
        <v>1931</v>
      </c>
      <c r="X81" s="88" t="s">
        <v>1778</v>
      </c>
      <c r="Y81" s="88" t="s">
        <v>1779</v>
      </c>
    </row>
    <row r="82" spans="2:25" ht="17.45" customHeight="1">
      <c r="B82" s="351">
        <v>80</v>
      </c>
      <c r="C82" s="304">
        <v>44166</v>
      </c>
      <c r="D82" s="305">
        <v>7601294</v>
      </c>
      <c r="E82" s="306" t="s">
        <v>1916</v>
      </c>
      <c r="F82" s="306" t="s">
        <v>1174</v>
      </c>
      <c r="G82" s="307" t="s">
        <v>1920</v>
      </c>
      <c r="H82" s="331">
        <v>4</v>
      </c>
      <c r="I82" s="305" t="s">
        <v>1932</v>
      </c>
      <c r="J82" s="338" t="s">
        <v>1810</v>
      </c>
      <c r="K82" s="308" t="s">
        <v>1609</v>
      </c>
      <c r="L82" s="308" t="s">
        <v>1600</v>
      </c>
      <c r="M82" s="307" t="s">
        <v>1619</v>
      </c>
      <c r="N82" s="313" t="s">
        <v>1575</v>
      </c>
      <c r="O82" s="313" t="s">
        <v>1572</v>
      </c>
      <c r="P82" s="329">
        <v>7600109</v>
      </c>
      <c r="Q82" s="1" t="s">
        <v>1620</v>
      </c>
      <c r="R82" s="1" t="s">
        <v>1606</v>
      </c>
      <c r="S82" s="327" t="s">
        <v>1650</v>
      </c>
      <c r="X82" s="88"/>
      <c r="Y82" s="88"/>
    </row>
    <row r="83" spans="2:25" ht="17.45" customHeight="1">
      <c r="B83" s="351">
        <v>81</v>
      </c>
      <c r="C83" s="304">
        <v>36586</v>
      </c>
      <c r="D83" s="305">
        <v>7601295</v>
      </c>
      <c r="E83" s="307" t="s">
        <v>1916</v>
      </c>
      <c r="F83" s="306" t="s">
        <v>1175</v>
      </c>
      <c r="G83" s="319" t="s">
        <v>1920</v>
      </c>
      <c r="H83" s="333">
        <v>4</v>
      </c>
      <c r="I83" s="305" t="s">
        <v>1933</v>
      </c>
      <c r="J83" s="338" t="s">
        <v>1810</v>
      </c>
      <c r="K83" s="308" t="s">
        <v>1609</v>
      </c>
      <c r="L83" s="308" t="s">
        <v>1600</v>
      </c>
      <c r="M83" s="307" t="s">
        <v>1619</v>
      </c>
      <c r="N83" s="313" t="s">
        <v>1575</v>
      </c>
      <c r="O83" s="313" t="s">
        <v>1572</v>
      </c>
      <c r="P83" s="329">
        <v>7600109</v>
      </c>
      <c r="Q83" s="1" t="s">
        <v>1620</v>
      </c>
      <c r="R83" s="1" t="s">
        <v>1606</v>
      </c>
      <c r="S83" s="327" t="s">
        <v>1665</v>
      </c>
      <c r="T83" s="132"/>
      <c r="U83" s="132"/>
      <c r="V83" s="132"/>
      <c r="W83" s="132"/>
      <c r="X83" s="88" t="s">
        <v>1778</v>
      </c>
      <c r="Y83" s="88" t="s">
        <v>1779</v>
      </c>
    </row>
    <row r="84" spans="2:25" ht="17.45" customHeight="1">
      <c r="B84" s="351">
        <v>82</v>
      </c>
      <c r="C84" s="304">
        <v>43007</v>
      </c>
      <c r="D84" s="305">
        <v>7600108</v>
      </c>
      <c r="E84" s="307" t="s">
        <v>1934</v>
      </c>
      <c r="F84" s="306" t="s">
        <v>535</v>
      </c>
      <c r="G84" s="319" t="s">
        <v>1920</v>
      </c>
      <c r="H84" s="333">
        <v>4</v>
      </c>
      <c r="I84" s="305" t="s">
        <v>1935</v>
      </c>
      <c r="J84" s="338" t="s">
        <v>1784</v>
      </c>
      <c r="K84" s="308" t="s">
        <v>1634</v>
      </c>
      <c r="L84" s="309" t="s">
        <v>1628</v>
      </c>
      <c r="M84" s="307" t="s">
        <v>1639</v>
      </c>
      <c r="N84" s="313" t="s">
        <v>1811</v>
      </c>
      <c r="O84" s="313" t="s">
        <v>1579</v>
      </c>
      <c r="P84" s="329">
        <v>7600108</v>
      </c>
      <c r="Q84" s="1" t="s">
        <v>552</v>
      </c>
      <c r="R84" s="1" t="s">
        <v>1787</v>
      </c>
      <c r="S84" s="327" t="s">
        <v>1726</v>
      </c>
      <c r="X84" s="88" t="s">
        <v>1778</v>
      </c>
      <c r="Y84" s="88" t="s">
        <v>1779</v>
      </c>
    </row>
    <row r="85" spans="2:25" ht="17.45" customHeight="1">
      <c r="B85" s="351">
        <v>83</v>
      </c>
      <c r="C85" s="304">
        <v>44946</v>
      </c>
      <c r="D85" s="305">
        <v>7600604</v>
      </c>
      <c r="E85" s="307" t="s">
        <v>1934</v>
      </c>
      <c r="F85" s="306" t="s">
        <v>530</v>
      </c>
      <c r="G85" s="319" t="s">
        <v>1920</v>
      </c>
      <c r="H85" s="333">
        <v>4</v>
      </c>
      <c r="I85" s="305" t="s">
        <v>1936</v>
      </c>
      <c r="J85" s="338" t="s">
        <v>1784</v>
      </c>
      <c r="K85" s="308" t="s">
        <v>1634</v>
      </c>
      <c r="L85" s="309" t="s">
        <v>1628</v>
      </c>
      <c r="M85" s="307" t="s">
        <v>1639</v>
      </c>
      <c r="N85" s="313" t="s">
        <v>1811</v>
      </c>
      <c r="O85" s="313" t="s">
        <v>1579</v>
      </c>
      <c r="P85" s="329">
        <v>7600108</v>
      </c>
      <c r="Q85" s="1" t="s">
        <v>552</v>
      </c>
      <c r="R85" s="1" t="s">
        <v>1787</v>
      </c>
      <c r="S85" s="327" t="s">
        <v>1642</v>
      </c>
      <c r="X85" s="88" t="s">
        <v>1778</v>
      </c>
      <c r="Y85" s="88" t="s">
        <v>1779</v>
      </c>
    </row>
    <row r="86" spans="2:25" ht="17.45" customHeight="1">
      <c r="B86" s="351">
        <v>84</v>
      </c>
      <c r="C86" s="304">
        <v>44180</v>
      </c>
      <c r="D86" s="305">
        <v>7600973</v>
      </c>
      <c r="E86" s="306" t="s">
        <v>1937</v>
      </c>
      <c r="F86" s="306" t="s">
        <v>574</v>
      </c>
      <c r="G86" s="307" t="s">
        <v>1938</v>
      </c>
      <c r="H86" s="333">
        <v>1</v>
      </c>
      <c r="I86" s="305" t="s">
        <v>1939</v>
      </c>
      <c r="J86" s="338" t="s">
        <v>1784</v>
      </c>
      <c r="K86" s="308" t="s">
        <v>1634</v>
      </c>
      <c r="L86" s="309" t="s">
        <v>1634</v>
      </c>
      <c r="M86" s="307" t="s">
        <v>1653</v>
      </c>
      <c r="N86" s="313" t="s">
        <v>1811</v>
      </c>
      <c r="O86" s="313" t="s">
        <v>1795</v>
      </c>
      <c r="P86" s="329">
        <v>7600973</v>
      </c>
      <c r="Q86" s="1" t="s">
        <v>552</v>
      </c>
      <c r="R86" s="1" t="s">
        <v>1797</v>
      </c>
      <c r="S86" s="403"/>
      <c r="X86" s="88" t="s">
        <v>1778</v>
      </c>
      <c r="Y86" s="88" t="s">
        <v>1779</v>
      </c>
    </row>
    <row r="87" spans="2:25" ht="17.45" customHeight="1">
      <c r="B87" s="351">
        <v>85</v>
      </c>
      <c r="C87" s="304">
        <v>38344</v>
      </c>
      <c r="D87" s="305">
        <v>7600992</v>
      </c>
      <c r="E87" s="306" t="s">
        <v>1937</v>
      </c>
      <c r="F87" s="306" t="s">
        <v>568</v>
      </c>
      <c r="G87" s="307" t="s">
        <v>1938</v>
      </c>
      <c r="H87" s="333">
        <v>1</v>
      </c>
      <c r="I87" s="305" t="s">
        <v>1940</v>
      </c>
      <c r="J87" s="338" t="s">
        <v>1784</v>
      </c>
      <c r="K87" s="308" t="s">
        <v>1634</v>
      </c>
      <c r="L87" s="309" t="s">
        <v>1634</v>
      </c>
      <c r="M87" s="307" t="s">
        <v>1653</v>
      </c>
      <c r="N87" s="313" t="s">
        <v>1811</v>
      </c>
      <c r="O87" s="313" t="s">
        <v>1795</v>
      </c>
      <c r="P87" s="329">
        <v>7600973</v>
      </c>
      <c r="Q87" s="1" t="s">
        <v>552</v>
      </c>
      <c r="R87" s="1" t="s">
        <v>1797</v>
      </c>
      <c r="S87" s="403"/>
      <c r="X87" s="88" t="s">
        <v>1778</v>
      </c>
      <c r="Y87" s="88" t="s">
        <v>1779</v>
      </c>
    </row>
    <row r="88" spans="2:25" ht="17.45" customHeight="1">
      <c r="B88" s="351">
        <v>86</v>
      </c>
      <c r="C88" s="304">
        <v>40803</v>
      </c>
      <c r="D88" s="305">
        <v>7601268</v>
      </c>
      <c r="E88" s="306" t="s">
        <v>1937</v>
      </c>
      <c r="F88" s="306" t="s">
        <v>1176</v>
      </c>
      <c r="G88" s="307" t="s">
        <v>1941</v>
      </c>
      <c r="H88" s="331">
        <v>2</v>
      </c>
      <c r="I88" s="305" t="s">
        <v>1942</v>
      </c>
      <c r="J88" s="338" t="s">
        <v>1784</v>
      </c>
      <c r="K88" s="308" t="s">
        <v>1634</v>
      </c>
      <c r="L88" s="309" t="s">
        <v>1634</v>
      </c>
      <c r="M88" s="307" t="s">
        <v>1653</v>
      </c>
      <c r="N88" s="313" t="s">
        <v>1811</v>
      </c>
      <c r="O88" s="313" t="s">
        <v>1795</v>
      </c>
      <c r="P88" s="329">
        <v>7600973</v>
      </c>
      <c r="Q88" s="1" t="s">
        <v>552</v>
      </c>
      <c r="R88" s="1" t="s">
        <v>1797</v>
      </c>
      <c r="S88" s="110" t="s">
        <v>1647</v>
      </c>
      <c r="X88" s="88" t="s">
        <v>1778</v>
      </c>
      <c r="Y88" s="88" t="s">
        <v>1779</v>
      </c>
    </row>
    <row r="89" spans="2:25" ht="17.45" customHeight="1">
      <c r="B89" s="351">
        <v>87</v>
      </c>
      <c r="C89" s="304">
        <v>36336</v>
      </c>
      <c r="D89" s="305">
        <v>7600085</v>
      </c>
      <c r="E89" s="306" t="s">
        <v>1943</v>
      </c>
      <c r="F89" s="306" t="s">
        <v>923</v>
      </c>
      <c r="G89" s="307" t="s">
        <v>1941</v>
      </c>
      <c r="H89" s="331">
        <v>2</v>
      </c>
      <c r="I89" s="305" t="s">
        <v>1944</v>
      </c>
      <c r="J89" s="338" t="s">
        <v>1774</v>
      </c>
      <c r="K89" s="308" t="s">
        <v>1706</v>
      </c>
      <c r="L89" s="309" t="s">
        <v>1699</v>
      </c>
      <c r="M89" s="307" t="s">
        <v>1716</v>
      </c>
      <c r="N89" s="313" t="s">
        <v>1591</v>
      </c>
      <c r="O89" s="313" t="s">
        <v>1589</v>
      </c>
      <c r="P89" s="329">
        <v>7600085</v>
      </c>
      <c r="Q89" s="1" t="s">
        <v>1730</v>
      </c>
      <c r="R89" s="1" t="s">
        <v>1715</v>
      </c>
      <c r="S89" s="110" t="s">
        <v>1645</v>
      </c>
      <c r="X89" s="88" t="s">
        <v>1778</v>
      </c>
      <c r="Y89" s="88" t="s">
        <v>1779</v>
      </c>
    </row>
    <row r="90" spans="2:25" ht="17.45" customHeight="1">
      <c r="B90" s="351">
        <v>88</v>
      </c>
      <c r="C90" s="304"/>
      <c r="D90" s="350">
        <v>7600139</v>
      </c>
      <c r="E90" s="306" t="s">
        <v>1943</v>
      </c>
      <c r="F90" s="306" t="s">
        <v>915</v>
      </c>
      <c r="G90" s="307"/>
      <c r="H90" s="331"/>
      <c r="I90" s="305" t="s">
        <v>1945</v>
      </c>
      <c r="J90" s="338" t="s">
        <v>1774</v>
      </c>
      <c r="K90" s="308" t="s">
        <v>1706</v>
      </c>
      <c r="L90" s="309" t="s">
        <v>1699</v>
      </c>
      <c r="M90" s="307" t="s">
        <v>1716</v>
      </c>
      <c r="N90" s="313" t="s">
        <v>1591</v>
      </c>
      <c r="O90" s="313" t="s">
        <v>1589</v>
      </c>
      <c r="P90" s="329">
        <v>7600085</v>
      </c>
      <c r="Q90" s="1" t="s">
        <v>1730</v>
      </c>
      <c r="R90" s="1" t="s">
        <v>1715</v>
      </c>
      <c r="S90" s="110"/>
      <c r="X90" s="88" t="s">
        <v>1778</v>
      </c>
      <c r="Y90" s="88" t="s">
        <v>1779</v>
      </c>
    </row>
    <row r="91" spans="2:25" ht="17.45" customHeight="1">
      <c r="B91" s="351">
        <v>89</v>
      </c>
      <c r="C91" s="304">
        <v>39692</v>
      </c>
      <c r="D91" s="305">
        <v>7600299</v>
      </c>
      <c r="E91" s="306" t="s">
        <v>1943</v>
      </c>
      <c r="F91" s="306" t="s">
        <v>909</v>
      </c>
      <c r="G91" s="307" t="s">
        <v>1946</v>
      </c>
      <c r="H91" s="331">
        <v>2</v>
      </c>
      <c r="I91" s="305" t="s">
        <v>1947</v>
      </c>
      <c r="J91" s="338" t="s">
        <v>1774</v>
      </c>
      <c r="K91" s="308" t="s">
        <v>1706</v>
      </c>
      <c r="L91" s="309" t="s">
        <v>1699</v>
      </c>
      <c r="M91" s="307" t="s">
        <v>1716</v>
      </c>
      <c r="N91" s="313" t="s">
        <v>1591</v>
      </c>
      <c r="O91" s="313" t="s">
        <v>1589</v>
      </c>
      <c r="P91" s="329">
        <v>7600085</v>
      </c>
      <c r="Q91" s="1" t="s">
        <v>1730</v>
      </c>
      <c r="R91" s="1" t="s">
        <v>1715</v>
      </c>
      <c r="S91" s="110" t="s">
        <v>1637</v>
      </c>
      <c r="X91" s="88" t="s">
        <v>1778</v>
      </c>
      <c r="Y91" s="88" t="s">
        <v>1779</v>
      </c>
    </row>
    <row r="92" spans="2:25" ht="17.45" customHeight="1">
      <c r="B92" s="351">
        <v>90</v>
      </c>
      <c r="C92" s="304" t="s">
        <v>1948</v>
      </c>
      <c r="D92" s="305">
        <v>7600511</v>
      </c>
      <c r="E92" s="306" t="s">
        <v>1943</v>
      </c>
      <c r="F92" s="306" t="s">
        <v>1949</v>
      </c>
      <c r="G92" s="307" t="s">
        <v>1946</v>
      </c>
      <c r="H92" s="331">
        <v>2</v>
      </c>
      <c r="I92" s="305" t="s">
        <v>1950</v>
      </c>
      <c r="J92" s="338" t="s">
        <v>1774</v>
      </c>
      <c r="K92" s="308" t="s">
        <v>1706</v>
      </c>
      <c r="L92" s="309" t="s">
        <v>1699</v>
      </c>
      <c r="M92" s="307" t="s">
        <v>1716</v>
      </c>
      <c r="N92" s="313" t="s">
        <v>1591</v>
      </c>
      <c r="O92" s="313" t="s">
        <v>1589</v>
      </c>
      <c r="P92" s="329">
        <v>7600085</v>
      </c>
      <c r="Q92" s="1" t="s">
        <v>1730</v>
      </c>
      <c r="R92" s="1" t="s">
        <v>1715</v>
      </c>
      <c r="S92" s="110" t="s">
        <v>1734</v>
      </c>
      <c r="X92" s="88" t="s">
        <v>1778</v>
      </c>
      <c r="Y92" s="88" t="s">
        <v>1779</v>
      </c>
    </row>
    <row r="93" spans="2:25" ht="17.45" customHeight="1">
      <c r="B93" s="351">
        <v>91</v>
      </c>
      <c r="C93" s="304">
        <v>37291</v>
      </c>
      <c r="D93" s="305">
        <v>7601209</v>
      </c>
      <c r="E93" s="306" t="s">
        <v>1943</v>
      </c>
      <c r="F93" s="306" t="s">
        <v>919</v>
      </c>
      <c r="G93" s="307" t="s">
        <v>1951</v>
      </c>
      <c r="H93" s="331">
        <v>4</v>
      </c>
      <c r="I93" s="305" t="s">
        <v>1952</v>
      </c>
      <c r="J93" s="338" t="s">
        <v>1774</v>
      </c>
      <c r="K93" s="308" t="s">
        <v>1706</v>
      </c>
      <c r="L93" s="309" t="s">
        <v>1699</v>
      </c>
      <c r="M93" s="307" t="s">
        <v>1716</v>
      </c>
      <c r="N93" s="313" t="s">
        <v>1591</v>
      </c>
      <c r="O93" s="313" t="s">
        <v>1589</v>
      </c>
      <c r="P93" s="329">
        <v>7600085</v>
      </c>
      <c r="Q93" s="1" t="s">
        <v>1730</v>
      </c>
      <c r="R93" s="1" t="s">
        <v>1715</v>
      </c>
      <c r="S93" s="110" t="s">
        <v>1727</v>
      </c>
      <c r="X93" s="88" t="s">
        <v>1778</v>
      </c>
      <c r="Y93" s="88" t="s">
        <v>1779</v>
      </c>
    </row>
    <row r="94" spans="2:25" ht="17.45" customHeight="1">
      <c r="B94" s="351">
        <v>92</v>
      </c>
      <c r="C94" s="304">
        <v>41991</v>
      </c>
      <c r="D94" s="305">
        <v>7600415</v>
      </c>
      <c r="E94" s="306" t="s">
        <v>1943</v>
      </c>
      <c r="F94" s="306" t="s">
        <v>849</v>
      </c>
      <c r="G94" s="307" t="s">
        <v>1951</v>
      </c>
      <c r="H94" s="331">
        <v>4</v>
      </c>
      <c r="I94" s="305" t="s">
        <v>1953</v>
      </c>
      <c r="J94" s="338" t="s">
        <v>1774</v>
      </c>
      <c r="K94" s="308" t="s">
        <v>1699</v>
      </c>
      <c r="L94" s="309" t="s">
        <v>1699</v>
      </c>
      <c r="M94" s="307" t="s">
        <v>1700</v>
      </c>
      <c r="N94" s="313" t="s">
        <v>1587</v>
      </c>
      <c r="O94" s="313" t="s">
        <v>1589</v>
      </c>
      <c r="P94" s="329">
        <v>7600415</v>
      </c>
      <c r="Q94" s="1" t="s">
        <v>1823</v>
      </c>
      <c r="R94" s="1" t="s">
        <v>1715</v>
      </c>
      <c r="S94" s="404"/>
      <c r="X94" s="88" t="s">
        <v>1778</v>
      </c>
      <c r="Y94" s="88" t="s">
        <v>1779</v>
      </c>
    </row>
    <row r="95" spans="2:25" ht="17.45" customHeight="1">
      <c r="B95" s="351">
        <v>93</v>
      </c>
      <c r="C95" s="304">
        <v>36542</v>
      </c>
      <c r="D95" s="305">
        <v>7600741</v>
      </c>
      <c r="E95" s="306" t="s">
        <v>1943</v>
      </c>
      <c r="F95" s="306" t="s">
        <v>842</v>
      </c>
      <c r="G95" s="307" t="s">
        <v>1951</v>
      </c>
      <c r="H95" s="331">
        <v>4</v>
      </c>
      <c r="I95" s="305" t="s">
        <v>1954</v>
      </c>
      <c r="J95" s="338" t="s">
        <v>1774</v>
      </c>
      <c r="K95" s="308" t="s">
        <v>1699</v>
      </c>
      <c r="L95" s="309" t="s">
        <v>1699</v>
      </c>
      <c r="M95" s="307" t="s">
        <v>1700</v>
      </c>
      <c r="N95" s="313" t="s">
        <v>1587</v>
      </c>
      <c r="O95" s="313" t="s">
        <v>1589</v>
      </c>
      <c r="P95" s="329">
        <v>7600415</v>
      </c>
      <c r="Q95" s="1" t="s">
        <v>1823</v>
      </c>
      <c r="R95" s="1" t="s">
        <v>1715</v>
      </c>
      <c r="S95" s="110" t="s">
        <v>1720</v>
      </c>
      <c r="X95" s="88" t="s">
        <v>1778</v>
      </c>
      <c r="Y95" s="88" t="s">
        <v>1779</v>
      </c>
    </row>
    <row r="96" spans="2:25" ht="17.45" customHeight="1">
      <c r="B96" s="351">
        <v>94</v>
      </c>
      <c r="C96" s="304">
        <v>37525</v>
      </c>
      <c r="D96" s="305">
        <v>7601264</v>
      </c>
      <c r="E96" s="306" t="s">
        <v>1943</v>
      </c>
      <c r="F96" s="306" t="s">
        <v>1955</v>
      </c>
      <c r="G96" s="307" t="s">
        <v>1951</v>
      </c>
      <c r="H96" s="331">
        <v>4</v>
      </c>
      <c r="I96" s="305" t="s">
        <v>1956</v>
      </c>
      <c r="J96" s="338" t="s">
        <v>1774</v>
      </c>
      <c r="K96" s="308" t="s">
        <v>1706</v>
      </c>
      <c r="L96" s="309" t="s">
        <v>1699</v>
      </c>
      <c r="M96" s="307" t="s">
        <v>1718</v>
      </c>
      <c r="N96" s="313" t="s">
        <v>1591</v>
      </c>
      <c r="O96" s="313" t="s">
        <v>1589</v>
      </c>
      <c r="P96" s="329">
        <v>7601264</v>
      </c>
      <c r="Q96" s="1" t="s">
        <v>1730</v>
      </c>
      <c r="R96" s="1" t="s">
        <v>1715</v>
      </c>
      <c r="S96" s="404"/>
      <c r="X96" s="88" t="s">
        <v>1778</v>
      </c>
      <c r="Y96" s="88" t="s">
        <v>1779</v>
      </c>
    </row>
    <row r="97" spans="2:25" s="88" customFormat="1" ht="17.45" customHeight="1">
      <c r="B97" s="351">
        <v>95</v>
      </c>
      <c r="C97" s="304">
        <v>35445</v>
      </c>
      <c r="D97" s="305">
        <v>7601263</v>
      </c>
      <c r="E97" s="306" t="s">
        <v>1943</v>
      </c>
      <c r="F97" s="306" t="s">
        <v>934</v>
      </c>
      <c r="G97" s="307" t="s">
        <v>1951</v>
      </c>
      <c r="H97" s="331">
        <v>4</v>
      </c>
      <c r="I97" s="305" t="s">
        <v>1957</v>
      </c>
      <c r="J97" s="338" t="s">
        <v>1774</v>
      </c>
      <c r="K97" s="308" t="s">
        <v>1706</v>
      </c>
      <c r="L97" s="309" t="s">
        <v>1699</v>
      </c>
      <c r="M97" s="307" t="s">
        <v>1718</v>
      </c>
      <c r="N97" s="313" t="s">
        <v>1591</v>
      </c>
      <c r="O97" s="313" t="s">
        <v>1589</v>
      </c>
      <c r="P97" s="329">
        <v>7601264</v>
      </c>
      <c r="Q97" s="1" t="s">
        <v>1730</v>
      </c>
      <c r="R97" s="1" t="s">
        <v>1715</v>
      </c>
      <c r="S97" s="404"/>
      <c r="T97" s="129"/>
      <c r="U97" s="74"/>
      <c r="V97" s="74"/>
      <c r="W97" s="74"/>
      <c r="X97" s="88" t="s">
        <v>1778</v>
      </c>
      <c r="Y97" s="88" t="s">
        <v>1779</v>
      </c>
    </row>
    <row r="98" spans="2:25" ht="17.45" customHeight="1">
      <c r="B98" s="351">
        <v>96</v>
      </c>
      <c r="C98" s="304">
        <v>38852</v>
      </c>
      <c r="D98" s="305">
        <v>7601262</v>
      </c>
      <c r="E98" s="306" t="s">
        <v>1943</v>
      </c>
      <c r="F98" s="306" t="s">
        <v>929</v>
      </c>
      <c r="G98" s="307" t="s">
        <v>1951</v>
      </c>
      <c r="H98" s="331">
        <v>4</v>
      </c>
      <c r="I98" s="305" t="s">
        <v>1958</v>
      </c>
      <c r="J98" s="338" t="s">
        <v>1774</v>
      </c>
      <c r="K98" s="308" t="s">
        <v>1706</v>
      </c>
      <c r="L98" s="309" t="s">
        <v>1699</v>
      </c>
      <c r="M98" s="307" t="s">
        <v>1718</v>
      </c>
      <c r="N98" s="313" t="s">
        <v>1591</v>
      </c>
      <c r="O98" s="313" t="s">
        <v>1589</v>
      </c>
      <c r="P98" s="329">
        <v>7601264</v>
      </c>
      <c r="Q98" s="1" t="s">
        <v>1730</v>
      </c>
      <c r="R98" s="1" t="s">
        <v>1715</v>
      </c>
      <c r="S98" s="404"/>
      <c r="T98" s="88"/>
      <c r="U98" s="88"/>
      <c r="V98" s="88"/>
      <c r="W98" s="88"/>
      <c r="X98" s="88" t="s">
        <v>1778</v>
      </c>
      <c r="Y98" s="88" t="s">
        <v>1779</v>
      </c>
    </row>
    <row r="99" spans="2:25" ht="17.45" customHeight="1">
      <c r="B99" s="351">
        <v>97</v>
      </c>
      <c r="C99" s="304">
        <v>41435</v>
      </c>
      <c r="D99" s="305">
        <v>7601105</v>
      </c>
      <c r="E99" s="306" t="s">
        <v>1959</v>
      </c>
      <c r="F99" s="306" t="s">
        <v>294</v>
      </c>
      <c r="G99" s="307" t="s">
        <v>1951</v>
      </c>
      <c r="H99" s="331">
        <v>4</v>
      </c>
      <c r="I99" s="305" t="s">
        <v>1960</v>
      </c>
      <c r="J99" s="338" t="s">
        <v>1810</v>
      </c>
      <c r="K99" s="308" t="s">
        <v>1596</v>
      </c>
      <c r="L99" s="308" t="s">
        <v>1596</v>
      </c>
      <c r="M99" s="307" t="s">
        <v>1623</v>
      </c>
      <c r="N99" s="313" t="s">
        <v>1570</v>
      </c>
      <c r="O99" s="313" t="s">
        <v>1811</v>
      </c>
      <c r="P99" s="329">
        <v>7601105</v>
      </c>
      <c r="Q99" s="1" t="s">
        <v>1812</v>
      </c>
      <c r="R99" s="352" t="s">
        <v>552</v>
      </c>
      <c r="X99" s="88" t="s">
        <v>1778</v>
      </c>
      <c r="Y99" s="88" t="s">
        <v>1779</v>
      </c>
    </row>
    <row r="100" spans="2:25" ht="17.45" customHeight="1">
      <c r="B100" s="351">
        <v>98</v>
      </c>
      <c r="C100" s="304">
        <v>44851</v>
      </c>
      <c r="D100" s="305">
        <v>7601234</v>
      </c>
      <c r="E100" s="306" t="s">
        <v>1959</v>
      </c>
      <c r="F100" s="306" t="s">
        <v>287</v>
      </c>
      <c r="G100" s="307" t="s">
        <v>1961</v>
      </c>
      <c r="H100" s="331">
        <v>4</v>
      </c>
      <c r="I100" s="305" t="s">
        <v>1962</v>
      </c>
      <c r="J100" s="338" t="s">
        <v>1810</v>
      </c>
      <c r="K100" s="308" t="s">
        <v>1596</v>
      </c>
      <c r="L100" s="308" t="s">
        <v>1596</v>
      </c>
      <c r="M100" s="307" t="s">
        <v>1623</v>
      </c>
      <c r="N100" s="313" t="s">
        <v>1570</v>
      </c>
      <c r="O100" s="313" t="s">
        <v>1811</v>
      </c>
      <c r="P100" s="329">
        <v>7601105</v>
      </c>
      <c r="Q100" s="1" t="s">
        <v>1812</v>
      </c>
      <c r="R100" s="352" t="s">
        <v>552</v>
      </c>
      <c r="S100" s="404"/>
      <c r="X100" s="88"/>
      <c r="Y100" s="88"/>
    </row>
    <row r="101" spans="2:25" ht="17.45" customHeight="1">
      <c r="B101" s="351">
        <v>99</v>
      </c>
      <c r="C101" s="304">
        <v>35999</v>
      </c>
      <c r="D101" s="305">
        <v>7600391</v>
      </c>
      <c r="E101" s="306" t="s">
        <v>1963</v>
      </c>
      <c r="F101" s="306" t="s">
        <v>72</v>
      </c>
      <c r="G101" s="307" t="s">
        <v>1951</v>
      </c>
      <c r="H101" s="331">
        <v>4</v>
      </c>
      <c r="I101" s="305" t="s">
        <v>1964</v>
      </c>
      <c r="J101" s="338" t="s">
        <v>1810</v>
      </c>
      <c r="K101" s="308" t="s">
        <v>1596</v>
      </c>
      <c r="L101" s="308" t="s">
        <v>1596</v>
      </c>
      <c r="M101" s="307" t="s">
        <v>1597</v>
      </c>
      <c r="N101" s="313" t="s">
        <v>1570</v>
      </c>
      <c r="O101" s="313" t="s">
        <v>1811</v>
      </c>
      <c r="P101" s="329">
        <v>7600391</v>
      </c>
      <c r="Q101" s="1" t="s">
        <v>1812</v>
      </c>
      <c r="R101" s="352" t="s">
        <v>552</v>
      </c>
      <c r="S101" s="110" t="s">
        <v>1621</v>
      </c>
      <c r="X101" s="88" t="s">
        <v>1778</v>
      </c>
      <c r="Y101" s="88" t="s">
        <v>1779</v>
      </c>
    </row>
    <row r="102" spans="2:25" ht="17.45" customHeight="1">
      <c r="B102" s="351">
        <v>100</v>
      </c>
      <c r="C102" s="304">
        <v>38841</v>
      </c>
      <c r="D102" s="305">
        <v>7600453</v>
      </c>
      <c r="E102" s="306" t="s">
        <v>1963</v>
      </c>
      <c r="F102" s="306" t="s">
        <v>65</v>
      </c>
      <c r="G102" s="307" t="s">
        <v>1951</v>
      </c>
      <c r="H102" s="331">
        <v>4</v>
      </c>
      <c r="I102" s="305" t="s">
        <v>1965</v>
      </c>
      <c r="J102" s="338" t="s">
        <v>1810</v>
      </c>
      <c r="K102" s="308" t="s">
        <v>1596</v>
      </c>
      <c r="L102" s="308" t="s">
        <v>1596</v>
      </c>
      <c r="M102" s="307" t="s">
        <v>1597</v>
      </c>
      <c r="N102" s="313" t="s">
        <v>1570</v>
      </c>
      <c r="O102" s="313" t="s">
        <v>1811</v>
      </c>
      <c r="P102" s="329">
        <v>7600391</v>
      </c>
      <c r="Q102" s="1" t="s">
        <v>1812</v>
      </c>
      <c r="R102" s="352" t="s">
        <v>552</v>
      </c>
      <c r="X102" s="88" t="s">
        <v>1778</v>
      </c>
      <c r="Y102" s="88" t="s">
        <v>1779</v>
      </c>
    </row>
    <row r="103" spans="2:25" ht="17.45" customHeight="1">
      <c r="B103" s="351">
        <v>101</v>
      </c>
      <c r="C103" s="304">
        <v>40864</v>
      </c>
      <c r="D103" s="305">
        <v>7600474</v>
      </c>
      <c r="E103" s="307" t="s">
        <v>1963</v>
      </c>
      <c r="F103" s="306" t="s">
        <v>86</v>
      </c>
      <c r="G103" s="319" t="s">
        <v>1966</v>
      </c>
      <c r="H103" s="333">
        <v>2</v>
      </c>
      <c r="I103" s="305" t="s">
        <v>1967</v>
      </c>
      <c r="J103" s="338" t="s">
        <v>1810</v>
      </c>
      <c r="K103" s="308" t="s">
        <v>1596</v>
      </c>
      <c r="L103" s="308" t="s">
        <v>1596</v>
      </c>
      <c r="M103" s="307" t="s">
        <v>1597</v>
      </c>
      <c r="N103" s="313" t="s">
        <v>1570</v>
      </c>
      <c r="O103" s="313" t="s">
        <v>1811</v>
      </c>
      <c r="P103" s="329">
        <v>7600391</v>
      </c>
      <c r="Q103" s="1" t="s">
        <v>1812</v>
      </c>
      <c r="R103" s="352" t="s">
        <v>552</v>
      </c>
      <c r="S103" s="110" t="s">
        <v>1671</v>
      </c>
      <c r="X103" s="88" t="s">
        <v>1778</v>
      </c>
      <c r="Y103" s="88" t="s">
        <v>1779</v>
      </c>
    </row>
    <row r="104" spans="2:25" ht="17.45" customHeight="1">
      <c r="B104" s="351">
        <v>102</v>
      </c>
      <c r="C104" s="304">
        <v>45204</v>
      </c>
      <c r="D104" s="305">
        <v>7600496</v>
      </c>
      <c r="E104" s="307" t="s">
        <v>1963</v>
      </c>
      <c r="F104" s="370" t="s">
        <v>1968</v>
      </c>
      <c r="G104" s="319" t="s">
        <v>1969</v>
      </c>
      <c r="H104" s="333">
        <v>1</v>
      </c>
      <c r="I104" s="305" t="s">
        <v>1970</v>
      </c>
      <c r="J104" s="338" t="s">
        <v>1810</v>
      </c>
      <c r="K104" s="308" t="s">
        <v>1596</v>
      </c>
      <c r="L104" s="308" t="s">
        <v>1596</v>
      </c>
      <c r="M104" s="307" t="s">
        <v>1597</v>
      </c>
      <c r="N104" s="313" t="s">
        <v>1570</v>
      </c>
      <c r="O104" s="313" t="s">
        <v>1811</v>
      </c>
      <c r="P104" s="329">
        <v>7600391</v>
      </c>
      <c r="Q104" s="1" t="s">
        <v>1812</v>
      </c>
      <c r="R104" s="352" t="s">
        <v>552</v>
      </c>
      <c r="S104" s="404"/>
      <c r="X104" s="88" t="s">
        <v>1778</v>
      </c>
      <c r="Y104" s="88" t="s">
        <v>1779</v>
      </c>
    </row>
    <row r="105" spans="2:25" ht="17.45" customHeight="1">
      <c r="B105" s="351">
        <v>103</v>
      </c>
      <c r="C105" s="304">
        <v>43892</v>
      </c>
      <c r="D105" s="305">
        <v>7600569</v>
      </c>
      <c r="E105" s="306" t="s">
        <v>1963</v>
      </c>
      <c r="F105" s="306" t="s">
        <v>82</v>
      </c>
      <c r="G105" s="307" t="s">
        <v>1969</v>
      </c>
      <c r="H105" s="331">
        <v>1</v>
      </c>
      <c r="I105" s="305" t="s">
        <v>1971</v>
      </c>
      <c r="J105" s="338" t="s">
        <v>1810</v>
      </c>
      <c r="K105" s="308" t="s">
        <v>1596</v>
      </c>
      <c r="L105" s="308" t="s">
        <v>1596</v>
      </c>
      <c r="M105" s="307" t="s">
        <v>1597</v>
      </c>
      <c r="N105" s="313" t="s">
        <v>1570</v>
      </c>
      <c r="O105" s="313" t="s">
        <v>1811</v>
      </c>
      <c r="P105" s="329">
        <v>7600391</v>
      </c>
      <c r="Q105" s="1" t="s">
        <v>1812</v>
      </c>
      <c r="R105" s="352" t="s">
        <v>552</v>
      </c>
      <c r="S105" s="404"/>
      <c r="X105" s="88" t="s">
        <v>1778</v>
      </c>
      <c r="Y105" s="88" t="s">
        <v>1779</v>
      </c>
    </row>
    <row r="106" spans="2:25" ht="17.45" customHeight="1">
      <c r="B106" s="351">
        <v>104</v>
      </c>
      <c r="C106" s="304">
        <v>43060</v>
      </c>
      <c r="D106" s="305">
        <v>7601220</v>
      </c>
      <c r="E106" s="306" t="s">
        <v>1963</v>
      </c>
      <c r="F106" s="306" t="s">
        <v>92</v>
      </c>
      <c r="G106" s="307" t="s">
        <v>1972</v>
      </c>
      <c r="H106" s="331">
        <v>1</v>
      </c>
      <c r="I106" s="305" t="s">
        <v>1973</v>
      </c>
      <c r="J106" s="338" t="s">
        <v>1810</v>
      </c>
      <c r="K106" s="308" t="s">
        <v>1596</v>
      </c>
      <c r="L106" s="308" t="s">
        <v>1596</v>
      </c>
      <c r="M106" s="307" t="s">
        <v>1597</v>
      </c>
      <c r="N106" s="313" t="s">
        <v>1570</v>
      </c>
      <c r="O106" s="313" t="s">
        <v>1811</v>
      </c>
      <c r="P106" s="329">
        <v>7600391</v>
      </c>
      <c r="Q106" s="1" t="s">
        <v>1812</v>
      </c>
      <c r="R106" s="352" t="s">
        <v>552</v>
      </c>
      <c r="S106" s="404"/>
      <c r="X106" s="88" t="s">
        <v>1778</v>
      </c>
      <c r="Y106" s="88" t="s">
        <v>1779</v>
      </c>
    </row>
    <row r="107" spans="2:25" ht="17.45" customHeight="1">
      <c r="B107" s="351">
        <v>105</v>
      </c>
      <c r="C107" s="304">
        <v>38993</v>
      </c>
      <c r="D107" s="305">
        <v>7601221</v>
      </c>
      <c r="E107" s="306" t="s">
        <v>1963</v>
      </c>
      <c r="F107" s="306" t="s">
        <v>96</v>
      </c>
      <c r="G107" s="307" t="s">
        <v>1974</v>
      </c>
      <c r="H107" s="333">
        <v>1</v>
      </c>
      <c r="I107" s="305" t="s">
        <v>1975</v>
      </c>
      <c r="J107" s="338" t="s">
        <v>1810</v>
      </c>
      <c r="K107" s="308" t="s">
        <v>1596</v>
      </c>
      <c r="L107" s="308" t="s">
        <v>1596</v>
      </c>
      <c r="M107" s="307" t="s">
        <v>1597</v>
      </c>
      <c r="N107" s="313" t="s">
        <v>1570</v>
      </c>
      <c r="O107" s="313" t="s">
        <v>1811</v>
      </c>
      <c r="P107" s="329">
        <v>7600391</v>
      </c>
      <c r="Q107" s="1" t="s">
        <v>1812</v>
      </c>
      <c r="R107" s="352" t="s">
        <v>552</v>
      </c>
      <c r="S107" s="404"/>
      <c r="X107" s="88" t="s">
        <v>1778</v>
      </c>
      <c r="Y107" s="88" t="s">
        <v>1779</v>
      </c>
    </row>
    <row r="108" spans="2:25" ht="17.45" customHeight="1">
      <c r="B108" s="351">
        <v>106</v>
      </c>
      <c r="C108" s="304">
        <v>40487</v>
      </c>
      <c r="D108" s="305">
        <v>7601222</v>
      </c>
      <c r="E108" s="306" t="s">
        <v>1963</v>
      </c>
      <c r="F108" s="306" t="s">
        <v>77</v>
      </c>
      <c r="G108" s="307" t="s">
        <v>1976</v>
      </c>
      <c r="H108" s="331">
        <v>4</v>
      </c>
      <c r="I108" s="305" t="s">
        <v>1977</v>
      </c>
      <c r="J108" s="338" t="s">
        <v>1810</v>
      </c>
      <c r="K108" s="308" t="s">
        <v>1596</v>
      </c>
      <c r="L108" s="308" t="s">
        <v>1596</v>
      </c>
      <c r="M108" s="307" t="s">
        <v>1597</v>
      </c>
      <c r="N108" s="313" t="s">
        <v>1570</v>
      </c>
      <c r="O108" s="313" t="s">
        <v>1811</v>
      </c>
      <c r="P108" s="329">
        <v>7600391</v>
      </c>
      <c r="Q108" s="1" t="s">
        <v>1812</v>
      </c>
      <c r="R108" s="352" t="s">
        <v>552</v>
      </c>
      <c r="S108" s="404"/>
      <c r="X108" s="88" t="s">
        <v>1778</v>
      </c>
      <c r="Y108" s="88" t="s">
        <v>1779</v>
      </c>
    </row>
    <row r="109" spans="2:25" ht="17.45" customHeight="1">
      <c r="B109" s="351">
        <v>107</v>
      </c>
      <c r="C109" s="304">
        <v>42473</v>
      </c>
      <c r="D109" s="305">
        <v>7600690</v>
      </c>
      <c r="E109" s="306" t="s">
        <v>1978</v>
      </c>
      <c r="F109" s="306" t="s">
        <v>652</v>
      </c>
      <c r="G109" s="307" t="s">
        <v>1979</v>
      </c>
      <c r="H109" s="331">
        <v>1</v>
      </c>
      <c r="I109" s="305" t="s">
        <v>1980</v>
      </c>
      <c r="J109" s="338" t="s">
        <v>1802</v>
      </c>
      <c r="K109" s="308" t="s">
        <v>1668</v>
      </c>
      <c r="L109" s="309" t="s">
        <v>1661</v>
      </c>
      <c r="M109" s="307" t="s">
        <v>1681</v>
      </c>
      <c r="N109" s="313" t="s">
        <v>1826</v>
      </c>
      <c r="O109" s="313" t="s">
        <v>1583</v>
      </c>
      <c r="P109" s="329">
        <v>7600690</v>
      </c>
      <c r="Q109" s="1" t="s">
        <v>1827</v>
      </c>
      <c r="R109" s="1" t="s">
        <v>1679</v>
      </c>
      <c r="S109" s="404"/>
      <c r="X109" s="88" t="s">
        <v>1778</v>
      </c>
      <c r="Y109" s="88" t="s">
        <v>1779</v>
      </c>
    </row>
    <row r="110" spans="2:25" ht="17.45" customHeight="1">
      <c r="B110" s="351">
        <v>109</v>
      </c>
      <c r="C110" s="304">
        <v>38053</v>
      </c>
      <c r="D110" s="305">
        <v>7600813</v>
      </c>
      <c r="E110" s="306" t="s">
        <v>1978</v>
      </c>
      <c r="F110" s="306" t="s">
        <v>662</v>
      </c>
      <c r="G110" s="307" t="s">
        <v>1979</v>
      </c>
      <c r="H110" s="331">
        <v>1</v>
      </c>
      <c r="I110" s="305" t="s">
        <v>1981</v>
      </c>
      <c r="J110" s="338" t="s">
        <v>1802</v>
      </c>
      <c r="K110" s="308" t="s">
        <v>1668</v>
      </c>
      <c r="L110" s="309" t="s">
        <v>1661</v>
      </c>
      <c r="M110" s="307" t="s">
        <v>1681</v>
      </c>
      <c r="N110" s="313" t="s">
        <v>1826</v>
      </c>
      <c r="O110" s="313" t="s">
        <v>1583</v>
      </c>
      <c r="P110" s="329">
        <v>7600690</v>
      </c>
      <c r="Q110" s="1" t="s">
        <v>1827</v>
      </c>
      <c r="R110" s="1" t="s">
        <v>1679</v>
      </c>
      <c r="S110" s="404"/>
      <c r="X110" s="88" t="s">
        <v>1778</v>
      </c>
      <c r="Y110" s="88" t="s">
        <v>1779</v>
      </c>
    </row>
    <row r="111" spans="2:25" ht="17.45" customHeight="1">
      <c r="B111" s="351">
        <v>110</v>
      </c>
      <c r="C111" s="304">
        <v>36224</v>
      </c>
      <c r="D111" s="305">
        <v>7600820</v>
      </c>
      <c r="E111" s="306" t="s">
        <v>1978</v>
      </c>
      <c r="F111" s="306" t="s">
        <v>657</v>
      </c>
      <c r="G111" s="307" t="s">
        <v>1979</v>
      </c>
      <c r="H111" s="331">
        <v>1</v>
      </c>
      <c r="I111" s="305" t="s">
        <v>1982</v>
      </c>
      <c r="J111" s="338" t="s">
        <v>1802</v>
      </c>
      <c r="K111" s="308" t="s">
        <v>1668</v>
      </c>
      <c r="L111" s="309" t="s">
        <v>1661</v>
      </c>
      <c r="M111" s="307" t="s">
        <v>1681</v>
      </c>
      <c r="N111" s="313" t="s">
        <v>1826</v>
      </c>
      <c r="O111" s="313" t="s">
        <v>1583</v>
      </c>
      <c r="P111" s="329">
        <v>7600690</v>
      </c>
      <c r="Q111" s="1" t="s">
        <v>1827</v>
      </c>
      <c r="R111" s="1" t="s">
        <v>1679</v>
      </c>
      <c r="S111" s="404"/>
      <c r="X111" s="88" t="s">
        <v>1778</v>
      </c>
      <c r="Y111" s="88" t="s">
        <v>1779</v>
      </c>
    </row>
    <row r="112" spans="2:25" ht="17.45" customHeight="1">
      <c r="B112" s="351">
        <v>111</v>
      </c>
      <c r="C112" s="304">
        <v>36228</v>
      </c>
      <c r="D112" s="305">
        <v>7600983</v>
      </c>
      <c r="E112" s="306" t="s">
        <v>1983</v>
      </c>
      <c r="F112" s="306" t="s">
        <v>214</v>
      </c>
      <c r="G112" s="307" t="s">
        <v>1979</v>
      </c>
      <c r="H112" s="331">
        <v>1</v>
      </c>
      <c r="I112" s="305" t="s">
        <v>1984</v>
      </c>
      <c r="J112" s="338" t="s">
        <v>1810</v>
      </c>
      <c r="K112" s="308" t="s">
        <v>1609</v>
      </c>
      <c r="L112" s="308" t="s">
        <v>1600</v>
      </c>
      <c r="M112" s="307" t="s">
        <v>1614</v>
      </c>
      <c r="N112" s="313" t="s">
        <v>1575</v>
      </c>
      <c r="O112" s="313" t="s">
        <v>1572</v>
      </c>
      <c r="P112" s="329">
        <v>7600983</v>
      </c>
      <c r="Q112" s="1" t="s">
        <v>1620</v>
      </c>
      <c r="R112" s="1" t="s">
        <v>1606</v>
      </c>
      <c r="S112" s="404"/>
      <c r="X112" s="88" t="s">
        <v>1778</v>
      </c>
      <c r="Y112" s="88" t="s">
        <v>1779</v>
      </c>
    </row>
    <row r="113" spans="1:45" ht="17.45" customHeight="1">
      <c r="B113" s="351">
        <v>112</v>
      </c>
      <c r="C113" s="304">
        <v>36542</v>
      </c>
      <c r="D113" s="305">
        <v>7600993</v>
      </c>
      <c r="E113" s="306" t="s">
        <v>1983</v>
      </c>
      <c r="F113" s="306" t="s">
        <v>208</v>
      </c>
      <c r="G113" s="307" t="s">
        <v>1979</v>
      </c>
      <c r="H113" s="331">
        <v>1</v>
      </c>
      <c r="I113" s="305" t="s">
        <v>1985</v>
      </c>
      <c r="J113" s="338" t="s">
        <v>1810</v>
      </c>
      <c r="K113" s="308" t="s">
        <v>1609</v>
      </c>
      <c r="L113" s="308" t="s">
        <v>1600</v>
      </c>
      <c r="M113" s="307" t="s">
        <v>1614</v>
      </c>
      <c r="N113" s="313" t="s">
        <v>1575</v>
      </c>
      <c r="O113" s="313" t="s">
        <v>1572</v>
      </c>
      <c r="P113" s="329">
        <v>7600983</v>
      </c>
      <c r="Q113" s="1" t="s">
        <v>1620</v>
      </c>
      <c r="R113" s="1" t="s">
        <v>1606</v>
      </c>
      <c r="S113" s="404"/>
      <c r="X113" s="88" t="s">
        <v>1778</v>
      </c>
      <c r="Y113" s="88" t="s">
        <v>1779</v>
      </c>
    </row>
    <row r="114" spans="1:45" ht="17.45" customHeight="1">
      <c r="B114" s="351">
        <v>113</v>
      </c>
      <c r="C114" s="304">
        <v>40738</v>
      </c>
      <c r="D114" s="305">
        <v>7600100</v>
      </c>
      <c r="E114" s="306" t="s">
        <v>1986</v>
      </c>
      <c r="F114" s="306" t="s">
        <v>31</v>
      </c>
      <c r="G114" s="307" t="s">
        <v>1979</v>
      </c>
      <c r="H114" s="331">
        <v>1</v>
      </c>
      <c r="I114" s="305" t="s">
        <v>1987</v>
      </c>
      <c r="J114" s="338" t="s">
        <v>1810</v>
      </c>
      <c r="K114" s="308" t="s">
        <v>1600</v>
      </c>
      <c r="L114" s="308" t="s">
        <v>1596</v>
      </c>
      <c r="M114" s="307" t="s">
        <v>1601</v>
      </c>
      <c r="N114" s="313" t="s">
        <v>1571</v>
      </c>
      <c r="O114" s="313" t="s">
        <v>1811</v>
      </c>
      <c r="P114" s="329">
        <v>7600100</v>
      </c>
      <c r="Q114" s="1" t="s">
        <v>1602</v>
      </c>
      <c r="R114" s="352" t="s">
        <v>552</v>
      </c>
      <c r="S114" s="404"/>
      <c r="X114" s="88" t="s">
        <v>1778</v>
      </c>
      <c r="Y114" s="88" t="s">
        <v>1779</v>
      </c>
    </row>
    <row r="115" spans="1:45" ht="17.45" customHeight="1">
      <c r="B115" s="351">
        <v>114</v>
      </c>
      <c r="C115" s="304">
        <v>37600</v>
      </c>
      <c r="D115" s="305">
        <v>7600331</v>
      </c>
      <c r="E115" s="306" t="s">
        <v>1986</v>
      </c>
      <c r="F115" s="306" t="s">
        <v>49</v>
      </c>
      <c r="G115" s="307" t="s">
        <v>1979</v>
      </c>
      <c r="H115" s="331">
        <v>1</v>
      </c>
      <c r="I115" s="305" t="s">
        <v>1988</v>
      </c>
      <c r="J115" s="338" t="s">
        <v>1810</v>
      </c>
      <c r="K115" s="308" t="s">
        <v>1600</v>
      </c>
      <c r="L115" s="308" t="s">
        <v>1596</v>
      </c>
      <c r="M115" s="307" t="s">
        <v>1601</v>
      </c>
      <c r="N115" s="313" t="s">
        <v>1571</v>
      </c>
      <c r="O115" s="313" t="s">
        <v>1811</v>
      </c>
      <c r="P115" s="329">
        <v>7600100</v>
      </c>
      <c r="Q115" s="1" t="s">
        <v>1602</v>
      </c>
      <c r="R115" s="352" t="s">
        <v>552</v>
      </c>
      <c r="S115" s="404"/>
      <c r="X115" s="88" t="s">
        <v>1778</v>
      </c>
      <c r="Y115" s="88" t="s">
        <v>1779</v>
      </c>
    </row>
    <row r="116" spans="1:45" ht="17.45" customHeight="1">
      <c r="B116" s="351">
        <v>115</v>
      </c>
      <c r="C116" s="304">
        <v>38053</v>
      </c>
      <c r="D116" s="305">
        <v>7600358</v>
      </c>
      <c r="E116" s="306" t="s">
        <v>1986</v>
      </c>
      <c r="F116" s="306" t="s">
        <v>20</v>
      </c>
      <c r="G116" s="307" t="s">
        <v>1979</v>
      </c>
      <c r="H116" s="331">
        <v>1</v>
      </c>
      <c r="I116" s="305" t="s">
        <v>1989</v>
      </c>
      <c r="J116" s="338" t="s">
        <v>1810</v>
      </c>
      <c r="K116" s="308" t="s">
        <v>1600</v>
      </c>
      <c r="L116" s="308" t="s">
        <v>1596</v>
      </c>
      <c r="M116" s="307" t="s">
        <v>1603</v>
      </c>
      <c r="N116" s="313" t="s">
        <v>1571</v>
      </c>
      <c r="O116" s="313" t="s">
        <v>1811</v>
      </c>
      <c r="P116" s="329">
        <v>7600358</v>
      </c>
      <c r="Q116" s="1" t="s">
        <v>1602</v>
      </c>
      <c r="R116" s="352" t="s">
        <v>552</v>
      </c>
      <c r="S116" s="404"/>
      <c r="X116" s="88" t="s">
        <v>1778</v>
      </c>
      <c r="Y116" s="88" t="s">
        <v>1779</v>
      </c>
    </row>
    <row r="117" spans="1:45" ht="17.45" customHeight="1">
      <c r="B117" s="351">
        <v>116</v>
      </c>
      <c r="C117" s="304">
        <v>42480</v>
      </c>
      <c r="D117" s="305">
        <v>7600360</v>
      </c>
      <c r="E117" s="306" t="s">
        <v>1986</v>
      </c>
      <c r="F117" s="306" t="s">
        <v>53</v>
      </c>
      <c r="G117" s="307" t="s">
        <v>1990</v>
      </c>
      <c r="H117" s="333">
        <v>4</v>
      </c>
      <c r="I117" s="305" t="s">
        <v>1991</v>
      </c>
      <c r="J117" s="338" t="s">
        <v>1810</v>
      </c>
      <c r="K117" s="308" t="s">
        <v>1600</v>
      </c>
      <c r="L117" s="308" t="s">
        <v>1596</v>
      </c>
      <c r="M117" s="307" t="s">
        <v>1603</v>
      </c>
      <c r="N117" s="313" t="s">
        <v>1571</v>
      </c>
      <c r="O117" s="313" t="s">
        <v>1811</v>
      </c>
      <c r="P117" s="329">
        <v>7600358</v>
      </c>
      <c r="Q117" s="1" t="s">
        <v>1602</v>
      </c>
      <c r="R117" s="352" t="s">
        <v>552</v>
      </c>
      <c r="S117" s="404"/>
      <c r="X117" s="88" t="s">
        <v>1778</v>
      </c>
      <c r="Y117" s="88" t="s">
        <v>1779</v>
      </c>
    </row>
    <row r="118" spans="1:45" ht="17.45" customHeight="1">
      <c r="B118" s="351">
        <v>117</v>
      </c>
      <c r="C118" s="314">
        <v>45744</v>
      </c>
      <c r="D118" s="315">
        <v>7600361</v>
      </c>
      <c r="E118" s="316" t="s">
        <v>1986</v>
      </c>
      <c r="F118" s="306" t="s">
        <v>26</v>
      </c>
      <c r="G118" s="317" t="s">
        <v>1992</v>
      </c>
      <c r="H118" s="334">
        <v>1</v>
      </c>
      <c r="I118" s="305" t="s">
        <v>1993</v>
      </c>
      <c r="J118" s="338" t="s">
        <v>1810</v>
      </c>
      <c r="K118" s="308" t="s">
        <v>1600</v>
      </c>
      <c r="L118" s="308" t="s">
        <v>1596</v>
      </c>
      <c r="M118" s="307" t="s">
        <v>1603</v>
      </c>
      <c r="N118" s="313" t="s">
        <v>1571</v>
      </c>
      <c r="O118" s="313" t="s">
        <v>1811</v>
      </c>
      <c r="P118" s="329">
        <v>7600358</v>
      </c>
      <c r="Q118" s="1" t="s">
        <v>1602</v>
      </c>
      <c r="R118" s="352" t="s">
        <v>552</v>
      </c>
      <c r="S118" s="404"/>
      <c r="X118" s="88" t="s">
        <v>1778</v>
      </c>
      <c r="Y118" s="88" t="s">
        <v>1779</v>
      </c>
    </row>
    <row r="119" spans="1:45" ht="17.45" customHeight="1">
      <c r="B119" s="351">
        <v>118</v>
      </c>
      <c r="C119" s="304">
        <v>44158</v>
      </c>
      <c r="D119" s="305">
        <v>7600595</v>
      </c>
      <c r="E119" s="306" t="s">
        <v>1986</v>
      </c>
      <c r="F119" s="306" t="s">
        <v>45</v>
      </c>
      <c r="G119" s="307" t="s">
        <v>1992</v>
      </c>
      <c r="H119" s="331">
        <v>1</v>
      </c>
      <c r="I119" s="305" t="s">
        <v>1994</v>
      </c>
      <c r="J119" s="338" t="s">
        <v>1810</v>
      </c>
      <c r="K119" s="308" t="s">
        <v>1600</v>
      </c>
      <c r="L119" s="308" t="s">
        <v>1596</v>
      </c>
      <c r="M119" s="307" t="s">
        <v>1601</v>
      </c>
      <c r="N119" s="313" t="s">
        <v>1571</v>
      </c>
      <c r="O119" s="313" t="s">
        <v>1811</v>
      </c>
      <c r="P119" s="329">
        <v>7600100</v>
      </c>
      <c r="Q119" s="1" t="s">
        <v>1602</v>
      </c>
      <c r="R119" s="352" t="s">
        <v>552</v>
      </c>
      <c r="S119" s="404"/>
      <c r="X119" s="88" t="s">
        <v>1778</v>
      </c>
      <c r="Y119" s="88" t="s">
        <v>1779</v>
      </c>
    </row>
    <row r="120" spans="1:45" ht="17.45" customHeight="1">
      <c r="B120" s="351">
        <v>119</v>
      </c>
      <c r="C120" s="304">
        <v>38708</v>
      </c>
      <c r="D120" s="305">
        <v>7600728</v>
      </c>
      <c r="E120" s="306" t="s">
        <v>1986</v>
      </c>
      <c r="F120" s="306" t="s">
        <v>40</v>
      </c>
      <c r="G120" s="307" t="s">
        <v>1992</v>
      </c>
      <c r="H120" s="331">
        <v>1</v>
      </c>
      <c r="I120" s="305" t="s">
        <v>1995</v>
      </c>
      <c r="J120" s="338" t="s">
        <v>1810</v>
      </c>
      <c r="K120" s="308" t="s">
        <v>1600</v>
      </c>
      <c r="L120" s="308" t="s">
        <v>1596</v>
      </c>
      <c r="M120" s="307" t="s">
        <v>1601</v>
      </c>
      <c r="N120" s="313" t="s">
        <v>1571</v>
      </c>
      <c r="O120" s="313" t="s">
        <v>1811</v>
      </c>
      <c r="P120" s="329">
        <v>7600100</v>
      </c>
      <c r="Q120" s="1" t="s">
        <v>1602</v>
      </c>
      <c r="R120" s="352" t="s">
        <v>552</v>
      </c>
      <c r="S120" s="404"/>
      <c r="X120" s="88" t="s">
        <v>1778</v>
      </c>
      <c r="Y120" s="88" t="s">
        <v>1779</v>
      </c>
    </row>
    <row r="121" spans="1:45" ht="17.45" customHeight="1">
      <c r="B121" s="351">
        <v>120</v>
      </c>
      <c r="C121" s="304">
        <v>36714</v>
      </c>
      <c r="D121" s="305">
        <v>7600913</v>
      </c>
      <c r="E121" s="306" t="s">
        <v>1986</v>
      </c>
      <c r="F121" s="306" t="s">
        <v>13</v>
      </c>
      <c r="G121" s="307" t="s">
        <v>1996</v>
      </c>
      <c r="H121" s="331">
        <v>1</v>
      </c>
      <c r="I121" s="305" t="s">
        <v>1997</v>
      </c>
      <c r="J121" s="338" t="s">
        <v>1810</v>
      </c>
      <c r="K121" s="308" t="s">
        <v>1600</v>
      </c>
      <c r="L121" s="308" t="s">
        <v>1596</v>
      </c>
      <c r="M121" s="307" t="s">
        <v>1601</v>
      </c>
      <c r="N121" s="313" t="s">
        <v>1571</v>
      </c>
      <c r="O121" s="313" t="s">
        <v>1811</v>
      </c>
      <c r="P121" s="329">
        <v>7600100</v>
      </c>
      <c r="Q121" s="1" t="s">
        <v>1602</v>
      </c>
      <c r="R121" s="352" t="s">
        <v>552</v>
      </c>
      <c r="S121" s="404"/>
      <c r="X121" s="88" t="s">
        <v>1778</v>
      </c>
      <c r="Y121" s="88" t="s">
        <v>1779</v>
      </c>
    </row>
    <row r="122" spans="1:45" ht="17.45" customHeight="1">
      <c r="B122" s="351">
        <v>121</v>
      </c>
      <c r="C122" s="304">
        <v>40714</v>
      </c>
      <c r="D122" s="305">
        <v>7601214</v>
      </c>
      <c r="E122" s="306" t="s">
        <v>1986</v>
      </c>
      <c r="F122" s="306" t="s">
        <v>36</v>
      </c>
      <c r="G122" s="307" t="s">
        <v>1996</v>
      </c>
      <c r="H122" s="331">
        <v>1</v>
      </c>
      <c r="I122" s="305" t="s">
        <v>1998</v>
      </c>
      <c r="J122" s="338" t="s">
        <v>1810</v>
      </c>
      <c r="K122" s="308" t="s">
        <v>1600</v>
      </c>
      <c r="L122" s="308" t="s">
        <v>1596</v>
      </c>
      <c r="M122" s="307" t="s">
        <v>1601</v>
      </c>
      <c r="N122" s="313" t="s">
        <v>1571</v>
      </c>
      <c r="O122" s="313" t="s">
        <v>1811</v>
      </c>
      <c r="P122" s="329">
        <v>7600100</v>
      </c>
      <c r="Q122" s="1" t="s">
        <v>1602</v>
      </c>
      <c r="R122" s="352" t="s">
        <v>552</v>
      </c>
      <c r="S122" s="404"/>
      <c r="X122" s="88" t="s">
        <v>1778</v>
      </c>
      <c r="Y122" s="88" t="s">
        <v>1779</v>
      </c>
    </row>
    <row r="123" spans="1:45" ht="17.45" customHeight="1">
      <c r="A123" s="132"/>
      <c r="B123" s="351">
        <v>122</v>
      </c>
      <c r="C123" s="304">
        <v>42387</v>
      </c>
      <c r="D123" s="305">
        <v>7600897</v>
      </c>
      <c r="E123" s="306" t="s">
        <v>1999</v>
      </c>
      <c r="F123" s="306" t="s">
        <v>1066</v>
      </c>
      <c r="G123" s="318" t="s">
        <v>1996</v>
      </c>
      <c r="H123" s="333">
        <v>1</v>
      </c>
      <c r="I123" s="305" t="s">
        <v>2000</v>
      </c>
      <c r="J123" s="338" t="s">
        <v>1774</v>
      </c>
      <c r="K123" s="308" t="s">
        <v>1721</v>
      </c>
      <c r="L123" s="308" t="s">
        <v>1706</v>
      </c>
      <c r="M123" s="307" t="s">
        <v>1741</v>
      </c>
      <c r="N123" s="313" t="s">
        <v>1811</v>
      </c>
      <c r="O123" s="313" t="s">
        <v>1590</v>
      </c>
      <c r="P123" s="329">
        <v>7600897</v>
      </c>
      <c r="Q123" s="1" t="s">
        <v>552</v>
      </c>
      <c r="R123" s="1" t="s">
        <v>1723</v>
      </c>
      <c r="S123" s="404"/>
      <c r="X123" s="88" t="s">
        <v>1778</v>
      </c>
      <c r="Y123" s="88" t="s">
        <v>1779</v>
      </c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32"/>
      <c r="AL123" s="132"/>
      <c r="AM123" s="132"/>
      <c r="AN123" s="132"/>
      <c r="AO123" s="132"/>
      <c r="AP123" s="132"/>
      <c r="AQ123" s="132"/>
      <c r="AR123" s="132"/>
      <c r="AS123" s="132"/>
    </row>
    <row r="124" spans="1:45" ht="17.45" customHeight="1">
      <c r="A124" s="132"/>
      <c r="B124" s="351">
        <v>123</v>
      </c>
      <c r="C124" s="304">
        <v>40800</v>
      </c>
      <c r="D124" s="305">
        <v>7600991</v>
      </c>
      <c r="E124" s="306" t="s">
        <v>2001</v>
      </c>
      <c r="F124" s="306" t="s">
        <v>127</v>
      </c>
      <c r="G124" s="318" t="s">
        <v>2002</v>
      </c>
      <c r="H124" s="333">
        <v>1</v>
      </c>
      <c r="I124" s="305" t="s">
        <v>2003</v>
      </c>
      <c r="J124" s="338" t="s">
        <v>1810</v>
      </c>
      <c r="K124" s="308" t="s">
        <v>1604</v>
      </c>
      <c r="L124" s="308" t="s">
        <v>1600</v>
      </c>
      <c r="M124" s="307" t="s">
        <v>1607</v>
      </c>
      <c r="N124" s="313" t="s">
        <v>1574</v>
      </c>
      <c r="O124" s="313" t="s">
        <v>1572</v>
      </c>
      <c r="P124" s="329">
        <v>7600991</v>
      </c>
      <c r="Q124" s="1" t="s">
        <v>1615</v>
      </c>
      <c r="R124" s="1" t="s">
        <v>1606</v>
      </c>
      <c r="S124" s="404"/>
      <c r="X124" s="88"/>
      <c r="Y124" s="88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  <c r="AL124" s="132"/>
      <c r="AM124" s="132"/>
      <c r="AN124" s="132"/>
      <c r="AO124" s="132"/>
      <c r="AP124" s="132"/>
      <c r="AQ124" s="132"/>
      <c r="AR124" s="132"/>
      <c r="AS124" s="132"/>
    </row>
    <row r="125" spans="1:45" ht="17.45" customHeight="1">
      <c r="B125" s="351">
        <v>124</v>
      </c>
      <c r="C125" s="304">
        <v>40869</v>
      </c>
      <c r="D125" s="305">
        <v>7601047</v>
      </c>
      <c r="E125" s="306" t="s">
        <v>2001</v>
      </c>
      <c r="F125" s="306" t="s">
        <v>134</v>
      </c>
      <c r="G125" s="307" t="s">
        <v>1996</v>
      </c>
      <c r="H125" s="331">
        <v>1</v>
      </c>
      <c r="I125" s="305" t="s">
        <v>2004</v>
      </c>
      <c r="J125" s="338" t="s">
        <v>1810</v>
      </c>
      <c r="K125" s="308" t="s">
        <v>1604</v>
      </c>
      <c r="L125" s="308" t="s">
        <v>1600</v>
      </c>
      <c r="M125" s="307" t="s">
        <v>1607</v>
      </c>
      <c r="N125" s="313" t="s">
        <v>1574</v>
      </c>
      <c r="O125" s="313" t="s">
        <v>1572</v>
      </c>
      <c r="P125" s="329">
        <v>7600991</v>
      </c>
      <c r="Q125" s="1" t="s">
        <v>1615</v>
      </c>
      <c r="R125" s="1" t="s">
        <v>1606</v>
      </c>
      <c r="S125" s="404"/>
      <c r="X125" s="88" t="s">
        <v>1778</v>
      </c>
      <c r="Y125" s="88" t="s">
        <v>1779</v>
      </c>
    </row>
    <row r="126" spans="1:45" ht="17.45" customHeight="1">
      <c r="B126" s="351">
        <v>125</v>
      </c>
      <c r="C126" s="304">
        <v>38623</v>
      </c>
      <c r="D126" s="305">
        <v>7601142</v>
      </c>
      <c r="E126" s="306" t="s">
        <v>2001</v>
      </c>
      <c r="F126" s="306" t="s">
        <v>1133</v>
      </c>
      <c r="G126" s="307" t="s">
        <v>1996</v>
      </c>
      <c r="H126" s="331">
        <v>1</v>
      </c>
      <c r="I126" s="305" t="s">
        <v>2005</v>
      </c>
      <c r="J126" s="338" t="s">
        <v>1810</v>
      </c>
      <c r="K126" s="308" t="s">
        <v>1604</v>
      </c>
      <c r="L126" s="308" t="s">
        <v>1600</v>
      </c>
      <c r="M126" s="307" t="s">
        <v>1607</v>
      </c>
      <c r="N126" s="313" t="s">
        <v>1574</v>
      </c>
      <c r="O126" s="313" t="s">
        <v>1572</v>
      </c>
      <c r="P126" s="329">
        <v>7600991</v>
      </c>
      <c r="Q126" s="1" t="s">
        <v>1615</v>
      </c>
      <c r="R126" s="1" t="s">
        <v>1606</v>
      </c>
      <c r="S126" s="404"/>
      <c r="X126" s="88" t="s">
        <v>1778</v>
      </c>
      <c r="Y126" s="88" t="s">
        <v>1779</v>
      </c>
    </row>
    <row r="127" spans="1:45" ht="17.45" customHeight="1">
      <c r="B127" s="351">
        <v>126</v>
      </c>
      <c r="C127" s="304">
        <v>43018</v>
      </c>
      <c r="D127" s="305">
        <v>7600012</v>
      </c>
      <c r="E127" s="306" t="s">
        <v>2006</v>
      </c>
      <c r="F127" s="306" t="s">
        <v>249</v>
      </c>
      <c r="G127" s="318" t="s">
        <v>2002</v>
      </c>
      <c r="H127" s="333">
        <v>1</v>
      </c>
      <c r="I127" s="305" t="s">
        <v>2007</v>
      </c>
      <c r="J127" s="338" t="s">
        <v>1810</v>
      </c>
      <c r="K127" s="308" t="s">
        <v>1604</v>
      </c>
      <c r="L127" s="308" t="s">
        <v>1600</v>
      </c>
      <c r="M127" s="307" t="s">
        <v>1616</v>
      </c>
      <c r="N127" s="313" t="s">
        <v>1574</v>
      </c>
      <c r="O127" s="313" t="s">
        <v>1572</v>
      </c>
      <c r="P127" s="329">
        <v>7600012</v>
      </c>
      <c r="Q127" s="1" t="s">
        <v>1615</v>
      </c>
      <c r="R127" s="1" t="s">
        <v>1606</v>
      </c>
      <c r="S127" s="404"/>
      <c r="X127" s="88" t="s">
        <v>1778</v>
      </c>
      <c r="Y127" s="88" t="s">
        <v>1779</v>
      </c>
    </row>
    <row r="128" spans="1:45" ht="17.45" customHeight="1">
      <c r="B128" s="351">
        <v>127</v>
      </c>
      <c r="C128" s="304">
        <v>35468</v>
      </c>
      <c r="D128" s="305">
        <v>7600154</v>
      </c>
      <c r="E128" s="306" t="s">
        <v>2006</v>
      </c>
      <c r="F128" s="306" t="s">
        <v>224</v>
      </c>
      <c r="G128" s="307" t="s">
        <v>1996</v>
      </c>
      <c r="H128" s="331">
        <v>1</v>
      </c>
      <c r="I128" s="305" t="s">
        <v>2008</v>
      </c>
      <c r="J128" s="338" t="s">
        <v>1810</v>
      </c>
      <c r="K128" s="308" t="s">
        <v>1604</v>
      </c>
      <c r="L128" s="308" t="s">
        <v>1600</v>
      </c>
      <c r="M128" s="307" t="s">
        <v>1616</v>
      </c>
      <c r="N128" s="313" t="s">
        <v>1574</v>
      </c>
      <c r="O128" s="313" t="s">
        <v>1572</v>
      </c>
      <c r="P128" s="329">
        <v>7600012</v>
      </c>
      <c r="Q128" s="1" t="s">
        <v>1615</v>
      </c>
      <c r="R128" s="1" t="s">
        <v>1606</v>
      </c>
      <c r="S128" s="404"/>
      <c r="X128" s="88" t="s">
        <v>1778</v>
      </c>
      <c r="Y128" s="88" t="s">
        <v>1779</v>
      </c>
    </row>
    <row r="129" spans="1:45" s="365" customFormat="1" ht="17.45" customHeight="1">
      <c r="A129" s="366"/>
      <c r="B129" s="360">
        <v>128</v>
      </c>
      <c r="C129" s="321"/>
      <c r="D129" s="361">
        <v>7600602</v>
      </c>
      <c r="E129" s="322" t="s">
        <v>2006</v>
      </c>
      <c r="F129" s="306" t="s">
        <v>240</v>
      </c>
      <c r="G129" s="323"/>
      <c r="H129" s="362">
        <v>1</v>
      </c>
      <c r="I129" s="305" t="s">
        <v>2009</v>
      </c>
      <c r="J129" s="339" t="s">
        <v>1810</v>
      </c>
      <c r="K129" s="308" t="s">
        <v>1604</v>
      </c>
      <c r="L129" s="308" t="s">
        <v>1600</v>
      </c>
      <c r="M129" s="307" t="s">
        <v>1616</v>
      </c>
      <c r="N129" s="313" t="s">
        <v>1574</v>
      </c>
      <c r="O129" s="313" t="s">
        <v>1572</v>
      </c>
      <c r="P129" s="329">
        <v>7600012</v>
      </c>
      <c r="Q129" s="1" t="s">
        <v>1615</v>
      </c>
      <c r="R129" s="1" t="s">
        <v>1606</v>
      </c>
      <c r="S129" s="405"/>
      <c r="T129" s="367"/>
      <c r="X129" s="364" t="s">
        <v>1778</v>
      </c>
      <c r="Y129" s="364" t="s">
        <v>1779</v>
      </c>
    </row>
    <row r="130" spans="1:45" ht="17.45" customHeight="1">
      <c r="B130" s="351">
        <v>129</v>
      </c>
      <c r="C130" s="304">
        <v>38295</v>
      </c>
      <c r="D130" s="305">
        <v>7600854</v>
      </c>
      <c r="E130" s="306" t="s">
        <v>2006</v>
      </c>
      <c r="F130" s="306" t="s">
        <v>243</v>
      </c>
      <c r="G130" s="307" t="s">
        <v>2010</v>
      </c>
      <c r="H130" s="331">
        <v>1</v>
      </c>
      <c r="I130" s="305" t="s">
        <v>2011</v>
      </c>
      <c r="J130" s="338" t="s">
        <v>1810</v>
      </c>
      <c r="K130" s="308" t="s">
        <v>1604</v>
      </c>
      <c r="L130" s="308" t="s">
        <v>1600</v>
      </c>
      <c r="M130" s="307" t="s">
        <v>2012</v>
      </c>
      <c r="N130" s="313" t="s">
        <v>1574</v>
      </c>
      <c r="O130" s="313" t="s">
        <v>1572</v>
      </c>
      <c r="P130" s="329">
        <v>7600012</v>
      </c>
      <c r="Q130" s="1" t="s">
        <v>1615</v>
      </c>
      <c r="R130" s="1" t="s">
        <v>1606</v>
      </c>
      <c r="S130" s="404"/>
      <c r="X130" s="88" t="s">
        <v>1778</v>
      </c>
      <c r="Y130" s="88" t="s">
        <v>1779</v>
      </c>
    </row>
    <row r="131" spans="1:45" ht="17.45" customHeight="1">
      <c r="B131" s="351">
        <v>130</v>
      </c>
      <c r="C131" s="304">
        <v>41249</v>
      </c>
      <c r="D131" s="305">
        <v>7600860</v>
      </c>
      <c r="E131" s="306" t="s">
        <v>2006</v>
      </c>
      <c r="F131" s="306" t="s">
        <v>231</v>
      </c>
      <c r="G131" s="307" t="s">
        <v>2010</v>
      </c>
      <c r="H131" s="331">
        <v>1</v>
      </c>
      <c r="I131" s="305" t="s">
        <v>2013</v>
      </c>
      <c r="J131" s="338" t="s">
        <v>1810</v>
      </c>
      <c r="K131" s="308" t="s">
        <v>1604</v>
      </c>
      <c r="L131" s="308" t="s">
        <v>1600</v>
      </c>
      <c r="M131" s="307" t="s">
        <v>1616</v>
      </c>
      <c r="N131" s="313" t="s">
        <v>1574</v>
      </c>
      <c r="O131" s="313" t="s">
        <v>1572</v>
      </c>
      <c r="P131" s="329">
        <v>7600012</v>
      </c>
      <c r="Q131" s="1" t="s">
        <v>1615</v>
      </c>
      <c r="R131" s="1" t="s">
        <v>1606</v>
      </c>
      <c r="S131" s="404"/>
      <c r="X131" s="88" t="s">
        <v>1778</v>
      </c>
      <c r="Y131" s="88" t="s">
        <v>1779</v>
      </c>
    </row>
    <row r="132" spans="1:45" ht="17.45" customHeight="1">
      <c r="B132" s="351">
        <v>131</v>
      </c>
      <c r="C132" s="304">
        <v>37160</v>
      </c>
      <c r="D132" s="305">
        <v>7600887</v>
      </c>
      <c r="E132" s="306" t="s">
        <v>2006</v>
      </c>
      <c r="F132" s="306" t="s">
        <v>235</v>
      </c>
      <c r="G132" s="307" t="s">
        <v>2010</v>
      </c>
      <c r="H132" s="331">
        <v>1</v>
      </c>
      <c r="I132" s="305" t="s">
        <v>2014</v>
      </c>
      <c r="J132" s="338" t="s">
        <v>1810</v>
      </c>
      <c r="K132" s="308" t="s">
        <v>1604</v>
      </c>
      <c r="L132" s="308" t="s">
        <v>1600</v>
      </c>
      <c r="M132" s="307" t="s">
        <v>1616</v>
      </c>
      <c r="N132" s="313" t="s">
        <v>1574</v>
      </c>
      <c r="O132" s="313" t="s">
        <v>1572</v>
      </c>
      <c r="P132" s="329">
        <v>7600012</v>
      </c>
      <c r="Q132" s="1" t="s">
        <v>1615</v>
      </c>
      <c r="R132" s="1" t="s">
        <v>1606</v>
      </c>
      <c r="S132" s="404"/>
      <c r="X132" s="88" t="s">
        <v>1778</v>
      </c>
      <c r="Y132" s="88" t="s">
        <v>1779</v>
      </c>
    </row>
    <row r="133" spans="1:45" ht="17.45" customHeight="1">
      <c r="B133" s="351">
        <v>132</v>
      </c>
      <c r="C133" s="304">
        <v>35571</v>
      </c>
      <c r="D133" s="305">
        <v>7601197</v>
      </c>
      <c r="E133" s="306" t="s">
        <v>2006</v>
      </c>
      <c r="F133" s="306" t="s">
        <v>246</v>
      </c>
      <c r="G133" s="307" t="s">
        <v>2010</v>
      </c>
      <c r="H133" s="331">
        <v>1</v>
      </c>
      <c r="I133" s="305" t="s">
        <v>2015</v>
      </c>
      <c r="J133" s="338" t="s">
        <v>1810</v>
      </c>
      <c r="K133" s="308" t="s">
        <v>1604</v>
      </c>
      <c r="L133" s="308" t="s">
        <v>1600</v>
      </c>
      <c r="M133" s="307" t="s">
        <v>1616</v>
      </c>
      <c r="N133" s="313" t="s">
        <v>1574</v>
      </c>
      <c r="O133" s="313" t="s">
        <v>1572</v>
      </c>
      <c r="P133" s="329">
        <v>7600012</v>
      </c>
      <c r="Q133" s="1" t="s">
        <v>1615</v>
      </c>
      <c r="R133" s="1" t="s">
        <v>1606</v>
      </c>
      <c r="S133" s="404"/>
      <c r="X133" s="88" t="s">
        <v>1778</v>
      </c>
      <c r="Y133" s="88" t="s">
        <v>1779</v>
      </c>
    </row>
    <row r="134" spans="1:45" ht="17.45" customHeight="1">
      <c r="B134" s="351">
        <v>133</v>
      </c>
      <c r="C134" s="304">
        <v>37246</v>
      </c>
      <c r="D134" s="305">
        <v>7601199</v>
      </c>
      <c r="E134" s="306" t="s">
        <v>2006</v>
      </c>
      <c r="F134" s="306" t="s">
        <v>237</v>
      </c>
      <c r="G134" s="307" t="s">
        <v>2010</v>
      </c>
      <c r="H134" s="331">
        <v>1</v>
      </c>
      <c r="I134" s="305" t="s">
        <v>2016</v>
      </c>
      <c r="J134" s="338" t="s">
        <v>1810</v>
      </c>
      <c r="K134" s="308" t="s">
        <v>1604</v>
      </c>
      <c r="L134" s="308" t="s">
        <v>1600</v>
      </c>
      <c r="M134" s="307" t="s">
        <v>1616</v>
      </c>
      <c r="N134" s="313" t="s">
        <v>1574</v>
      </c>
      <c r="O134" s="313" t="s">
        <v>1572</v>
      </c>
      <c r="P134" s="329">
        <v>7600012</v>
      </c>
      <c r="Q134" s="1" t="s">
        <v>1615</v>
      </c>
      <c r="R134" s="1" t="s">
        <v>1606</v>
      </c>
      <c r="S134" s="404"/>
      <c r="X134" s="88" t="s">
        <v>1778</v>
      </c>
      <c r="Y134" s="88" t="s">
        <v>1779</v>
      </c>
    </row>
    <row r="135" spans="1:45" ht="17.45" customHeight="1">
      <c r="B135" s="351">
        <v>134</v>
      </c>
      <c r="C135" s="304">
        <v>36783</v>
      </c>
      <c r="D135" s="305">
        <v>7601299</v>
      </c>
      <c r="E135" s="306" t="s">
        <v>2006</v>
      </c>
      <c r="F135" s="306" t="s">
        <v>1172</v>
      </c>
      <c r="G135" s="307" t="s">
        <v>2017</v>
      </c>
      <c r="H135" s="331">
        <v>2</v>
      </c>
      <c r="I135" s="305" t="s">
        <v>2018</v>
      </c>
      <c r="J135" s="338" t="s">
        <v>1810</v>
      </c>
      <c r="K135" s="308" t="s">
        <v>1604</v>
      </c>
      <c r="L135" s="308" t="s">
        <v>1600</v>
      </c>
      <c r="M135" s="307" t="s">
        <v>1616</v>
      </c>
      <c r="N135" s="313" t="s">
        <v>1574</v>
      </c>
      <c r="O135" s="313" t="s">
        <v>1572</v>
      </c>
      <c r="P135" s="329">
        <v>7601299</v>
      </c>
      <c r="Q135" s="1" t="s">
        <v>1615</v>
      </c>
      <c r="R135" s="1" t="s">
        <v>1606</v>
      </c>
      <c r="S135" s="404"/>
      <c r="X135" s="88" t="s">
        <v>1778</v>
      </c>
      <c r="Y135" s="88" t="s">
        <v>1779</v>
      </c>
    </row>
    <row r="136" spans="1:45" ht="17.45" customHeight="1">
      <c r="B136" s="351">
        <v>135</v>
      </c>
      <c r="C136" s="304">
        <v>36648</v>
      </c>
      <c r="D136" s="305">
        <v>7600023</v>
      </c>
      <c r="E136" s="306" t="s">
        <v>2019</v>
      </c>
      <c r="F136" s="306" t="s">
        <v>264</v>
      </c>
      <c r="G136" s="307" t="s">
        <v>2017</v>
      </c>
      <c r="H136" s="331">
        <v>2</v>
      </c>
      <c r="I136" s="305" t="s">
        <v>2020</v>
      </c>
      <c r="J136" s="338" t="s">
        <v>1810</v>
      </c>
      <c r="K136" s="308" t="s">
        <v>1609</v>
      </c>
      <c r="L136" s="308" t="s">
        <v>1600</v>
      </c>
      <c r="M136" s="307" t="s">
        <v>1608</v>
      </c>
      <c r="N136" s="313" t="s">
        <v>1575</v>
      </c>
      <c r="O136" s="313" t="s">
        <v>1572</v>
      </c>
      <c r="P136" s="329">
        <v>7600023</v>
      </c>
      <c r="Q136" s="1" t="s">
        <v>1620</v>
      </c>
      <c r="R136" s="1" t="s">
        <v>1606</v>
      </c>
      <c r="S136" s="404"/>
      <c r="X136" s="88" t="s">
        <v>1778</v>
      </c>
      <c r="Y136" s="88" t="s">
        <v>1779</v>
      </c>
    </row>
    <row r="137" spans="1:45" ht="17.45" customHeight="1">
      <c r="B137" s="351">
        <v>136</v>
      </c>
      <c r="C137" s="304">
        <v>40542</v>
      </c>
      <c r="D137" s="305">
        <v>7600271</v>
      </c>
      <c r="E137" s="306" t="s">
        <v>2019</v>
      </c>
      <c r="F137" s="306" t="s">
        <v>266</v>
      </c>
      <c r="G137" s="307" t="s">
        <v>2017</v>
      </c>
      <c r="H137" s="331">
        <v>2</v>
      </c>
      <c r="I137" s="305" t="s">
        <v>2021</v>
      </c>
      <c r="J137" s="338" t="s">
        <v>1810</v>
      </c>
      <c r="K137" s="308" t="s">
        <v>1609</v>
      </c>
      <c r="L137" s="308" t="s">
        <v>1600</v>
      </c>
      <c r="M137" s="307" t="s">
        <v>1608</v>
      </c>
      <c r="N137" s="313" t="s">
        <v>1575</v>
      </c>
      <c r="O137" s="313" t="s">
        <v>1572</v>
      </c>
      <c r="P137" s="329">
        <v>7600023</v>
      </c>
      <c r="Q137" s="1" t="s">
        <v>1620</v>
      </c>
      <c r="R137" s="1" t="s">
        <v>1606</v>
      </c>
      <c r="S137" s="404"/>
      <c r="X137" s="88" t="s">
        <v>1778</v>
      </c>
      <c r="Y137" s="88" t="s">
        <v>1779</v>
      </c>
    </row>
    <row r="138" spans="1:45" ht="17.45" customHeight="1">
      <c r="B138" s="351">
        <v>137</v>
      </c>
      <c r="C138" s="304">
        <v>37961</v>
      </c>
      <c r="D138" s="305">
        <v>7600373</v>
      </c>
      <c r="E138" s="306" t="s">
        <v>2019</v>
      </c>
      <c r="F138" s="306" t="s">
        <v>252</v>
      </c>
      <c r="G138" s="307" t="s">
        <v>2017</v>
      </c>
      <c r="H138" s="331">
        <v>2</v>
      </c>
      <c r="I138" s="305" t="s">
        <v>2022</v>
      </c>
      <c r="J138" s="338" t="s">
        <v>1810</v>
      </c>
      <c r="K138" s="308" t="s">
        <v>1609</v>
      </c>
      <c r="L138" s="308" t="s">
        <v>1600</v>
      </c>
      <c r="M138" s="307" t="s">
        <v>1608</v>
      </c>
      <c r="N138" s="313" t="s">
        <v>1575</v>
      </c>
      <c r="O138" s="313" t="s">
        <v>1572</v>
      </c>
      <c r="P138" s="329">
        <v>7600023</v>
      </c>
      <c r="Q138" s="1" t="s">
        <v>1620</v>
      </c>
      <c r="R138" s="1" t="s">
        <v>1606</v>
      </c>
      <c r="S138" s="404"/>
      <c r="X138" s="88" t="s">
        <v>1778</v>
      </c>
      <c r="Y138" s="88" t="s">
        <v>1779</v>
      </c>
    </row>
    <row r="139" spans="1:45" ht="17.45" customHeight="1">
      <c r="B139" s="351">
        <v>138</v>
      </c>
      <c r="C139" s="304">
        <v>37237</v>
      </c>
      <c r="D139" s="305">
        <v>7600701</v>
      </c>
      <c r="E139" s="306" t="s">
        <v>2019</v>
      </c>
      <c r="F139" s="306" t="s">
        <v>257</v>
      </c>
      <c r="G139" s="307" t="s">
        <v>2023</v>
      </c>
      <c r="H139" s="331">
        <v>4</v>
      </c>
      <c r="I139" s="305" t="s">
        <v>2024</v>
      </c>
      <c r="J139" s="338" t="s">
        <v>1810</v>
      </c>
      <c r="K139" s="308" t="s">
        <v>1609</v>
      </c>
      <c r="L139" s="308" t="s">
        <v>1600</v>
      </c>
      <c r="M139" s="307" t="s">
        <v>1608</v>
      </c>
      <c r="N139" s="313" t="s">
        <v>1575</v>
      </c>
      <c r="O139" s="313" t="s">
        <v>1572</v>
      </c>
      <c r="P139" s="329">
        <v>7600023</v>
      </c>
      <c r="Q139" s="1" t="s">
        <v>1620</v>
      </c>
      <c r="R139" s="1" t="s">
        <v>1606</v>
      </c>
      <c r="S139" s="404"/>
      <c r="X139" s="88" t="s">
        <v>1778</v>
      </c>
      <c r="Y139" s="88" t="s">
        <v>1779</v>
      </c>
    </row>
    <row r="140" spans="1:45" ht="17.45" customHeight="1">
      <c r="B140" s="351">
        <v>139</v>
      </c>
      <c r="C140" s="304">
        <v>36508</v>
      </c>
      <c r="D140" s="305">
        <v>7600756</v>
      </c>
      <c r="E140" s="306" t="s">
        <v>2019</v>
      </c>
      <c r="F140" s="306" t="s">
        <v>260</v>
      </c>
      <c r="G140" s="307" t="s">
        <v>2025</v>
      </c>
      <c r="H140" s="333">
        <v>3</v>
      </c>
      <c r="I140" s="305" t="s">
        <v>2026</v>
      </c>
      <c r="J140" s="338" t="s">
        <v>1810</v>
      </c>
      <c r="K140" s="308" t="s">
        <v>1609</v>
      </c>
      <c r="L140" s="308" t="s">
        <v>1600</v>
      </c>
      <c r="M140" s="307" t="s">
        <v>1608</v>
      </c>
      <c r="N140" s="313" t="s">
        <v>1575</v>
      </c>
      <c r="O140" s="313" t="s">
        <v>1572</v>
      </c>
      <c r="P140" s="329">
        <v>7600023</v>
      </c>
      <c r="Q140" s="1" t="s">
        <v>1620</v>
      </c>
      <c r="R140" s="1" t="s">
        <v>1606</v>
      </c>
      <c r="S140" s="110" t="s">
        <v>1724</v>
      </c>
      <c r="X140" s="88" t="s">
        <v>1778</v>
      </c>
      <c r="Y140" s="88" t="s">
        <v>1779</v>
      </c>
    </row>
    <row r="141" spans="1:45" ht="17.45" customHeight="1">
      <c r="B141" s="351">
        <v>140</v>
      </c>
      <c r="C141" s="304">
        <v>41271</v>
      </c>
      <c r="D141" s="305">
        <v>7600152</v>
      </c>
      <c r="E141" s="306" t="s">
        <v>2027</v>
      </c>
      <c r="F141" s="306" t="s">
        <v>514</v>
      </c>
      <c r="G141" s="307" t="s">
        <v>2025</v>
      </c>
      <c r="H141" s="331">
        <v>3</v>
      </c>
      <c r="I141" s="305" t="s">
        <v>2028</v>
      </c>
      <c r="J141" s="338" t="s">
        <v>1784</v>
      </c>
      <c r="K141" s="308" t="s">
        <v>1638</v>
      </c>
      <c r="L141" s="309" t="s">
        <v>1628</v>
      </c>
      <c r="M141" s="307" t="s">
        <v>1629</v>
      </c>
      <c r="N141" s="313" t="s">
        <v>1630</v>
      </c>
      <c r="O141" s="313" t="s">
        <v>1579</v>
      </c>
      <c r="P141" s="329">
        <v>7600152</v>
      </c>
      <c r="Q141" s="1" t="s">
        <v>1631</v>
      </c>
      <c r="R141" s="1" t="s">
        <v>1787</v>
      </c>
      <c r="S141" s="110" t="s">
        <v>1616</v>
      </c>
      <c r="X141" s="88" t="s">
        <v>1778</v>
      </c>
      <c r="Y141" s="88" t="s">
        <v>1779</v>
      </c>
    </row>
    <row r="142" spans="1:45" ht="17.45" customHeight="1">
      <c r="B142" s="351">
        <v>141</v>
      </c>
      <c r="C142" s="304">
        <v>44060</v>
      </c>
      <c r="D142" s="305">
        <v>7600187</v>
      </c>
      <c r="E142" s="307" t="s">
        <v>2027</v>
      </c>
      <c r="F142" s="306" t="s">
        <v>507</v>
      </c>
      <c r="G142" s="319" t="s">
        <v>2029</v>
      </c>
      <c r="H142" s="333">
        <v>3</v>
      </c>
      <c r="I142" s="305" t="s">
        <v>2030</v>
      </c>
      <c r="J142" s="338" t="s">
        <v>1784</v>
      </c>
      <c r="K142" s="308" t="s">
        <v>1638</v>
      </c>
      <c r="L142" s="309" t="s">
        <v>1628</v>
      </c>
      <c r="M142" s="307" t="s">
        <v>1629</v>
      </c>
      <c r="N142" s="313" t="s">
        <v>1630</v>
      </c>
      <c r="O142" s="313" t="s">
        <v>1579</v>
      </c>
      <c r="P142" s="329">
        <v>7600152</v>
      </c>
      <c r="Q142" s="1" t="s">
        <v>1631</v>
      </c>
      <c r="R142" s="1" t="s">
        <v>1787</v>
      </c>
      <c r="S142" s="110" t="s">
        <v>1608</v>
      </c>
      <c r="X142" s="88" t="s">
        <v>1778</v>
      </c>
      <c r="Y142" s="88" t="s">
        <v>1779</v>
      </c>
    </row>
    <row r="143" spans="1:45" ht="17.45" customHeight="1">
      <c r="B143" s="351">
        <v>142</v>
      </c>
      <c r="C143" s="304">
        <v>41264</v>
      </c>
      <c r="D143" s="305">
        <v>7600353</v>
      </c>
      <c r="E143" s="306" t="s">
        <v>2027</v>
      </c>
      <c r="F143" s="306" t="s">
        <v>526</v>
      </c>
      <c r="G143" s="307" t="s">
        <v>2025</v>
      </c>
      <c r="H143" s="333">
        <v>3</v>
      </c>
      <c r="I143" s="305" t="s">
        <v>2031</v>
      </c>
      <c r="J143" s="338" t="s">
        <v>1784</v>
      </c>
      <c r="K143" s="308" t="s">
        <v>1638</v>
      </c>
      <c r="L143" s="309" t="s">
        <v>1628</v>
      </c>
      <c r="M143" s="307" t="s">
        <v>1629</v>
      </c>
      <c r="N143" s="313" t="s">
        <v>1630</v>
      </c>
      <c r="O143" s="313" t="s">
        <v>1579</v>
      </c>
      <c r="P143" s="329">
        <v>7600152</v>
      </c>
      <c r="Q143" s="1" t="s">
        <v>1631</v>
      </c>
      <c r="R143" s="1" t="s">
        <v>1787</v>
      </c>
      <c r="S143" s="110" t="s">
        <v>1729</v>
      </c>
      <c r="X143" s="88" t="s">
        <v>1778</v>
      </c>
      <c r="Y143" s="88" t="s">
        <v>1779</v>
      </c>
    </row>
    <row r="144" spans="1:45" s="166" customFormat="1" ht="17.45" customHeight="1">
      <c r="A144" s="56"/>
      <c r="B144" s="351">
        <v>143</v>
      </c>
      <c r="C144" s="304">
        <v>40399</v>
      </c>
      <c r="D144" s="305">
        <v>7600566</v>
      </c>
      <c r="E144" s="306" t="s">
        <v>2027</v>
      </c>
      <c r="F144" s="306" t="s">
        <v>521</v>
      </c>
      <c r="G144" s="307" t="s">
        <v>2025</v>
      </c>
      <c r="H144" s="331">
        <v>3</v>
      </c>
      <c r="I144" s="305" t="s">
        <v>2032</v>
      </c>
      <c r="J144" s="338" t="s">
        <v>1784</v>
      </c>
      <c r="K144" s="308" t="s">
        <v>1638</v>
      </c>
      <c r="L144" s="309" t="s">
        <v>1628</v>
      </c>
      <c r="M144" s="307" t="s">
        <v>1629</v>
      </c>
      <c r="N144" s="313" t="s">
        <v>1630</v>
      </c>
      <c r="O144" s="313" t="s">
        <v>1579</v>
      </c>
      <c r="P144" s="329">
        <v>7600152</v>
      </c>
      <c r="Q144" s="1" t="s">
        <v>1631</v>
      </c>
      <c r="R144" s="1" t="s">
        <v>1787</v>
      </c>
      <c r="S144" s="110" t="s">
        <v>1629</v>
      </c>
      <c r="T144" s="129"/>
      <c r="U144" s="74"/>
      <c r="V144" s="74"/>
      <c r="W144" s="74"/>
      <c r="X144" s="88" t="s">
        <v>1778</v>
      </c>
      <c r="Y144" s="88" t="s">
        <v>1779</v>
      </c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</row>
    <row r="145" spans="1:45" ht="17.45" customHeight="1">
      <c r="B145" s="351">
        <v>144</v>
      </c>
      <c r="C145" s="304">
        <v>41036</v>
      </c>
      <c r="D145" s="305">
        <v>7600286</v>
      </c>
      <c r="E145" s="306" t="s">
        <v>2033</v>
      </c>
      <c r="F145" s="306" t="s">
        <v>998</v>
      </c>
      <c r="G145" s="307" t="s">
        <v>2025</v>
      </c>
      <c r="H145" s="331">
        <v>3</v>
      </c>
      <c r="I145" s="305" t="s">
        <v>2034</v>
      </c>
      <c r="J145" s="338" t="s">
        <v>1774</v>
      </c>
      <c r="K145" s="308" t="s">
        <v>1713</v>
      </c>
      <c r="L145" s="308" t="s">
        <v>1706</v>
      </c>
      <c r="M145" s="307" t="s">
        <v>1729</v>
      </c>
      <c r="N145" s="313" t="s">
        <v>1811</v>
      </c>
      <c r="O145" s="313" t="s">
        <v>1590</v>
      </c>
      <c r="P145" s="329">
        <v>7600286</v>
      </c>
      <c r="Q145" s="1" t="s">
        <v>552</v>
      </c>
      <c r="R145" s="1" t="s">
        <v>1723</v>
      </c>
      <c r="S145" s="110" t="s">
        <v>1607</v>
      </c>
      <c r="X145" s="88" t="s">
        <v>1778</v>
      </c>
      <c r="Y145" s="88" t="s">
        <v>1779</v>
      </c>
    </row>
    <row r="146" spans="1:45" ht="17.45" customHeight="1">
      <c r="A146" s="166"/>
      <c r="B146" s="351">
        <v>145</v>
      </c>
      <c r="C146" s="304">
        <v>36503</v>
      </c>
      <c r="D146" s="305">
        <v>7600104</v>
      </c>
      <c r="E146" s="324" t="s">
        <v>2035</v>
      </c>
      <c r="F146" s="306" t="s">
        <v>974</v>
      </c>
      <c r="G146" s="324" t="s">
        <v>2036</v>
      </c>
      <c r="H146" s="333">
        <v>4</v>
      </c>
      <c r="I146" s="305" t="s">
        <v>2037</v>
      </c>
      <c r="J146" s="338" t="s">
        <v>1774</v>
      </c>
      <c r="K146" s="308" t="s">
        <v>1706</v>
      </c>
      <c r="L146" s="308" t="s">
        <v>1706</v>
      </c>
      <c r="M146" s="307" t="s">
        <v>1724</v>
      </c>
      <c r="N146" s="313" t="s">
        <v>1591</v>
      </c>
      <c r="O146" s="313" t="s">
        <v>1590</v>
      </c>
      <c r="P146" s="329">
        <v>7600104</v>
      </c>
      <c r="Q146" s="1" t="s">
        <v>1730</v>
      </c>
      <c r="R146" s="1" t="s">
        <v>1723</v>
      </c>
      <c r="S146" s="404"/>
      <c r="X146" s="88" t="s">
        <v>1778</v>
      </c>
      <c r="Y146" s="88" t="s">
        <v>1779</v>
      </c>
      <c r="Z146" s="166"/>
      <c r="AA146" s="166"/>
      <c r="AB146" s="166"/>
      <c r="AC146" s="166"/>
      <c r="AD146" s="166"/>
      <c r="AE146" s="166"/>
      <c r="AF146" s="166"/>
      <c r="AG146" s="166"/>
      <c r="AH146" s="166"/>
      <c r="AI146" s="166"/>
      <c r="AJ146" s="166"/>
      <c r="AK146" s="166"/>
      <c r="AL146" s="166"/>
      <c r="AM146" s="166"/>
      <c r="AN146" s="166"/>
      <c r="AO146" s="166"/>
      <c r="AP146" s="166"/>
      <c r="AQ146" s="166"/>
      <c r="AR146" s="166"/>
      <c r="AS146" s="166"/>
    </row>
    <row r="147" spans="1:45" ht="17.45" customHeight="1">
      <c r="B147" s="351">
        <v>146</v>
      </c>
      <c r="C147" s="304">
        <v>44679</v>
      </c>
      <c r="D147" s="305">
        <v>7600781</v>
      </c>
      <c r="E147" s="324" t="s">
        <v>2035</v>
      </c>
      <c r="F147" s="306" t="s">
        <v>2038</v>
      </c>
      <c r="G147" s="324" t="s">
        <v>2039</v>
      </c>
      <c r="H147" s="333">
        <v>4</v>
      </c>
      <c r="I147" s="305" t="s">
        <v>2040</v>
      </c>
      <c r="J147" s="338" t="s">
        <v>1774</v>
      </c>
      <c r="K147" s="308" t="s">
        <v>1706</v>
      </c>
      <c r="L147" s="308" t="s">
        <v>1706</v>
      </c>
      <c r="M147" s="307" t="s">
        <v>1724</v>
      </c>
      <c r="N147" s="313" t="s">
        <v>1591</v>
      </c>
      <c r="O147" s="313" t="s">
        <v>1590</v>
      </c>
      <c r="P147" s="329">
        <v>7600104</v>
      </c>
      <c r="Q147" s="1" t="s">
        <v>1730</v>
      </c>
      <c r="R147" s="1" t="s">
        <v>1723</v>
      </c>
      <c r="S147" s="404"/>
      <c r="T147" s="166"/>
      <c r="U147" s="166"/>
      <c r="V147" s="166"/>
      <c r="W147" s="166"/>
      <c r="X147" s="88" t="s">
        <v>1778</v>
      </c>
      <c r="Y147" s="88" t="s">
        <v>1779</v>
      </c>
    </row>
    <row r="148" spans="1:45" ht="17.45" customHeight="1">
      <c r="B148" s="351">
        <v>147</v>
      </c>
      <c r="C148" s="304">
        <v>39465</v>
      </c>
      <c r="D148" s="305">
        <v>7600763</v>
      </c>
      <c r="E148" s="306" t="s">
        <v>2035</v>
      </c>
      <c r="F148" s="306" t="s">
        <v>981</v>
      </c>
      <c r="G148" s="307" t="s">
        <v>2041</v>
      </c>
      <c r="H148" s="331">
        <v>4</v>
      </c>
      <c r="I148" s="305" t="s">
        <v>2042</v>
      </c>
      <c r="J148" s="338" t="s">
        <v>1774</v>
      </c>
      <c r="K148" s="308" t="s">
        <v>1706</v>
      </c>
      <c r="L148" s="308" t="s">
        <v>1706</v>
      </c>
      <c r="M148" s="307" t="s">
        <v>1724</v>
      </c>
      <c r="N148" s="313" t="s">
        <v>1591</v>
      </c>
      <c r="O148" s="313" t="s">
        <v>1590</v>
      </c>
      <c r="P148" s="329">
        <v>7600104</v>
      </c>
      <c r="Q148" s="1" t="s">
        <v>1730</v>
      </c>
      <c r="R148" s="1" t="s">
        <v>1723</v>
      </c>
      <c r="S148" s="404"/>
      <c r="X148" s="88" t="s">
        <v>1778</v>
      </c>
      <c r="Y148" s="88" t="s">
        <v>1779</v>
      </c>
    </row>
    <row r="149" spans="1:45" ht="17.45" customHeight="1">
      <c r="B149" s="351">
        <v>148</v>
      </c>
      <c r="C149" s="304">
        <v>42527</v>
      </c>
      <c r="D149" s="305">
        <v>7601091</v>
      </c>
      <c r="E149" s="306" t="s">
        <v>2043</v>
      </c>
      <c r="F149" s="306" t="s">
        <v>935</v>
      </c>
      <c r="G149" s="307" t="s">
        <v>2044</v>
      </c>
      <c r="H149" s="331">
        <v>4</v>
      </c>
      <c r="I149" s="305" t="s">
        <v>2045</v>
      </c>
      <c r="J149" s="338" t="s">
        <v>1774</v>
      </c>
      <c r="K149" s="308" t="s">
        <v>1706</v>
      </c>
      <c r="L149" s="309" t="s">
        <v>1699</v>
      </c>
      <c r="M149" s="307" t="s">
        <v>1719</v>
      </c>
      <c r="N149" s="313" t="s">
        <v>1591</v>
      </c>
      <c r="O149" s="313" t="s">
        <v>1589</v>
      </c>
      <c r="P149" s="329">
        <v>7601091</v>
      </c>
      <c r="Q149" s="1" t="s">
        <v>1730</v>
      </c>
      <c r="R149" s="1" t="s">
        <v>1715</v>
      </c>
      <c r="S149" s="404"/>
      <c r="X149" s="88" t="s">
        <v>1778</v>
      </c>
      <c r="Y149" s="88" t="s">
        <v>1779</v>
      </c>
    </row>
    <row r="150" spans="1:45" ht="17.45" customHeight="1">
      <c r="B150" s="351">
        <v>149</v>
      </c>
      <c r="C150" s="304">
        <v>42275</v>
      </c>
      <c r="D150" s="305">
        <v>7601187</v>
      </c>
      <c r="E150" s="306" t="s">
        <v>2043</v>
      </c>
      <c r="F150" s="306" t="s">
        <v>941</v>
      </c>
      <c r="G150" s="307" t="s">
        <v>2046</v>
      </c>
      <c r="H150" s="333">
        <v>4</v>
      </c>
      <c r="I150" s="305" t="s">
        <v>2047</v>
      </c>
      <c r="J150" s="338" t="s">
        <v>1774</v>
      </c>
      <c r="K150" s="308" t="s">
        <v>1706</v>
      </c>
      <c r="L150" s="309" t="s">
        <v>1699</v>
      </c>
      <c r="M150" s="307" t="s">
        <v>1719</v>
      </c>
      <c r="N150" s="313" t="s">
        <v>1591</v>
      </c>
      <c r="O150" s="313" t="s">
        <v>1589</v>
      </c>
      <c r="P150" s="329">
        <v>7601091</v>
      </c>
      <c r="Q150" s="1" t="s">
        <v>1730</v>
      </c>
      <c r="R150" s="1" t="s">
        <v>1715</v>
      </c>
      <c r="S150" s="404"/>
      <c r="X150" s="88" t="s">
        <v>1778</v>
      </c>
      <c r="Y150" s="88" t="s">
        <v>1779</v>
      </c>
    </row>
    <row r="151" spans="1:45" ht="17.45" customHeight="1">
      <c r="B151" s="351">
        <v>150</v>
      </c>
      <c r="C151" s="304">
        <v>42796</v>
      </c>
      <c r="D151" s="305">
        <v>7600473</v>
      </c>
      <c r="E151" s="306" t="s">
        <v>2048</v>
      </c>
      <c r="F151" s="306" t="s">
        <v>887</v>
      </c>
      <c r="G151" s="318" t="s">
        <v>2046</v>
      </c>
      <c r="H151" s="333">
        <v>4</v>
      </c>
      <c r="I151" s="305" t="s">
        <v>2049</v>
      </c>
      <c r="J151" s="338" t="s">
        <v>1774</v>
      </c>
      <c r="K151" s="308" t="s">
        <v>1699</v>
      </c>
      <c r="L151" s="309" t="s">
        <v>1699</v>
      </c>
      <c r="M151" s="307" t="s">
        <v>1709</v>
      </c>
      <c r="N151" s="313" t="s">
        <v>1587</v>
      </c>
      <c r="O151" s="313" t="s">
        <v>1589</v>
      </c>
      <c r="P151" s="329">
        <v>7600473</v>
      </c>
      <c r="Q151" s="1" t="s">
        <v>1823</v>
      </c>
      <c r="R151" s="1" t="s">
        <v>1715</v>
      </c>
      <c r="S151" s="404"/>
      <c r="X151" s="88" t="s">
        <v>1778</v>
      </c>
      <c r="Y151" s="88" t="s">
        <v>1779</v>
      </c>
    </row>
    <row r="152" spans="1:45" ht="17.45" customHeight="1">
      <c r="B152" s="351">
        <v>151</v>
      </c>
      <c r="C152" s="304">
        <v>37388</v>
      </c>
      <c r="D152" s="305">
        <v>7600863</v>
      </c>
      <c r="E152" s="306" t="s">
        <v>2050</v>
      </c>
      <c r="F152" s="306" t="s">
        <v>969</v>
      </c>
      <c r="G152" s="307" t="s">
        <v>2051</v>
      </c>
      <c r="H152" s="331">
        <v>3</v>
      </c>
      <c r="I152" s="305" t="s">
        <v>2052</v>
      </c>
      <c r="J152" s="338" t="s">
        <v>1774</v>
      </c>
      <c r="K152" s="308" t="s">
        <v>1775</v>
      </c>
      <c r="L152" s="309" t="s">
        <v>1775</v>
      </c>
      <c r="M152" s="307" t="s">
        <v>1725</v>
      </c>
      <c r="N152" s="313" t="s">
        <v>1776</v>
      </c>
      <c r="O152" s="313" t="s">
        <v>1776</v>
      </c>
      <c r="P152" s="329">
        <v>7600863</v>
      </c>
      <c r="Q152" s="352" t="s">
        <v>1777</v>
      </c>
      <c r="R152" s="352" t="s">
        <v>1777</v>
      </c>
      <c r="S152" s="404"/>
      <c r="X152" s="88" t="s">
        <v>1778</v>
      </c>
      <c r="Y152" s="88" t="s">
        <v>1779</v>
      </c>
    </row>
    <row r="153" spans="1:45" ht="17.45" customHeight="1">
      <c r="B153" s="351">
        <v>152</v>
      </c>
      <c r="C153" s="304">
        <v>35466</v>
      </c>
      <c r="D153" s="305">
        <v>7601104</v>
      </c>
      <c r="E153" s="306" t="s">
        <v>2053</v>
      </c>
      <c r="F153" s="306" t="s">
        <v>635</v>
      </c>
      <c r="G153" s="307" t="s">
        <v>2051</v>
      </c>
      <c r="H153" s="331">
        <v>3</v>
      </c>
      <c r="I153" s="305" t="s">
        <v>2054</v>
      </c>
      <c r="J153" s="338" t="s">
        <v>1802</v>
      </c>
      <c r="K153" s="308" t="s">
        <v>1803</v>
      </c>
      <c r="L153" s="309" t="s">
        <v>1803</v>
      </c>
      <c r="M153" s="307" t="s">
        <v>1669</v>
      </c>
      <c r="N153" s="313" t="s">
        <v>1804</v>
      </c>
      <c r="O153" s="313" t="s">
        <v>1804</v>
      </c>
      <c r="P153" s="329">
        <v>7601104</v>
      </c>
      <c r="Q153" s="1" t="s">
        <v>1805</v>
      </c>
      <c r="R153" s="352" t="s">
        <v>1805</v>
      </c>
      <c r="S153" s="404"/>
      <c r="X153" s="88" t="s">
        <v>1778</v>
      </c>
      <c r="Y153" s="88" t="s">
        <v>1779</v>
      </c>
    </row>
    <row r="154" spans="1:45" ht="17.45" customHeight="1">
      <c r="B154" s="351">
        <v>153</v>
      </c>
      <c r="C154" s="304">
        <v>40183</v>
      </c>
      <c r="D154" s="305">
        <v>7600013</v>
      </c>
      <c r="E154" s="306" t="s">
        <v>2055</v>
      </c>
      <c r="F154" s="306" t="s">
        <v>614</v>
      </c>
      <c r="G154" s="307" t="s">
        <v>2051</v>
      </c>
      <c r="H154" s="331">
        <v>3</v>
      </c>
      <c r="I154" s="305" t="s">
        <v>2056</v>
      </c>
      <c r="J154" s="338" t="s">
        <v>1802</v>
      </c>
      <c r="K154" s="308" t="s">
        <v>1668</v>
      </c>
      <c r="L154" s="309" t="s">
        <v>1661</v>
      </c>
      <c r="M154" s="307" t="s">
        <v>1671</v>
      </c>
      <c r="N154" s="313" t="s">
        <v>1826</v>
      </c>
      <c r="O154" s="313" t="s">
        <v>1583</v>
      </c>
      <c r="P154" s="329">
        <v>7600013</v>
      </c>
      <c r="Q154" s="1" t="s">
        <v>1827</v>
      </c>
      <c r="R154" s="1" t="s">
        <v>1679</v>
      </c>
      <c r="S154" s="404"/>
      <c r="X154" s="88" t="s">
        <v>1778</v>
      </c>
      <c r="Y154" s="88" t="s">
        <v>1779</v>
      </c>
    </row>
    <row r="155" spans="1:45" ht="17.45" customHeight="1">
      <c r="B155" s="351">
        <v>154</v>
      </c>
      <c r="C155" s="304">
        <v>36972</v>
      </c>
      <c r="D155" s="305">
        <v>7600213</v>
      </c>
      <c r="E155" s="306" t="s">
        <v>2055</v>
      </c>
      <c r="F155" s="306" t="s">
        <v>621</v>
      </c>
      <c r="G155" s="307" t="s">
        <v>2051</v>
      </c>
      <c r="H155" s="331">
        <v>3</v>
      </c>
      <c r="I155" s="305" t="s">
        <v>2057</v>
      </c>
      <c r="J155" s="338" t="s">
        <v>1802</v>
      </c>
      <c r="K155" s="308" t="s">
        <v>1668</v>
      </c>
      <c r="L155" s="309" t="s">
        <v>1661</v>
      </c>
      <c r="M155" s="307" t="s">
        <v>1671</v>
      </c>
      <c r="N155" s="313" t="s">
        <v>1826</v>
      </c>
      <c r="O155" s="313" t="s">
        <v>1583</v>
      </c>
      <c r="P155" s="329">
        <v>7600013</v>
      </c>
      <c r="Q155" s="1" t="s">
        <v>1827</v>
      </c>
      <c r="R155" s="1" t="s">
        <v>1679</v>
      </c>
      <c r="S155" s="404"/>
      <c r="X155" s="88" t="s">
        <v>1778</v>
      </c>
      <c r="Y155" s="88" t="s">
        <v>1779</v>
      </c>
    </row>
    <row r="156" spans="1:45" ht="17.45" customHeight="1">
      <c r="B156" s="351">
        <v>155</v>
      </c>
      <c r="C156" s="304">
        <v>40725</v>
      </c>
      <c r="D156" s="305">
        <v>7600312</v>
      </c>
      <c r="E156" s="306" t="s">
        <v>2055</v>
      </c>
      <c r="F156" s="306" t="s">
        <v>607</v>
      </c>
      <c r="G156" s="307" t="s">
        <v>2058</v>
      </c>
      <c r="H156" s="331">
        <v>3</v>
      </c>
      <c r="I156" s="305" t="s">
        <v>2059</v>
      </c>
      <c r="J156" s="338" t="s">
        <v>1802</v>
      </c>
      <c r="K156" s="308" t="s">
        <v>1668</v>
      </c>
      <c r="L156" s="309" t="s">
        <v>1661</v>
      </c>
      <c r="M156" s="307" t="s">
        <v>1671</v>
      </c>
      <c r="N156" s="313" t="s">
        <v>1826</v>
      </c>
      <c r="O156" s="313" t="s">
        <v>1583</v>
      </c>
      <c r="P156" s="329">
        <v>7600013</v>
      </c>
      <c r="Q156" s="1" t="s">
        <v>1827</v>
      </c>
      <c r="R156" s="1" t="s">
        <v>1679</v>
      </c>
      <c r="S156" s="404"/>
      <c r="X156" s="88" t="s">
        <v>1778</v>
      </c>
      <c r="Y156" s="88" t="s">
        <v>1779</v>
      </c>
    </row>
    <row r="157" spans="1:45" ht="17.45" customHeight="1">
      <c r="B157" s="351">
        <v>156</v>
      </c>
      <c r="C157" s="304">
        <v>42625</v>
      </c>
      <c r="D157" s="305">
        <v>7600526</v>
      </c>
      <c r="E157" s="306" t="s">
        <v>2055</v>
      </c>
      <c r="F157" s="306" t="s">
        <v>618</v>
      </c>
      <c r="G157" s="307" t="s">
        <v>2060</v>
      </c>
      <c r="H157" s="331">
        <v>3</v>
      </c>
      <c r="I157" s="305" t="s">
        <v>2061</v>
      </c>
      <c r="J157" s="338" t="s">
        <v>1802</v>
      </c>
      <c r="K157" s="308" t="s">
        <v>1668</v>
      </c>
      <c r="L157" s="309" t="s">
        <v>1661</v>
      </c>
      <c r="M157" s="307" t="s">
        <v>1671</v>
      </c>
      <c r="N157" s="313" t="s">
        <v>1826</v>
      </c>
      <c r="O157" s="313" t="s">
        <v>1583</v>
      </c>
      <c r="P157" s="329">
        <v>7600013</v>
      </c>
      <c r="Q157" s="1" t="s">
        <v>1827</v>
      </c>
      <c r="R157" s="1" t="s">
        <v>1679</v>
      </c>
      <c r="S157" s="404"/>
      <c r="X157" s="88" t="s">
        <v>1778</v>
      </c>
      <c r="Y157" s="88" t="s">
        <v>1779</v>
      </c>
    </row>
    <row r="158" spans="1:45" ht="17.45" customHeight="1">
      <c r="B158" s="351">
        <v>157</v>
      </c>
      <c r="C158" s="304">
        <v>39673</v>
      </c>
      <c r="D158" s="305">
        <v>7600764</v>
      </c>
      <c r="E158" s="306" t="s">
        <v>2062</v>
      </c>
      <c r="F158" s="306" t="s">
        <v>1104</v>
      </c>
      <c r="G158" s="307" t="s">
        <v>2063</v>
      </c>
      <c r="H158" s="333">
        <v>4</v>
      </c>
      <c r="I158" s="305" t="s">
        <v>2064</v>
      </c>
      <c r="J158" s="338" t="s">
        <v>1774</v>
      </c>
      <c r="K158" s="308" t="s">
        <v>1775</v>
      </c>
      <c r="L158" s="309" t="s">
        <v>1775</v>
      </c>
      <c r="M158" s="307" t="s">
        <v>1749</v>
      </c>
      <c r="N158" s="313" t="s">
        <v>1776</v>
      </c>
      <c r="O158" s="313" t="s">
        <v>1776</v>
      </c>
      <c r="P158" s="329">
        <v>7600764</v>
      </c>
      <c r="Q158" s="352" t="s">
        <v>1777</v>
      </c>
      <c r="R158" s="352" t="s">
        <v>1777</v>
      </c>
      <c r="S158" s="404"/>
      <c r="X158" s="88" t="s">
        <v>1778</v>
      </c>
      <c r="Y158" s="88" t="s">
        <v>1779</v>
      </c>
    </row>
    <row r="159" spans="1:45" ht="17.45" customHeight="1">
      <c r="B159" s="351">
        <v>158</v>
      </c>
      <c r="C159" s="304">
        <v>44301</v>
      </c>
      <c r="D159" s="305">
        <v>7601137</v>
      </c>
      <c r="E159" s="307" t="s">
        <v>2065</v>
      </c>
      <c r="F159" s="306" t="s">
        <v>853</v>
      </c>
      <c r="G159" s="319" t="s">
        <v>2066</v>
      </c>
      <c r="H159" s="333">
        <v>4</v>
      </c>
      <c r="I159" s="305" t="s">
        <v>2067</v>
      </c>
      <c r="J159" s="338" t="s">
        <v>1774</v>
      </c>
      <c r="K159" s="308" t="s">
        <v>1775</v>
      </c>
      <c r="L159" s="309" t="s">
        <v>1775</v>
      </c>
      <c r="M159" s="307" t="s">
        <v>1702</v>
      </c>
      <c r="N159" s="313" t="s">
        <v>1776</v>
      </c>
      <c r="O159" s="313" t="s">
        <v>1776</v>
      </c>
      <c r="P159" s="329">
        <v>7601137</v>
      </c>
      <c r="Q159" s="352" t="s">
        <v>1777</v>
      </c>
      <c r="R159" s="352" t="s">
        <v>1777</v>
      </c>
      <c r="X159" s="88" t="s">
        <v>1778</v>
      </c>
      <c r="Y159" s="88" t="s">
        <v>1779</v>
      </c>
    </row>
    <row r="160" spans="1:45" ht="17.45" customHeight="1">
      <c r="B160" s="351">
        <v>159</v>
      </c>
      <c r="C160" s="304">
        <v>43787</v>
      </c>
      <c r="D160" s="305">
        <v>7600382</v>
      </c>
      <c r="E160" s="307" t="s">
        <v>2068</v>
      </c>
      <c r="F160" s="306" t="s">
        <v>348</v>
      </c>
      <c r="G160" s="319" t="s">
        <v>2069</v>
      </c>
      <c r="H160" s="333">
        <v>2</v>
      </c>
      <c r="I160" s="305" t="s">
        <v>2070</v>
      </c>
      <c r="J160" s="338" t="s">
        <v>1784</v>
      </c>
      <c r="K160" s="308" t="s">
        <v>1644</v>
      </c>
      <c r="L160" s="309" t="s">
        <v>1634</v>
      </c>
      <c r="M160" s="307" t="s">
        <v>1636</v>
      </c>
      <c r="N160" s="313" t="s">
        <v>1785</v>
      </c>
      <c r="O160" s="313" t="s">
        <v>1795</v>
      </c>
      <c r="P160" s="329">
        <v>7600382</v>
      </c>
      <c r="Q160" s="1" t="s">
        <v>1786</v>
      </c>
      <c r="R160" s="1" t="s">
        <v>1797</v>
      </c>
      <c r="S160" s="404"/>
      <c r="X160" s="88" t="s">
        <v>1778</v>
      </c>
      <c r="Y160" s="88" t="s">
        <v>1779</v>
      </c>
    </row>
    <row r="161" spans="1:45" ht="17.45" customHeight="1">
      <c r="B161" s="351">
        <v>160</v>
      </c>
      <c r="C161" s="304">
        <v>41999</v>
      </c>
      <c r="D161" s="305">
        <v>7600449</v>
      </c>
      <c r="E161" s="306" t="s">
        <v>2068</v>
      </c>
      <c r="F161" s="306" t="s">
        <v>325</v>
      </c>
      <c r="G161" s="307" t="s">
        <v>2071</v>
      </c>
      <c r="H161" s="333">
        <v>4</v>
      </c>
      <c r="I161" s="305" t="s">
        <v>2072</v>
      </c>
      <c r="J161" s="338" t="s">
        <v>1784</v>
      </c>
      <c r="K161" s="308" t="s">
        <v>1644</v>
      </c>
      <c r="L161" s="309" t="s">
        <v>1634</v>
      </c>
      <c r="M161" s="307" t="s">
        <v>1636</v>
      </c>
      <c r="N161" s="313" t="s">
        <v>1785</v>
      </c>
      <c r="O161" s="313" t="s">
        <v>1795</v>
      </c>
      <c r="P161" s="329">
        <v>7600382</v>
      </c>
      <c r="Q161" s="1" t="s">
        <v>1786</v>
      </c>
      <c r="R161" s="1" t="s">
        <v>1797</v>
      </c>
      <c r="S161" s="110" t="s">
        <v>1736</v>
      </c>
      <c r="X161" s="88" t="s">
        <v>1778</v>
      </c>
      <c r="Y161" s="88" t="s">
        <v>1779</v>
      </c>
    </row>
    <row r="162" spans="1:45" ht="17.45" customHeight="1">
      <c r="B162" s="351">
        <v>161</v>
      </c>
      <c r="C162" s="304">
        <v>43774</v>
      </c>
      <c r="D162" s="305">
        <v>7600550</v>
      </c>
      <c r="E162" s="307" t="s">
        <v>2068</v>
      </c>
      <c r="F162" s="306" t="s">
        <v>342</v>
      </c>
      <c r="G162" s="319" t="s">
        <v>2071</v>
      </c>
      <c r="H162" s="333">
        <v>4</v>
      </c>
      <c r="I162" s="305" t="s">
        <v>2073</v>
      </c>
      <c r="J162" s="338" t="s">
        <v>1784</v>
      </c>
      <c r="K162" s="308" t="s">
        <v>1644</v>
      </c>
      <c r="L162" s="309" t="s">
        <v>1634</v>
      </c>
      <c r="M162" s="307" t="s">
        <v>1636</v>
      </c>
      <c r="N162" s="313" t="s">
        <v>1785</v>
      </c>
      <c r="O162" s="313" t="s">
        <v>1795</v>
      </c>
      <c r="P162" s="329">
        <v>7600382</v>
      </c>
      <c r="Q162" s="1" t="s">
        <v>1786</v>
      </c>
      <c r="R162" s="1" t="s">
        <v>1797</v>
      </c>
      <c r="S162" s="110" t="s">
        <v>1658</v>
      </c>
      <c r="X162" s="88" t="s">
        <v>1778</v>
      </c>
      <c r="Y162" s="88" t="s">
        <v>1779</v>
      </c>
    </row>
    <row r="163" spans="1:45" ht="17.45" customHeight="1">
      <c r="B163" s="351">
        <v>162</v>
      </c>
      <c r="C163" s="304">
        <v>38971</v>
      </c>
      <c r="D163" s="305">
        <v>7600610</v>
      </c>
      <c r="E163" s="306" t="s">
        <v>2068</v>
      </c>
      <c r="F163" s="306" t="s">
        <v>345</v>
      </c>
      <c r="G163" s="307" t="s">
        <v>2074</v>
      </c>
      <c r="H163" s="333">
        <v>2</v>
      </c>
      <c r="I163" s="305" t="s">
        <v>2075</v>
      </c>
      <c r="J163" s="338" t="s">
        <v>1784</v>
      </c>
      <c r="K163" s="308" t="s">
        <v>1644</v>
      </c>
      <c r="L163" s="309" t="s">
        <v>1634</v>
      </c>
      <c r="M163" s="307" t="s">
        <v>1636</v>
      </c>
      <c r="N163" s="313" t="s">
        <v>1785</v>
      </c>
      <c r="O163" s="313" t="s">
        <v>1795</v>
      </c>
      <c r="P163" s="329">
        <v>7600382</v>
      </c>
      <c r="Q163" s="1" t="s">
        <v>1786</v>
      </c>
      <c r="R163" s="1" t="s">
        <v>1797</v>
      </c>
      <c r="S163" s="404"/>
      <c r="X163" s="88" t="s">
        <v>1778</v>
      </c>
      <c r="Y163" s="88" t="s">
        <v>1779</v>
      </c>
    </row>
    <row r="164" spans="1:45" ht="17.45" customHeight="1">
      <c r="B164" s="351">
        <v>163</v>
      </c>
      <c r="C164" s="304">
        <v>36875</v>
      </c>
      <c r="D164" s="305">
        <v>7601112</v>
      </c>
      <c r="E164" s="307" t="s">
        <v>2068</v>
      </c>
      <c r="F164" s="306" t="s">
        <v>339</v>
      </c>
      <c r="G164" s="319" t="s">
        <v>2074</v>
      </c>
      <c r="H164" s="333">
        <v>2</v>
      </c>
      <c r="I164" s="305" t="s">
        <v>2076</v>
      </c>
      <c r="J164" s="338" t="s">
        <v>1784</v>
      </c>
      <c r="K164" s="308" t="s">
        <v>1644</v>
      </c>
      <c r="L164" s="309" t="s">
        <v>1634</v>
      </c>
      <c r="M164" s="307" t="s">
        <v>1636</v>
      </c>
      <c r="N164" s="313" t="s">
        <v>1785</v>
      </c>
      <c r="O164" s="313" t="s">
        <v>1795</v>
      </c>
      <c r="P164" s="329">
        <v>7600382</v>
      </c>
      <c r="Q164" s="1" t="s">
        <v>1786</v>
      </c>
      <c r="R164" s="1" t="s">
        <v>1797</v>
      </c>
      <c r="S164" s="404"/>
      <c r="X164" s="88" t="s">
        <v>1778</v>
      </c>
      <c r="Y164" s="88" t="s">
        <v>1779</v>
      </c>
    </row>
    <row r="165" spans="1:45" ht="17.45" customHeight="1">
      <c r="B165" s="351">
        <v>164</v>
      </c>
      <c r="C165" s="304">
        <v>36443</v>
      </c>
      <c r="D165" s="305">
        <v>7601235</v>
      </c>
      <c r="E165" s="307" t="s">
        <v>2068</v>
      </c>
      <c r="F165" s="306" t="s">
        <v>335</v>
      </c>
      <c r="G165" s="319" t="s">
        <v>2074</v>
      </c>
      <c r="H165" s="333">
        <v>2</v>
      </c>
      <c r="I165" s="305" t="s">
        <v>2077</v>
      </c>
      <c r="J165" s="338" t="s">
        <v>1784</v>
      </c>
      <c r="K165" s="308" t="s">
        <v>1644</v>
      </c>
      <c r="L165" s="309" t="s">
        <v>1634</v>
      </c>
      <c r="M165" s="307" t="s">
        <v>1636</v>
      </c>
      <c r="N165" s="313" t="s">
        <v>1785</v>
      </c>
      <c r="O165" s="313" t="s">
        <v>1795</v>
      </c>
      <c r="P165" s="329">
        <v>7600382</v>
      </c>
      <c r="Q165" s="1" t="s">
        <v>1786</v>
      </c>
      <c r="R165" s="1" t="s">
        <v>1797</v>
      </c>
      <c r="S165" s="404"/>
      <c r="T165" s="182"/>
      <c r="U165" s="182"/>
      <c r="V165" s="182"/>
      <c r="W165" s="182"/>
      <c r="X165" s="88" t="s">
        <v>1778</v>
      </c>
      <c r="Y165" s="88" t="s">
        <v>1779</v>
      </c>
    </row>
    <row r="166" spans="1:45" ht="17.45" customHeight="1">
      <c r="B166" s="351">
        <v>165</v>
      </c>
      <c r="C166" s="304">
        <v>38818</v>
      </c>
      <c r="D166" s="305">
        <v>7601298</v>
      </c>
      <c r="E166" s="307" t="s">
        <v>2078</v>
      </c>
      <c r="F166" s="306" t="s">
        <v>1177</v>
      </c>
      <c r="G166" s="319" t="s">
        <v>2074</v>
      </c>
      <c r="H166" s="333">
        <v>2</v>
      </c>
      <c r="I166" s="305" t="s">
        <v>2079</v>
      </c>
      <c r="J166" s="338" t="s">
        <v>1784</v>
      </c>
      <c r="K166" s="308" t="s">
        <v>1644</v>
      </c>
      <c r="L166" s="309" t="s">
        <v>1634</v>
      </c>
      <c r="M166" s="307" t="s">
        <v>1636</v>
      </c>
      <c r="N166" s="313" t="s">
        <v>1785</v>
      </c>
      <c r="O166" s="313" t="s">
        <v>1795</v>
      </c>
      <c r="P166" s="329">
        <v>7600382</v>
      </c>
      <c r="Q166" s="1" t="s">
        <v>1786</v>
      </c>
      <c r="R166" s="1" t="s">
        <v>1797</v>
      </c>
      <c r="S166" s="404"/>
      <c r="X166" s="88" t="s">
        <v>1778</v>
      </c>
      <c r="Y166" s="88" t="s">
        <v>1779</v>
      </c>
    </row>
    <row r="167" spans="1:45" ht="17.45" customHeight="1">
      <c r="B167" s="351">
        <v>166</v>
      </c>
      <c r="C167" s="304">
        <v>42720</v>
      </c>
      <c r="D167" s="305">
        <v>7601236</v>
      </c>
      <c r="E167" s="306" t="s">
        <v>2068</v>
      </c>
      <c r="F167" s="306" t="s">
        <v>331</v>
      </c>
      <c r="G167" s="307" t="s">
        <v>2074</v>
      </c>
      <c r="H167" s="331">
        <v>2</v>
      </c>
      <c r="I167" s="305" t="s">
        <v>2080</v>
      </c>
      <c r="J167" s="338" t="s">
        <v>1784</v>
      </c>
      <c r="K167" s="308" t="s">
        <v>1644</v>
      </c>
      <c r="L167" s="309" t="s">
        <v>1634</v>
      </c>
      <c r="M167" s="307" t="s">
        <v>1636</v>
      </c>
      <c r="N167" s="313" t="s">
        <v>1785</v>
      </c>
      <c r="O167" s="313" t="s">
        <v>1795</v>
      </c>
      <c r="P167" s="329">
        <v>7600382</v>
      </c>
      <c r="Q167" s="1" t="s">
        <v>1786</v>
      </c>
      <c r="R167" s="1" t="s">
        <v>1797</v>
      </c>
      <c r="S167" s="404"/>
      <c r="X167" s="88" t="s">
        <v>1778</v>
      </c>
      <c r="Y167" s="88" t="s">
        <v>1779</v>
      </c>
    </row>
    <row r="168" spans="1:45" s="86" customFormat="1" ht="17.45" customHeight="1">
      <c r="A168" s="56"/>
      <c r="B168" s="351">
        <v>167</v>
      </c>
      <c r="C168" s="304">
        <v>40889</v>
      </c>
      <c r="D168" s="305">
        <v>7600671</v>
      </c>
      <c r="E168" s="306" t="s">
        <v>2081</v>
      </c>
      <c r="F168" s="306" t="s">
        <v>297</v>
      </c>
      <c r="G168" s="307" t="s">
        <v>2074</v>
      </c>
      <c r="H168" s="331">
        <v>2</v>
      </c>
      <c r="I168" s="305" t="s">
        <v>2082</v>
      </c>
      <c r="J168" s="338" t="s">
        <v>1810</v>
      </c>
      <c r="K168" s="308" t="s">
        <v>1600</v>
      </c>
      <c r="L168" s="308" t="s">
        <v>1596</v>
      </c>
      <c r="M168" s="307" t="s">
        <v>1625</v>
      </c>
      <c r="N168" s="313" t="s">
        <v>1571</v>
      </c>
      <c r="O168" s="313" t="s">
        <v>1811</v>
      </c>
      <c r="P168" s="329">
        <v>7600671</v>
      </c>
      <c r="Q168" s="1" t="s">
        <v>1602</v>
      </c>
      <c r="R168" s="352" t="s">
        <v>552</v>
      </c>
      <c r="S168" s="404"/>
      <c r="T168" s="129"/>
      <c r="U168" s="74"/>
      <c r="V168" s="74"/>
      <c r="W168" s="74"/>
      <c r="X168" s="88" t="s">
        <v>1778</v>
      </c>
      <c r="Y168" s="88" t="s">
        <v>1779</v>
      </c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</row>
    <row r="169" spans="1:45" ht="17.45" customHeight="1">
      <c r="B169" s="351">
        <v>168</v>
      </c>
      <c r="C169" s="304">
        <v>38786</v>
      </c>
      <c r="D169" s="305">
        <v>7600848</v>
      </c>
      <c r="E169" s="306" t="s">
        <v>2083</v>
      </c>
      <c r="F169" s="306" t="s">
        <v>694</v>
      </c>
      <c r="G169" s="307" t="s">
        <v>2074</v>
      </c>
      <c r="H169" s="333">
        <v>2</v>
      </c>
      <c r="I169" s="305" t="s">
        <v>2084</v>
      </c>
      <c r="J169" s="338" t="s">
        <v>1802</v>
      </c>
      <c r="K169" s="308" t="s">
        <v>1661</v>
      </c>
      <c r="L169" s="309" t="s">
        <v>1668</v>
      </c>
      <c r="M169" s="307" t="s">
        <v>1667</v>
      </c>
      <c r="N169" s="313" t="s">
        <v>1663</v>
      </c>
      <c r="O169" s="313" t="s">
        <v>1584</v>
      </c>
      <c r="P169" s="329">
        <v>7600848</v>
      </c>
      <c r="Q169" s="1" t="s">
        <v>1664</v>
      </c>
      <c r="R169" s="1" t="s">
        <v>1676</v>
      </c>
      <c r="S169" s="404"/>
      <c r="X169" s="88" t="s">
        <v>1778</v>
      </c>
      <c r="Y169" s="88" t="s">
        <v>1779</v>
      </c>
    </row>
    <row r="170" spans="1:45" s="365" customFormat="1" ht="17.45" customHeight="1">
      <c r="A170" s="359"/>
      <c r="B170" s="360">
        <v>169</v>
      </c>
      <c r="C170" s="321"/>
      <c r="D170" s="361">
        <v>7600839</v>
      </c>
      <c r="E170" s="322" t="s">
        <v>2085</v>
      </c>
      <c r="F170" s="306" t="s">
        <v>585</v>
      </c>
      <c r="G170" s="323"/>
      <c r="H170" s="362"/>
      <c r="I170" s="305" t="s">
        <v>2086</v>
      </c>
      <c r="J170" s="339" t="s">
        <v>1802</v>
      </c>
      <c r="K170" s="308" t="s">
        <v>1661</v>
      </c>
      <c r="L170" s="309" t="s">
        <v>1668</v>
      </c>
      <c r="M170" s="307" t="s">
        <v>1662</v>
      </c>
      <c r="N170" s="313" t="s">
        <v>1663</v>
      </c>
      <c r="O170" s="313" t="s">
        <v>1584</v>
      </c>
      <c r="P170" s="329">
        <v>7600839</v>
      </c>
      <c r="Q170" s="1" t="s">
        <v>1664</v>
      </c>
      <c r="R170" s="1" t="s">
        <v>1676</v>
      </c>
      <c r="S170" s="405"/>
      <c r="T170" s="359"/>
      <c r="U170" s="359"/>
      <c r="V170" s="359"/>
      <c r="W170" s="359"/>
      <c r="X170" s="364" t="s">
        <v>1778</v>
      </c>
      <c r="Y170" s="364" t="s">
        <v>1779</v>
      </c>
      <c r="Z170" s="359"/>
      <c r="AA170" s="359"/>
      <c r="AB170" s="359"/>
      <c r="AC170" s="359"/>
      <c r="AD170" s="359"/>
      <c r="AE170" s="359"/>
      <c r="AF170" s="359"/>
      <c r="AG170" s="359"/>
      <c r="AH170" s="359"/>
      <c r="AI170" s="359"/>
      <c r="AJ170" s="359"/>
      <c r="AK170" s="359"/>
      <c r="AL170" s="359"/>
      <c r="AM170" s="359"/>
      <c r="AN170" s="359"/>
      <c r="AO170" s="359"/>
      <c r="AP170" s="359"/>
      <c r="AQ170" s="359"/>
      <c r="AR170" s="359"/>
      <c r="AS170" s="359"/>
    </row>
    <row r="171" spans="1:45" ht="17.45" customHeight="1">
      <c r="B171" s="351">
        <v>170</v>
      </c>
      <c r="C171" s="304">
        <v>41149</v>
      </c>
      <c r="D171" s="305">
        <v>7600442</v>
      </c>
      <c r="E171" s="306" t="s">
        <v>2087</v>
      </c>
      <c r="F171" s="306" t="s">
        <v>218</v>
      </c>
      <c r="G171" s="307" t="s">
        <v>2088</v>
      </c>
      <c r="H171" s="331">
        <v>1</v>
      </c>
      <c r="I171" s="305" t="s">
        <v>2089</v>
      </c>
      <c r="J171" s="338" t="s">
        <v>1810</v>
      </c>
      <c r="K171" s="308" t="s">
        <v>1609</v>
      </c>
      <c r="L171" s="308" t="s">
        <v>1600</v>
      </c>
      <c r="M171" s="307" t="s">
        <v>1617</v>
      </c>
      <c r="N171" s="313" t="s">
        <v>1575</v>
      </c>
      <c r="O171" s="313" t="s">
        <v>1572</v>
      </c>
      <c r="P171" s="329">
        <v>7600442</v>
      </c>
      <c r="Q171" s="1" t="s">
        <v>1620</v>
      </c>
      <c r="R171" s="1" t="s">
        <v>1606</v>
      </c>
      <c r="S171" s="404"/>
      <c r="X171" s="88" t="s">
        <v>1778</v>
      </c>
      <c r="Y171" s="88" t="s">
        <v>1779</v>
      </c>
    </row>
    <row r="172" spans="1:45" ht="17.45" customHeight="1">
      <c r="B172" s="351">
        <v>171</v>
      </c>
      <c r="C172" s="310">
        <v>39157</v>
      </c>
      <c r="D172" s="311">
        <v>7600601</v>
      </c>
      <c r="E172" s="313" t="s">
        <v>2087</v>
      </c>
      <c r="F172" s="306" t="s">
        <v>221</v>
      </c>
      <c r="G172" s="320" t="s">
        <v>2090</v>
      </c>
      <c r="H172" s="335">
        <v>2</v>
      </c>
      <c r="I172" s="305" t="s">
        <v>2091</v>
      </c>
      <c r="J172" s="338" t="s">
        <v>1810</v>
      </c>
      <c r="K172" s="308" t="s">
        <v>1609</v>
      </c>
      <c r="L172" s="308" t="s">
        <v>1600</v>
      </c>
      <c r="M172" s="307" t="s">
        <v>1617</v>
      </c>
      <c r="N172" s="313" t="s">
        <v>1575</v>
      </c>
      <c r="O172" s="313" t="s">
        <v>1572</v>
      </c>
      <c r="P172" s="329">
        <v>7600442</v>
      </c>
      <c r="Q172" s="1" t="s">
        <v>1620</v>
      </c>
      <c r="R172" s="1" t="s">
        <v>1606</v>
      </c>
      <c r="S172" s="404"/>
      <c r="X172" s="88" t="s">
        <v>1778</v>
      </c>
      <c r="Y172" s="88" t="s">
        <v>1779</v>
      </c>
    </row>
    <row r="173" spans="1:45" ht="17.45" customHeight="1">
      <c r="B173" s="351">
        <v>172</v>
      </c>
      <c r="C173" s="304">
        <v>43829</v>
      </c>
      <c r="D173" s="305">
        <v>7600816</v>
      </c>
      <c r="E173" s="307" t="s">
        <v>2087</v>
      </c>
      <c r="F173" s="306" t="s">
        <v>216</v>
      </c>
      <c r="G173" s="319" t="s">
        <v>2092</v>
      </c>
      <c r="H173" s="333">
        <v>3</v>
      </c>
      <c r="I173" s="305" t="s">
        <v>2093</v>
      </c>
      <c r="J173" s="338" t="s">
        <v>1810</v>
      </c>
      <c r="K173" s="308" t="s">
        <v>1609</v>
      </c>
      <c r="L173" s="308" t="s">
        <v>1600</v>
      </c>
      <c r="M173" s="307" t="s">
        <v>1617</v>
      </c>
      <c r="N173" s="313" t="s">
        <v>1575</v>
      </c>
      <c r="O173" s="313" t="s">
        <v>1572</v>
      </c>
      <c r="P173" s="329">
        <v>7600442</v>
      </c>
      <c r="Q173" s="1" t="s">
        <v>1620</v>
      </c>
      <c r="R173" s="1" t="s">
        <v>1606</v>
      </c>
      <c r="S173" s="404"/>
      <c r="X173" s="88" t="s">
        <v>1778</v>
      </c>
      <c r="Y173" s="88" t="s">
        <v>1779</v>
      </c>
    </row>
    <row r="174" spans="1:45" ht="17.45" customHeight="1">
      <c r="B174" s="351">
        <v>173</v>
      </c>
      <c r="C174" s="304">
        <v>37225</v>
      </c>
      <c r="D174" s="305">
        <v>7600927</v>
      </c>
      <c r="E174" s="306" t="s">
        <v>2094</v>
      </c>
      <c r="F174" s="306" t="s">
        <v>1004</v>
      </c>
      <c r="G174" s="307" t="s">
        <v>2095</v>
      </c>
      <c r="H174" s="331">
        <v>3</v>
      </c>
      <c r="I174" s="305" t="s">
        <v>2096</v>
      </c>
      <c r="J174" s="338" t="s">
        <v>1774</v>
      </c>
      <c r="K174" s="308" t="s">
        <v>1775</v>
      </c>
      <c r="L174" s="309" t="s">
        <v>1775</v>
      </c>
      <c r="M174" s="307" t="s">
        <v>1731</v>
      </c>
      <c r="N174" s="313" t="s">
        <v>1776</v>
      </c>
      <c r="O174" s="313" t="s">
        <v>1776</v>
      </c>
      <c r="P174" s="329">
        <v>7600927</v>
      </c>
      <c r="Q174" s="352" t="s">
        <v>1777</v>
      </c>
      <c r="R174" s="352" t="s">
        <v>1777</v>
      </c>
      <c r="S174" s="404"/>
      <c r="X174" s="88" t="s">
        <v>1778</v>
      </c>
      <c r="Y174" s="88" t="s">
        <v>1779</v>
      </c>
    </row>
    <row r="175" spans="1:45" ht="17.45" customHeight="1">
      <c r="B175" s="351">
        <v>174</v>
      </c>
      <c r="C175" s="304">
        <v>36686</v>
      </c>
      <c r="D175" s="305">
        <v>7600803</v>
      </c>
      <c r="E175" s="306" t="s">
        <v>2097</v>
      </c>
      <c r="F175" s="306" t="s">
        <v>857</v>
      </c>
      <c r="G175" s="307" t="s">
        <v>2098</v>
      </c>
      <c r="H175" s="331">
        <v>3</v>
      </c>
      <c r="I175" s="305" t="s">
        <v>2099</v>
      </c>
      <c r="J175" s="338" t="s">
        <v>1774</v>
      </c>
      <c r="K175" s="308" t="s">
        <v>1699</v>
      </c>
      <c r="L175" s="309" t="s">
        <v>1699</v>
      </c>
      <c r="M175" s="307" t="s">
        <v>1703</v>
      </c>
      <c r="N175" s="313" t="s">
        <v>1587</v>
      </c>
      <c r="O175" s="313" t="s">
        <v>1589</v>
      </c>
      <c r="P175" s="329">
        <v>7600803</v>
      </c>
      <c r="Q175" s="1" t="s">
        <v>1823</v>
      </c>
      <c r="R175" s="1" t="s">
        <v>1715</v>
      </c>
      <c r="S175" s="404"/>
      <c r="X175" s="88" t="s">
        <v>1778</v>
      </c>
      <c r="Y175" s="88" t="s">
        <v>1779</v>
      </c>
    </row>
    <row r="176" spans="1:45" ht="17.45" customHeight="1">
      <c r="B176" s="351">
        <v>175</v>
      </c>
      <c r="C176" s="304">
        <v>40907</v>
      </c>
      <c r="D176" s="305">
        <v>7600953</v>
      </c>
      <c r="E176" s="306" t="s">
        <v>2100</v>
      </c>
      <c r="F176" s="306" t="s">
        <v>407</v>
      </c>
      <c r="G176" s="307" t="s">
        <v>2101</v>
      </c>
      <c r="H176" s="331">
        <v>1</v>
      </c>
      <c r="I176" s="305" t="s">
        <v>2102</v>
      </c>
      <c r="J176" s="338" t="s">
        <v>1784</v>
      </c>
      <c r="K176" s="308" t="s">
        <v>1638</v>
      </c>
      <c r="L176" s="309" t="s">
        <v>1634</v>
      </c>
      <c r="M176" s="307" t="s">
        <v>1632</v>
      </c>
      <c r="N176" s="313" t="s">
        <v>1630</v>
      </c>
      <c r="O176" s="313" t="s">
        <v>1795</v>
      </c>
      <c r="P176" s="329">
        <v>7600953</v>
      </c>
      <c r="Q176" s="1" t="s">
        <v>1631</v>
      </c>
      <c r="R176" s="1" t="s">
        <v>1797</v>
      </c>
      <c r="S176" s="404"/>
      <c r="X176" s="88" t="s">
        <v>1778</v>
      </c>
      <c r="Y176" s="88" t="s">
        <v>1779</v>
      </c>
    </row>
    <row r="177" spans="1:45" ht="17.45" customHeight="1">
      <c r="B177" s="351">
        <v>176</v>
      </c>
      <c r="C177" s="304">
        <v>38841</v>
      </c>
      <c r="D177" s="305">
        <v>7600954</v>
      </c>
      <c r="E177" s="306" t="s">
        <v>2100</v>
      </c>
      <c r="F177" s="306" t="s">
        <v>401</v>
      </c>
      <c r="G177" s="307" t="s">
        <v>2101</v>
      </c>
      <c r="H177" s="331">
        <v>1</v>
      </c>
      <c r="I177" s="305" t="s">
        <v>2103</v>
      </c>
      <c r="J177" s="338" t="s">
        <v>1784</v>
      </c>
      <c r="K177" s="308" t="s">
        <v>1638</v>
      </c>
      <c r="L177" s="309" t="s">
        <v>1634</v>
      </c>
      <c r="M177" s="307" t="s">
        <v>1632</v>
      </c>
      <c r="N177" s="313" t="s">
        <v>1630</v>
      </c>
      <c r="O177" s="313" t="s">
        <v>1795</v>
      </c>
      <c r="P177" s="329">
        <v>7600953</v>
      </c>
      <c r="Q177" s="1" t="s">
        <v>1631</v>
      </c>
      <c r="R177" s="1" t="s">
        <v>1797</v>
      </c>
      <c r="S177" s="404"/>
      <c r="X177" s="88" t="s">
        <v>1778</v>
      </c>
      <c r="Y177" s="88" t="s">
        <v>1779</v>
      </c>
    </row>
    <row r="178" spans="1:45" ht="17.45" customHeight="1">
      <c r="B178" s="351">
        <v>177</v>
      </c>
      <c r="C178" s="304">
        <v>40836</v>
      </c>
      <c r="D178" s="305">
        <v>7600258</v>
      </c>
      <c r="E178" s="306" t="s">
        <v>2104</v>
      </c>
      <c r="F178" s="306" t="s">
        <v>303</v>
      </c>
      <c r="G178" s="307" t="s">
        <v>2101</v>
      </c>
      <c r="H178" s="331">
        <v>1</v>
      </c>
      <c r="I178" s="305" t="s">
        <v>2105</v>
      </c>
      <c r="J178" s="338" t="s">
        <v>1810</v>
      </c>
      <c r="K178" s="308" t="s">
        <v>1600</v>
      </c>
      <c r="L178" s="308" t="s">
        <v>1596</v>
      </c>
      <c r="M178" s="307" t="s">
        <v>1627</v>
      </c>
      <c r="N178" s="313" t="s">
        <v>1571</v>
      </c>
      <c r="O178" s="313" t="s">
        <v>1811</v>
      </c>
      <c r="P178" s="329">
        <v>7600258</v>
      </c>
      <c r="Q178" s="1" t="s">
        <v>1602</v>
      </c>
      <c r="R178" s="352" t="s">
        <v>552</v>
      </c>
      <c r="S178" s="404"/>
      <c r="X178" s="88" t="s">
        <v>1778</v>
      </c>
      <c r="Y178" s="88" t="s">
        <v>1779</v>
      </c>
    </row>
    <row r="179" spans="1:45" ht="17.45" customHeight="1">
      <c r="B179" s="351">
        <v>178</v>
      </c>
      <c r="C179" s="304">
        <v>42628</v>
      </c>
      <c r="D179" s="305">
        <v>7600263</v>
      </c>
      <c r="E179" s="306" t="s">
        <v>2104</v>
      </c>
      <c r="F179" s="306" t="s">
        <v>313</v>
      </c>
      <c r="G179" s="307" t="s">
        <v>2106</v>
      </c>
      <c r="H179" s="331">
        <v>4</v>
      </c>
      <c r="I179" s="305" t="s">
        <v>2107</v>
      </c>
      <c r="J179" s="338" t="s">
        <v>1810</v>
      </c>
      <c r="K179" s="308" t="s">
        <v>1600</v>
      </c>
      <c r="L179" s="308" t="s">
        <v>1596</v>
      </c>
      <c r="M179" s="307" t="s">
        <v>1627</v>
      </c>
      <c r="N179" s="313" t="s">
        <v>1571</v>
      </c>
      <c r="O179" s="313" t="s">
        <v>1811</v>
      </c>
      <c r="P179" s="329">
        <v>7600258</v>
      </c>
      <c r="Q179" s="1" t="s">
        <v>1602</v>
      </c>
      <c r="R179" s="352" t="s">
        <v>552</v>
      </c>
      <c r="S179" s="404"/>
      <c r="X179" s="88" t="s">
        <v>1778</v>
      </c>
      <c r="Y179" s="88" t="s">
        <v>1779</v>
      </c>
    </row>
    <row r="180" spans="1:45" ht="17.45" customHeight="1">
      <c r="B180" s="351">
        <v>179</v>
      </c>
      <c r="C180" s="304">
        <v>41922</v>
      </c>
      <c r="D180" s="305">
        <v>7600277</v>
      </c>
      <c r="E180" s="306" t="s">
        <v>2104</v>
      </c>
      <c r="F180" s="306" t="s">
        <v>310</v>
      </c>
      <c r="G180" s="307" t="s">
        <v>2108</v>
      </c>
      <c r="H180" s="333">
        <v>4</v>
      </c>
      <c r="I180" s="305" t="s">
        <v>2109</v>
      </c>
      <c r="J180" s="338" t="s">
        <v>1810</v>
      </c>
      <c r="K180" s="308" t="s">
        <v>1600</v>
      </c>
      <c r="L180" s="308" t="s">
        <v>1596</v>
      </c>
      <c r="M180" s="307" t="s">
        <v>1627</v>
      </c>
      <c r="N180" s="313" t="s">
        <v>1571</v>
      </c>
      <c r="O180" s="313" t="s">
        <v>1811</v>
      </c>
      <c r="P180" s="329">
        <v>7600258</v>
      </c>
      <c r="Q180" s="1" t="s">
        <v>1602</v>
      </c>
      <c r="R180" s="352" t="s">
        <v>552</v>
      </c>
      <c r="X180" s="88" t="s">
        <v>1778</v>
      </c>
      <c r="Y180" s="88" t="s">
        <v>1779</v>
      </c>
    </row>
    <row r="181" spans="1:45" ht="17.45" customHeight="1">
      <c r="B181" s="351">
        <v>180</v>
      </c>
      <c r="C181" s="304">
        <v>37256</v>
      </c>
      <c r="D181" s="305">
        <v>7601297</v>
      </c>
      <c r="E181" s="306" t="s">
        <v>2104</v>
      </c>
      <c r="F181" s="306" t="s">
        <v>1171</v>
      </c>
      <c r="G181" s="307" t="s">
        <v>2110</v>
      </c>
      <c r="H181" s="331">
        <v>1</v>
      </c>
      <c r="I181" s="305" t="s">
        <v>2111</v>
      </c>
      <c r="J181" s="338" t="s">
        <v>1810</v>
      </c>
      <c r="K181" s="308" t="s">
        <v>1600</v>
      </c>
      <c r="L181" s="308" t="s">
        <v>1596</v>
      </c>
      <c r="M181" s="307" t="s">
        <v>1627</v>
      </c>
      <c r="N181" s="313" t="s">
        <v>1571</v>
      </c>
      <c r="O181" s="313" t="s">
        <v>1811</v>
      </c>
      <c r="P181" s="329">
        <v>7600258</v>
      </c>
      <c r="Q181" s="1" t="s">
        <v>1602</v>
      </c>
      <c r="R181" s="352" t="s">
        <v>552</v>
      </c>
      <c r="S181" s="404"/>
      <c r="X181" s="88" t="s">
        <v>1778</v>
      </c>
      <c r="Y181" s="88" t="s">
        <v>1779</v>
      </c>
    </row>
    <row r="182" spans="1:45" ht="17.45" customHeight="1">
      <c r="B182" s="351">
        <v>181</v>
      </c>
      <c r="C182" s="304">
        <v>37224</v>
      </c>
      <c r="D182" s="305">
        <v>7600709</v>
      </c>
      <c r="E182" s="306" t="s">
        <v>2112</v>
      </c>
      <c r="F182" s="306" t="s">
        <v>1111</v>
      </c>
      <c r="G182" s="307" t="s">
        <v>2110</v>
      </c>
      <c r="H182" s="331">
        <v>1</v>
      </c>
      <c r="I182" s="305" t="s">
        <v>2113</v>
      </c>
      <c r="J182" s="338" t="s">
        <v>1774</v>
      </c>
      <c r="K182" s="308" t="s">
        <v>1706</v>
      </c>
      <c r="L182" s="308" t="s">
        <v>1706</v>
      </c>
      <c r="M182" s="307" t="s">
        <v>1750</v>
      </c>
      <c r="N182" s="313" t="s">
        <v>1591</v>
      </c>
      <c r="O182" s="313" t="s">
        <v>1590</v>
      </c>
      <c r="P182" s="329">
        <v>7600709</v>
      </c>
      <c r="Q182" s="1" t="s">
        <v>1730</v>
      </c>
      <c r="R182" s="1" t="s">
        <v>1723</v>
      </c>
      <c r="S182" s="404"/>
      <c r="X182" s="88" t="s">
        <v>1778</v>
      </c>
      <c r="Y182" s="88" t="s">
        <v>1779</v>
      </c>
    </row>
    <row r="183" spans="1:45" ht="17.45" customHeight="1">
      <c r="B183" s="351">
        <v>182</v>
      </c>
      <c r="C183" s="304"/>
      <c r="D183" s="350">
        <v>7600822</v>
      </c>
      <c r="E183" s="306" t="s">
        <v>2114</v>
      </c>
      <c r="F183" s="306" t="s">
        <v>718</v>
      </c>
      <c r="G183" s="307"/>
      <c r="H183" s="331">
        <v>1</v>
      </c>
      <c r="I183" s="305" t="s">
        <v>2115</v>
      </c>
      <c r="J183" s="338" t="s">
        <v>1802</v>
      </c>
      <c r="K183" s="308" t="s">
        <v>1682</v>
      </c>
      <c r="L183" s="309" t="s">
        <v>1668</v>
      </c>
      <c r="M183" s="307" t="s">
        <v>1683</v>
      </c>
      <c r="N183" s="313" t="s">
        <v>1585</v>
      </c>
      <c r="O183" s="313" t="s">
        <v>1584</v>
      </c>
      <c r="P183" s="329">
        <v>7600822</v>
      </c>
      <c r="Q183" s="1" t="s">
        <v>1670</v>
      </c>
      <c r="R183" s="1" t="s">
        <v>1676</v>
      </c>
      <c r="S183" s="404"/>
      <c r="X183" s="88" t="s">
        <v>1778</v>
      </c>
      <c r="Y183" s="88" t="s">
        <v>1779</v>
      </c>
    </row>
    <row r="184" spans="1:45" s="182" customFormat="1" ht="17.45" customHeight="1">
      <c r="A184" s="56"/>
      <c r="B184" s="351">
        <v>183</v>
      </c>
      <c r="C184" s="304">
        <v>37181</v>
      </c>
      <c r="D184" s="305">
        <v>7600826</v>
      </c>
      <c r="E184" s="306" t="s">
        <v>2114</v>
      </c>
      <c r="F184" s="306" t="s">
        <v>712</v>
      </c>
      <c r="G184" s="307" t="s">
        <v>2110</v>
      </c>
      <c r="H184" s="331">
        <v>1</v>
      </c>
      <c r="I184" s="305" t="s">
        <v>2116</v>
      </c>
      <c r="J184" s="338" t="s">
        <v>1802</v>
      </c>
      <c r="K184" s="308" t="s">
        <v>1682</v>
      </c>
      <c r="L184" s="309" t="s">
        <v>1668</v>
      </c>
      <c r="M184" s="307" t="s">
        <v>1683</v>
      </c>
      <c r="N184" s="313" t="s">
        <v>1585</v>
      </c>
      <c r="O184" s="313" t="s">
        <v>1584</v>
      </c>
      <c r="P184" s="329">
        <v>7600822</v>
      </c>
      <c r="Q184" s="1" t="s">
        <v>1670</v>
      </c>
      <c r="R184" s="1" t="s">
        <v>1676</v>
      </c>
      <c r="S184" s="404"/>
      <c r="T184" s="129"/>
      <c r="U184" s="74"/>
      <c r="V184" s="74"/>
      <c r="W184" s="74"/>
      <c r="X184" s="88" t="s">
        <v>1778</v>
      </c>
      <c r="Y184" s="88" t="s">
        <v>1779</v>
      </c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</row>
    <row r="185" spans="1:45" ht="17.45" customHeight="1">
      <c r="B185" s="351">
        <v>184</v>
      </c>
      <c r="C185" s="304">
        <v>41272</v>
      </c>
      <c r="D185" s="305">
        <v>7600875</v>
      </c>
      <c r="E185" s="306" t="s">
        <v>2114</v>
      </c>
      <c r="F185" s="306" t="s">
        <v>707</v>
      </c>
      <c r="G185" s="307" t="s">
        <v>2117</v>
      </c>
      <c r="H185" s="333">
        <v>4</v>
      </c>
      <c r="I185" s="305" t="s">
        <v>2118</v>
      </c>
      <c r="J185" s="338" t="s">
        <v>1802</v>
      </c>
      <c r="K185" s="308" t="s">
        <v>1682</v>
      </c>
      <c r="L185" s="309" t="s">
        <v>1668</v>
      </c>
      <c r="M185" s="307" t="s">
        <v>1683</v>
      </c>
      <c r="N185" s="313" t="s">
        <v>1585</v>
      </c>
      <c r="O185" s="313" t="s">
        <v>1584</v>
      </c>
      <c r="P185" s="329">
        <v>7600822</v>
      </c>
      <c r="Q185" s="1" t="s">
        <v>1670</v>
      </c>
      <c r="R185" s="1" t="s">
        <v>1676</v>
      </c>
      <c r="S185" s="404"/>
      <c r="X185" s="88" t="s">
        <v>1778</v>
      </c>
      <c r="Y185" s="88" t="s">
        <v>1779</v>
      </c>
    </row>
    <row r="186" spans="1:45" ht="17.45" customHeight="1">
      <c r="A186" s="182"/>
      <c r="B186" s="351">
        <v>185</v>
      </c>
      <c r="C186" s="304">
        <v>41273</v>
      </c>
      <c r="D186" s="305">
        <v>7601179</v>
      </c>
      <c r="E186" s="306" t="s">
        <v>2114</v>
      </c>
      <c r="F186" s="306" t="s">
        <v>715</v>
      </c>
      <c r="G186" s="319" t="s">
        <v>2119</v>
      </c>
      <c r="H186" s="333">
        <v>3</v>
      </c>
      <c r="I186" s="305" t="s">
        <v>2120</v>
      </c>
      <c r="J186" s="338" t="s">
        <v>1802</v>
      </c>
      <c r="K186" s="308" t="s">
        <v>1682</v>
      </c>
      <c r="L186" s="309" t="s">
        <v>1668</v>
      </c>
      <c r="M186" s="307" t="s">
        <v>1683</v>
      </c>
      <c r="N186" s="313" t="s">
        <v>1585</v>
      </c>
      <c r="O186" s="313" t="s">
        <v>1584</v>
      </c>
      <c r="P186" s="329">
        <v>7600822</v>
      </c>
      <c r="Q186" s="1" t="s">
        <v>1670</v>
      </c>
      <c r="R186" s="1" t="s">
        <v>1676</v>
      </c>
      <c r="S186" s="404"/>
      <c r="X186" s="88" t="s">
        <v>1778</v>
      </c>
      <c r="Y186" s="88" t="s">
        <v>1779</v>
      </c>
      <c r="Z186" s="182"/>
      <c r="AA186" s="182"/>
      <c r="AB186" s="182"/>
      <c r="AC186" s="182"/>
      <c r="AD186" s="182"/>
      <c r="AE186" s="182"/>
      <c r="AF186" s="182"/>
      <c r="AG186" s="182"/>
      <c r="AH186" s="182"/>
      <c r="AI186" s="182"/>
      <c r="AJ186" s="182"/>
      <c r="AK186" s="182"/>
      <c r="AL186" s="182"/>
      <c r="AM186" s="182"/>
      <c r="AN186" s="182"/>
      <c r="AO186" s="182"/>
      <c r="AP186" s="182"/>
      <c r="AQ186" s="182"/>
      <c r="AR186" s="182"/>
      <c r="AS186" s="182"/>
    </row>
    <row r="187" spans="1:45" ht="17.45" customHeight="1">
      <c r="B187" s="351">
        <v>186</v>
      </c>
      <c r="C187" s="304">
        <v>41638</v>
      </c>
      <c r="D187" s="305">
        <v>7601180</v>
      </c>
      <c r="E187" s="306" t="s">
        <v>2114</v>
      </c>
      <c r="F187" s="306" t="s">
        <v>699</v>
      </c>
      <c r="G187" s="307" t="s">
        <v>2119</v>
      </c>
      <c r="H187" s="333">
        <v>3</v>
      </c>
      <c r="I187" s="305" t="s">
        <v>2121</v>
      </c>
      <c r="J187" s="338" t="s">
        <v>1802</v>
      </c>
      <c r="K187" s="308" t="s">
        <v>1682</v>
      </c>
      <c r="L187" s="309" t="s">
        <v>1668</v>
      </c>
      <c r="M187" s="307" t="s">
        <v>1683</v>
      </c>
      <c r="N187" s="313" t="s">
        <v>1585</v>
      </c>
      <c r="O187" s="313" t="s">
        <v>1584</v>
      </c>
      <c r="P187" s="329">
        <v>7600822</v>
      </c>
      <c r="Q187" s="1" t="s">
        <v>1670</v>
      </c>
      <c r="R187" s="1" t="s">
        <v>1676</v>
      </c>
      <c r="S187" s="404"/>
      <c r="X187" s="88" t="s">
        <v>1778</v>
      </c>
      <c r="Y187" s="88" t="s">
        <v>1779</v>
      </c>
    </row>
    <row r="188" spans="1:45" ht="17.45" customHeight="1">
      <c r="B188" s="351">
        <v>187</v>
      </c>
      <c r="C188" s="304">
        <v>36463</v>
      </c>
      <c r="D188" s="305">
        <v>7600810</v>
      </c>
      <c r="E188" s="306" t="s">
        <v>2122</v>
      </c>
      <c r="F188" s="306" t="s">
        <v>1041</v>
      </c>
      <c r="G188" s="307" t="s">
        <v>2119</v>
      </c>
      <c r="H188" s="333">
        <v>3</v>
      </c>
      <c r="I188" s="305" t="s">
        <v>2123</v>
      </c>
      <c r="J188" s="338" t="s">
        <v>1774</v>
      </c>
      <c r="K188" s="308" t="s">
        <v>1775</v>
      </c>
      <c r="L188" s="309" t="s">
        <v>1775</v>
      </c>
      <c r="M188" s="307" t="s">
        <v>1742</v>
      </c>
      <c r="N188" s="313" t="s">
        <v>1776</v>
      </c>
      <c r="O188" s="313" t="s">
        <v>1776</v>
      </c>
      <c r="P188" s="329">
        <v>7600810</v>
      </c>
      <c r="Q188" s="352" t="s">
        <v>1777</v>
      </c>
      <c r="R188" s="352" t="s">
        <v>1777</v>
      </c>
      <c r="S188" s="404"/>
      <c r="X188" s="88" t="s">
        <v>1778</v>
      </c>
      <c r="Y188" s="88" t="s">
        <v>1779</v>
      </c>
    </row>
    <row r="189" spans="1:45" ht="17.45" customHeight="1">
      <c r="B189" s="351">
        <v>188</v>
      </c>
      <c r="C189" s="304">
        <v>37601</v>
      </c>
      <c r="D189" s="305">
        <v>7600872</v>
      </c>
      <c r="E189" s="306" t="s">
        <v>2122</v>
      </c>
      <c r="F189" s="306" t="s">
        <v>1046</v>
      </c>
      <c r="G189" s="319" t="s">
        <v>2119</v>
      </c>
      <c r="H189" s="333">
        <v>3</v>
      </c>
      <c r="I189" s="305" t="s">
        <v>2124</v>
      </c>
      <c r="J189" s="338" t="s">
        <v>1774</v>
      </c>
      <c r="K189" s="308" t="s">
        <v>1775</v>
      </c>
      <c r="L189" s="309" t="s">
        <v>1775</v>
      </c>
      <c r="M189" s="307" t="s">
        <v>1742</v>
      </c>
      <c r="N189" s="313" t="s">
        <v>1776</v>
      </c>
      <c r="O189" s="313" t="s">
        <v>1776</v>
      </c>
      <c r="P189" s="329">
        <v>7600810</v>
      </c>
      <c r="Q189" s="352" t="s">
        <v>1777</v>
      </c>
      <c r="R189" s="352" t="s">
        <v>1777</v>
      </c>
      <c r="S189" s="404"/>
      <c r="X189" s="88" t="s">
        <v>1778</v>
      </c>
      <c r="Y189" s="88" t="s">
        <v>1779</v>
      </c>
    </row>
    <row r="190" spans="1:45" ht="17.45" customHeight="1">
      <c r="B190" s="351">
        <v>189</v>
      </c>
      <c r="C190" s="304">
        <v>39204</v>
      </c>
      <c r="D190" s="305">
        <v>7600062</v>
      </c>
      <c r="E190" s="306" t="s">
        <v>2125</v>
      </c>
      <c r="F190" s="306" t="s">
        <v>2126</v>
      </c>
      <c r="G190" s="307" t="s">
        <v>2119</v>
      </c>
      <c r="H190" s="333">
        <v>3</v>
      </c>
      <c r="I190" s="305" t="s">
        <v>2127</v>
      </c>
      <c r="J190" s="338" t="s">
        <v>1802</v>
      </c>
      <c r="K190" s="308" t="s">
        <v>1682</v>
      </c>
      <c r="L190" s="309" t="s">
        <v>1661</v>
      </c>
      <c r="M190" s="307" t="s">
        <v>1684</v>
      </c>
      <c r="N190" s="313" t="s">
        <v>1585</v>
      </c>
      <c r="O190" s="313" t="s">
        <v>1583</v>
      </c>
      <c r="P190" s="329">
        <v>7600062</v>
      </c>
      <c r="Q190" s="1" t="s">
        <v>1670</v>
      </c>
      <c r="R190" s="1" t="s">
        <v>1679</v>
      </c>
      <c r="S190" s="404"/>
      <c r="X190" s="88" t="s">
        <v>1778</v>
      </c>
      <c r="Y190" s="88" t="s">
        <v>1779</v>
      </c>
    </row>
    <row r="191" spans="1:45" ht="17.45" customHeight="1">
      <c r="B191" s="351">
        <v>190</v>
      </c>
      <c r="C191" s="321">
        <v>45463</v>
      </c>
      <c r="D191" s="305">
        <v>7600726</v>
      </c>
      <c r="E191" s="322" t="s">
        <v>2125</v>
      </c>
      <c r="F191" s="306" t="s">
        <v>722</v>
      </c>
      <c r="G191" s="323" t="s">
        <v>2128</v>
      </c>
      <c r="H191" s="337">
        <v>3</v>
      </c>
      <c r="I191" s="305" t="s">
        <v>2129</v>
      </c>
      <c r="J191" s="338" t="s">
        <v>1802</v>
      </c>
      <c r="K191" s="308" t="s">
        <v>1682</v>
      </c>
      <c r="L191" s="309" t="s">
        <v>1661</v>
      </c>
      <c r="M191" s="307" t="s">
        <v>1684</v>
      </c>
      <c r="N191" s="313" t="s">
        <v>1585</v>
      </c>
      <c r="O191" s="313" t="s">
        <v>1583</v>
      </c>
      <c r="P191" s="329">
        <v>7600062</v>
      </c>
      <c r="Q191" s="1" t="s">
        <v>1670</v>
      </c>
      <c r="R191" s="1" t="s">
        <v>1679</v>
      </c>
      <c r="S191" s="404"/>
      <c r="X191" s="88" t="s">
        <v>1778</v>
      </c>
      <c r="Y191" s="88" t="s">
        <v>1779</v>
      </c>
    </row>
    <row r="192" spans="1:45" ht="17.45" customHeight="1">
      <c r="B192" s="351">
        <v>191</v>
      </c>
      <c r="C192" s="321">
        <v>35961</v>
      </c>
      <c r="D192" s="305">
        <v>7601067</v>
      </c>
      <c r="E192" s="322" t="s">
        <v>2130</v>
      </c>
      <c r="F192" s="306" t="s">
        <v>819</v>
      </c>
      <c r="G192" s="323" t="s">
        <v>2128</v>
      </c>
      <c r="H192" s="337">
        <v>3</v>
      </c>
      <c r="I192" s="305" t="s">
        <v>2131</v>
      </c>
      <c r="J192" s="338" t="s">
        <v>1802</v>
      </c>
      <c r="K192" s="308" t="s">
        <v>1803</v>
      </c>
      <c r="L192" s="309" t="s">
        <v>1803</v>
      </c>
      <c r="M192" s="307" t="s">
        <v>1695</v>
      </c>
      <c r="N192" s="313" t="s">
        <v>1804</v>
      </c>
      <c r="O192" s="313" t="s">
        <v>1804</v>
      </c>
      <c r="P192" s="329">
        <v>7601067</v>
      </c>
      <c r="Q192" s="1" t="s">
        <v>1805</v>
      </c>
      <c r="R192" s="352" t="s">
        <v>1805</v>
      </c>
      <c r="S192" s="404"/>
      <c r="X192" s="88" t="s">
        <v>1778</v>
      </c>
      <c r="Y192" s="88" t="s">
        <v>1779</v>
      </c>
    </row>
    <row r="193" spans="2:25" ht="17.45" customHeight="1">
      <c r="B193" s="351">
        <v>192</v>
      </c>
      <c r="C193" s="304">
        <v>43801</v>
      </c>
      <c r="D193" s="305">
        <v>7600599</v>
      </c>
      <c r="E193" s="306" t="s">
        <v>2132</v>
      </c>
      <c r="F193" s="306" t="s">
        <v>1064</v>
      </c>
      <c r="G193" s="307" t="s">
        <v>2133</v>
      </c>
      <c r="H193" s="333">
        <v>2</v>
      </c>
      <c r="I193" s="305" t="s">
        <v>2134</v>
      </c>
      <c r="J193" s="338" t="s">
        <v>1774</v>
      </c>
      <c r="K193" s="308" t="s">
        <v>2135</v>
      </c>
      <c r="L193" s="309" t="s">
        <v>2135</v>
      </c>
      <c r="M193" s="307" t="s">
        <v>2136</v>
      </c>
      <c r="N193" s="313" t="s">
        <v>1804</v>
      </c>
      <c r="O193" s="313" t="s">
        <v>1804</v>
      </c>
      <c r="P193" s="329">
        <v>7600599</v>
      </c>
      <c r="Q193" s="1" t="s">
        <v>1805</v>
      </c>
      <c r="R193" s="352" t="s">
        <v>1805</v>
      </c>
      <c r="S193" s="404"/>
      <c r="X193" s="88" t="s">
        <v>1778</v>
      </c>
      <c r="Y193" s="88" t="s">
        <v>1779</v>
      </c>
    </row>
    <row r="194" spans="2:25" ht="17.45" customHeight="1">
      <c r="B194" s="351">
        <v>193</v>
      </c>
      <c r="C194" s="304">
        <v>40473</v>
      </c>
      <c r="D194" s="305">
        <v>7600895</v>
      </c>
      <c r="E194" s="306" t="s">
        <v>2137</v>
      </c>
      <c r="F194" s="306" t="s">
        <v>383</v>
      </c>
      <c r="G194" s="307" t="s">
        <v>2133</v>
      </c>
      <c r="H194" s="333">
        <v>2</v>
      </c>
      <c r="I194" s="305" t="s">
        <v>2138</v>
      </c>
      <c r="J194" s="338" t="s">
        <v>1784</v>
      </c>
      <c r="K194" s="308" t="s">
        <v>1638</v>
      </c>
      <c r="L194" s="309" t="s">
        <v>1628</v>
      </c>
      <c r="M194" s="307" t="s">
        <v>1650</v>
      </c>
      <c r="N194" s="313" t="s">
        <v>1630</v>
      </c>
      <c r="O194" s="313" t="s">
        <v>1579</v>
      </c>
      <c r="P194" s="329">
        <v>7600895</v>
      </c>
      <c r="Q194" s="1" t="s">
        <v>1631</v>
      </c>
      <c r="R194" s="1" t="s">
        <v>1787</v>
      </c>
      <c r="S194" s="404"/>
      <c r="X194" s="88" t="s">
        <v>1778</v>
      </c>
      <c r="Y194" s="88" t="s">
        <v>1779</v>
      </c>
    </row>
    <row r="195" spans="2:25" ht="17.45" customHeight="1">
      <c r="B195" s="351">
        <v>194</v>
      </c>
      <c r="C195" s="304">
        <v>40473</v>
      </c>
      <c r="D195" s="305">
        <v>7600918</v>
      </c>
      <c r="E195" s="306" t="s">
        <v>2137</v>
      </c>
      <c r="F195" s="306" t="s">
        <v>389</v>
      </c>
      <c r="G195" s="307" t="s">
        <v>2133</v>
      </c>
      <c r="H195" s="333">
        <v>2</v>
      </c>
      <c r="I195" s="305" t="s">
        <v>2139</v>
      </c>
      <c r="J195" s="338" t="s">
        <v>1784</v>
      </c>
      <c r="K195" s="308" t="s">
        <v>1638</v>
      </c>
      <c r="L195" s="309" t="s">
        <v>1628</v>
      </c>
      <c r="M195" s="307" t="s">
        <v>1650</v>
      </c>
      <c r="N195" s="313" t="s">
        <v>1630</v>
      </c>
      <c r="O195" s="313" t="s">
        <v>1579</v>
      </c>
      <c r="P195" s="329">
        <v>7600895</v>
      </c>
      <c r="Q195" s="1" t="s">
        <v>1631</v>
      </c>
      <c r="R195" s="1" t="s">
        <v>1787</v>
      </c>
      <c r="S195" s="404"/>
      <c r="X195" s="88" t="s">
        <v>1778</v>
      </c>
      <c r="Y195" s="88" t="s">
        <v>1779</v>
      </c>
    </row>
    <row r="196" spans="2:25" ht="17.45" customHeight="1">
      <c r="B196" s="351">
        <v>195</v>
      </c>
      <c r="C196" s="304">
        <v>41269</v>
      </c>
      <c r="D196" s="305">
        <v>7600920</v>
      </c>
      <c r="E196" s="306" t="s">
        <v>2137</v>
      </c>
      <c r="F196" s="306" t="s">
        <v>387</v>
      </c>
      <c r="G196" s="307" t="s">
        <v>2133</v>
      </c>
      <c r="H196" s="333">
        <v>2</v>
      </c>
      <c r="I196" s="305" t="s">
        <v>2140</v>
      </c>
      <c r="J196" s="338" t="s">
        <v>1784</v>
      </c>
      <c r="K196" s="308" t="s">
        <v>1638</v>
      </c>
      <c r="L196" s="309" t="s">
        <v>1628</v>
      </c>
      <c r="M196" s="307" t="s">
        <v>1650</v>
      </c>
      <c r="N196" s="313" t="s">
        <v>1630</v>
      </c>
      <c r="O196" s="313" t="s">
        <v>1579</v>
      </c>
      <c r="P196" s="329">
        <v>7600895</v>
      </c>
      <c r="Q196" s="1" t="s">
        <v>1631</v>
      </c>
      <c r="R196" s="1" t="s">
        <v>1787</v>
      </c>
      <c r="S196" s="404"/>
      <c r="X196" s="88" t="s">
        <v>1778</v>
      </c>
      <c r="Y196" s="88" t="s">
        <v>1779</v>
      </c>
    </row>
    <row r="197" spans="2:25" ht="17.45" customHeight="1">
      <c r="B197" s="351">
        <v>196</v>
      </c>
      <c r="C197" s="304">
        <v>40473</v>
      </c>
      <c r="D197" s="305">
        <v>7600921</v>
      </c>
      <c r="E197" s="306" t="s">
        <v>2137</v>
      </c>
      <c r="F197" s="306" t="s">
        <v>392</v>
      </c>
      <c r="G197" s="307" t="s">
        <v>2133</v>
      </c>
      <c r="H197" s="333">
        <v>2</v>
      </c>
      <c r="I197" s="305" t="s">
        <v>2141</v>
      </c>
      <c r="J197" s="338" t="s">
        <v>1784</v>
      </c>
      <c r="K197" s="308" t="s">
        <v>1638</v>
      </c>
      <c r="L197" s="309" t="s">
        <v>1628</v>
      </c>
      <c r="M197" s="307" t="s">
        <v>1650</v>
      </c>
      <c r="N197" s="313" t="s">
        <v>1630</v>
      </c>
      <c r="O197" s="313" t="s">
        <v>1579</v>
      </c>
      <c r="P197" s="329">
        <v>7600895</v>
      </c>
      <c r="Q197" s="1" t="s">
        <v>1631</v>
      </c>
      <c r="R197" s="1" t="s">
        <v>1787</v>
      </c>
      <c r="S197" s="404"/>
      <c r="X197" s="88" t="s">
        <v>1778</v>
      </c>
      <c r="Y197" s="88" t="s">
        <v>1779</v>
      </c>
    </row>
    <row r="198" spans="2:25" ht="17.45" customHeight="1">
      <c r="B198" s="351">
        <v>197</v>
      </c>
      <c r="C198" s="304">
        <v>39973</v>
      </c>
      <c r="D198" s="305">
        <v>7601110</v>
      </c>
      <c r="E198" s="306" t="s">
        <v>2137</v>
      </c>
      <c r="F198" s="306" t="s">
        <v>376</v>
      </c>
      <c r="G198" s="307" t="s">
        <v>2117</v>
      </c>
      <c r="H198" s="331">
        <v>2</v>
      </c>
      <c r="I198" s="305" t="s">
        <v>2142</v>
      </c>
      <c r="J198" s="338" t="s">
        <v>1784</v>
      </c>
      <c r="K198" s="308" t="s">
        <v>1638</v>
      </c>
      <c r="L198" s="309" t="s">
        <v>1628</v>
      </c>
      <c r="M198" s="307" t="s">
        <v>1650</v>
      </c>
      <c r="N198" s="313" t="s">
        <v>1630</v>
      </c>
      <c r="O198" s="313" t="s">
        <v>1579</v>
      </c>
      <c r="P198" s="329">
        <v>7600895</v>
      </c>
      <c r="Q198" s="1" t="s">
        <v>1631</v>
      </c>
      <c r="R198" s="1" t="s">
        <v>1787</v>
      </c>
      <c r="S198" s="404"/>
      <c r="X198" s="88" t="s">
        <v>1778</v>
      </c>
      <c r="Y198" s="88" t="s">
        <v>1779</v>
      </c>
    </row>
    <row r="199" spans="2:25" ht="17.45" customHeight="1">
      <c r="B199" s="351">
        <v>198</v>
      </c>
      <c r="C199" s="304">
        <v>39973</v>
      </c>
      <c r="D199" s="305">
        <v>7600528</v>
      </c>
      <c r="E199" s="306" t="s">
        <v>2143</v>
      </c>
      <c r="F199" s="306" t="s">
        <v>498</v>
      </c>
      <c r="G199" s="307" t="s">
        <v>2117</v>
      </c>
      <c r="H199" s="331">
        <v>2</v>
      </c>
      <c r="I199" s="305" t="s">
        <v>2144</v>
      </c>
      <c r="J199" s="338" t="s">
        <v>1784</v>
      </c>
      <c r="K199" s="308" t="s">
        <v>1628</v>
      </c>
      <c r="L199" s="309" t="s">
        <v>1628</v>
      </c>
      <c r="M199" s="307" t="s">
        <v>1660</v>
      </c>
      <c r="N199" s="313" t="s">
        <v>1580</v>
      </c>
      <c r="O199" s="313" t="s">
        <v>1579</v>
      </c>
      <c r="P199" s="329">
        <v>7600528</v>
      </c>
      <c r="Q199" s="1" t="s">
        <v>1796</v>
      </c>
      <c r="R199" s="1" t="s">
        <v>1787</v>
      </c>
      <c r="S199" s="404"/>
      <c r="X199" s="88" t="s">
        <v>1778</v>
      </c>
      <c r="Y199" s="88" t="s">
        <v>1779</v>
      </c>
    </row>
    <row r="200" spans="2:25" ht="17.45" customHeight="1">
      <c r="B200" s="351">
        <v>199</v>
      </c>
      <c r="C200" s="304">
        <v>40294</v>
      </c>
      <c r="D200" s="305">
        <v>7600584</v>
      </c>
      <c r="E200" s="306" t="s">
        <v>2143</v>
      </c>
      <c r="F200" s="306" t="s">
        <v>504</v>
      </c>
      <c r="G200" s="307" t="s">
        <v>2117</v>
      </c>
      <c r="H200" s="331">
        <v>2</v>
      </c>
      <c r="I200" s="305" t="s">
        <v>2145</v>
      </c>
      <c r="J200" s="338" t="s">
        <v>1784</v>
      </c>
      <c r="K200" s="308" t="s">
        <v>1628</v>
      </c>
      <c r="L200" s="309" t="s">
        <v>1628</v>
      </c>
      <c r="M200" s="307" t="s">
        <v>1660</v>
      </c>
      <c r="N200" s="313" t="s">
        <v>1580</v>
      </c>
      <c r="O200" s="313" t="s">
        <v>1579</v>
      </c>
      <c r="P200" s="329">
        <v>7600528</v>
      </c>
      <c r="Q200" s="1" t="s">
        <v>1796</v>
      </c>
      <c r="R200" s="1" t="s">
        <v>1787</v>
      </c>
      <c r="S200" s="404"/>
      <c r="X200" s="88" t="s">
        <v>1778</v>
      </c>
      <c r="Y200" s="88" t="s">
        <v>1779</v>
      </c>
    </row>
    <row r="201" spans="2:25" ht="17.45" customHeight="1">
      <c r="B201" s="351">
        <v>200</v>
      </c>
      <c r="C201" s="304">
        <v>40698</v>
      </c>
      <c r="D201" s="305">
        <v>7600916</v>
      </c>
      <c r="E201" s="306" t="s">
        <v>2143</v>
      </c>
      <c r="F201" s="306" t="s">
        <v>546</v>
      </c>
      <c r="G201" s="307" t="s">
        <v>2117</v>
      </c>
      <c r="H201" s="331">
        <v>2</v>
      </c>
      <c r="I201" s="305" t="s">
        <v>2146</v>
      </c>
      <c r="J201" s="338" t="s">
        <v>1784</v>
      </c>
      <c r="K201" s="308" t="s">
        <v>1628</v>
      </c>
      <c r="L201" s="309" t="s">
        <v>1628</v>
      </c>
      <c r="M201" s="307" t="s">
        <v>1660</v>
      </c>
      <c r="N201" s="313" t="s">
        <v>1580</v>
      </c>
      <c r="O201" s="313" t="s">
        <v>1579</v>
      </c>
      <c r="P201" s="329">
        <v>7600528</v>
      </c>
      <c r="Q201" s="1" t="s">
        <v>1796</v>
      </c>
      <c r="R201" s="1" t="s">
        <v>1787</v>
      </c>
      <c r="S201" s="404"/>
      <c r="X201" s="88" t="s">
        <v>1778</v>
      </c>
      <c r="Y201" s="88" t="s">
        <v>1779</v>
      </c>
    </row>
    <row r="202" spans="2:25" ht="17.45" customHeight="1">
      <c r="B202" s="351">
        <v>201</v>
      </c>
      <c r="C202" s="304">
        <v>38516</v>
      </c>
      <c r="D202" s="305">
        <v>7600917</v>
      </c>
      <c r="E202" s="306" t="s">
        <v>2143</v>
      </c>
      <c r="F202" s="306" t="s">
        <v>542</v>
      </c>
      <c r="G202" s="307" t="s">
        <v>2147</v>
      </c>
      <c r="H202" s="331">
        <v>3</v>
      </c>
      <c r="I202" s="305" t="s">
        <v>2148</v>
      </c>
      <c r="J202" s="338" t="s">
        <v>1784</v>
      </c>
      <c r="K202" s="308" t="s">
        <v>1628</v>
      </c>
      <c r="L202" s="309" t="s">
        <v>1628</v>
      </c>
      <c r="M202" s="307" t="s">
        <v>1660</v>
      </c>
      <c r="N202" s="313" t="s">
        <v>1580</v>
      </c>
      <c r="O202" s="313" t="s">
        <v>1579</v>
      </c>
      <c r="P202" s="329">
        <v>7600528</v>
      </c>
      <c r="Q202" s="1" t="s">
        <v>1796</v>
      </c>
      <c r="R202" s="1" t="s">
        <v>1787</v>
      </c>
      <c r="S202" s="404"/>
      <c r="X202" s="88" t="s">
        <v>1778</v>
      </c>
      <c r="Y202" s="88" t="s">
        <v>1779</v>
      </c>
    </row>
    <row r="203" spans="2:25" ht="17.45" customHeight="1">
      <c r="B203" s="351">
        <v>202</v>
      </c>
      <c r="C203" s="304">
        <v>36277</v>
      </c>
      <c r="D203" s="305">
        <v>7600832</v>
      </c>
      <c r="E203" s="306" t="s">
        <v>2149</v>
      </c>
      <c r="F203" s="306" t="s">
        <v>596</v>
      </c>
      <c r="G203" s="307" t="s">
        <v>2150</v>
      </c>
      <c r="H203" s="331">
        <v>4</v>
      </c>
      <c r="I203" s="305" t="s">
        <v>2151</v>
      </c>
      <c r="J203" s="338" t="s">
        <v>1802</v>
      </c>
      <c r="K203" s="308" t="s">
        <v>1661</v>
      </c>
      <c r="L203" s="309" t="s">
        <v>1668</v>
      </c>
      <c r="M203" s="307" t="s">
        <v>1665</v>
      </c>
      <c r="N203" s="313" t="s">
        <v>1663</v>
      </c>
      <c r="O203" s="313" t="s">
        <v>1584</v>
      </c>
      <c r="P203" s="329">
        <v>7600832</v>
      </c>
      <c r="Q203" s="1" t="s">
        <v>1664</v>
      </c>
      <c r="R203" s="1" t="s">
        <v>1676</v>
      </c>
      <c r="S203" s="404"/>
      <c r="X203" s="88" t="s">
        <v>1778</v>
      </c>
      <c r="Y203" s="88" t="s">
        <v>1779</v>
      </c>
    </row>
    <row r="204" spans="2:25" ht="17.45" customHeight="1">
      <c r="B204" s="351">
        <v>203</v>
      </c>
      <c r="C204" s="304">
        <v>41548</v>
      </c>
      <c r="D204" s="305">
        <v>7600596</v>
      </c>
      <c r="E204" s="306" t="s">
        <v>2152</v>
      </c>
      <c r="F204" s="306" t="s">
        <v>996</v>
      </c>
      <c r="G204" s="307" t="s">
        <v>2153</v>
      </c>
      <c r="H204" s="331">
        <v>4</v>
      </c>
      <c r="I204" s="305" t="s">
        <v>2154</v>
      </c>
      <c r="J204" s="338" t="s">
        <v>1774</v>
      </c>
      <c r="K204" s="308" t="s">
        <v>1713</v>
      </c>
      <c r="L204" s="308" t="s">
        <v>1706</v>
      </c>
      <c r="M204" s="307" t="s">
        <v>1726</v>
      </c>
      <c r="N204" s="313" t="s">
        <v>1811</v>
      </c>
      <c r="O204" s="313" t="s">
        <v>1590</v>
      </c>
      <c r="P204" s="329">
        <v>7600596</v>
      </c>
      <c r="Q204" s="1" t="s">
        <v>552</v>
      </c>
      <c r="R204" s="1" t="s">
        <v>1723</v>
      </c>
      <c r="S204" s="404"/>
      <c r="X204" s="88" t="s">
        <v>1778</v>
      </c>
      <c r="Y204" s="88" t="s">
        <v>1779</v>
      </c>
    </row>
    <row r="205" spans="2:25" ht="17.45" customHeight="1">
      <c r="B205" s="351">
        <v>204</v>
      </c>
      <c r="C205" s="304">
        <v>41547</v>
      </c>
      <c r="D205" s="305">
        <v>7600597</v>
      </c>
      <c r="E205" s="306" t="s">
        <v>2152</v>
      </c>
      <c r="F205" s="306" t="s">
        <v>990</v>
      </c>
      <c r="G205" s="307" t="s">
        <v>2153</v>
      </c>
      <c r="H205" s="333">
        <v>4</v>
      </c>
      <c r="I205" s="305" t="s">
        <v>2155</v>
      </c>
      <c r="J205" s="338" t="s">
        <v>1774</v>
      </c>
      <c r="K205" s="308" t="s">
        <v>1713</v>
      </c>
      <c r="L205" s="308" t="s">
        <v>1706</v>
      </c>
      <c r="M205" s="307" t="s">
        <v>1726</v>
      </c>
      <c r="N205" s="313" t="s">
        <v>1811</v>
      </c>
      <c r="O205" s="313" t="s">
        <v>1590</v>
      </c>
      <c r="P205" s="329">
        <v>7600596</v>
      </c>
      <c r="Q205" s="1" t="s">
        <v>552</v>
      </c>
      <c r="R205" s="1" t="s">
        <v>1723</v>
      </c>
      <c r="S205" s="404"/>
      <c r="X205" s="88" t="s">
        <v>1778</v>
      </c>
      <c r="Y205" s="88" t="s">
        <v>1779</v>
      </c>
    </row>
    <row r="206" spans="2:25" ht="17.45" customHeight="1">
      <c r="B206" s="351">
        <v>205</v>
      </c>
      <c r="C206" s="304">
        <v>40021</v>
      </c>
      <c r="D206" s="305">
        <v>7600737</v>
      </c>
      <c r="E206" s="306" t="s">
        <v>2152</v>
      </c>
      <c r="F206" s="306" t="s">
        <v>993</v>
      </c>
      <c r="G206" s="307" t="s">
        <v>2156</v>
      </c>
      <c r="H206" s="331">
        <v>4</v>
      </c>
      <c r="I206" s="305" t="s">
        <v>2157</v>
      </c>
      <c r="J206" s="338" t="s">
        <v>1774</v>
      </c>
      <c r="K206" s="308" t="s">
        <v>1713</v>
      </c>
      <c r="L206" s="308" t="s">
        <v>1706</v>
      </c>
      <c r="M206" s="307" t="s">
        <v>1726</v>
      </c>
      <c r="N206" s="313" t="s">
        <v>1811</v>
      </c>
      <c r="O206" s="313" t="s">
        <v>1590</v>
      </c>
      <c r="P206" s="329">
        <v>7600596</v>
      </c>
      <c r="Q206" s="1" t="s">
        <v>552</v>
      </c>
      <c r="R206" s="1" t="s">
        <v>1723</v>
      </c>
      <c r="S206" s="404"/>
      <c r="X206" s="88" t="s">
        <v>1778</v>
      </c>
      <c r="Y206" s="88" t="s">
        <v>1779</v>
      </c>
    </row>
    <row r="207" spans="2:25" ht="17.45" customHeight="1">
      <c r="B207" s="351">
        <v>206</v>
      </c>
      <c r="C207" s="304">
        <v>43025</v>
      </c>
      <c r="D207" s="305">
        <v>7600743</v>
      </c>
      <c r="E207" s="306" t="s">
        <v>2152</v>
      </c>
      <c r="F207" s="306" t="s">
        <v>985</v>
      </c>
      <c r="G207" s="307" t="s">
        <v>2156</v>
      </c>
      <c r="H207" s="331">
        <v>4</v>
      </c>
      <c r="I207" s="305" t="s">
        <v>2158</v>
      </c>
      <c r="J207" s="338" t="s">
        <v>1774</v>
      </c>
      <c r="K207" s="308" t="s">
        <v>1713</v>
      </c>
      <c r="L207" s="308" t="s">
        <v>1706</v>
      </c>
      <c r="M207" s="307" t="s">
        <v>1726</v>
      </c>
      <c r="N207" s="313" t="s">
        <v>1811</v>
      </c>
      <c r="O207" s="313" t="s">
        <v>1590</v>
      </c>
      <c r="P207" s="329">
        <v>7600596</v>
      </c>
      <c r="Q207" s="1" t="s">
        <v>552</v>
      </c>
      <c r="R207" s="1" t="s">
        <v>1723</v>
      </c>
      <c r="S207" s="404"/>
      <c r="X207" s="88" t="s">
        <v>1778</v>
      </c>
      <c r="Y207" s="88" t="s">
        <v>1779</v>
      </c>
    </row>
    <row r="208" spans="2:25" ht="17.45" customHeight="1">
      <c r="B208" s="351">
        <v>207</v>
      </c>
      <c r="C208" s="304">
        <v>41415</v>
      </c>
      <c r="D208" s="305">
        <v>7600948</v>
      </c>
      <c r="E208" s="306" t="s">
        <v>2152</v>
      </c>
      <c r="F208" s="306" t="s">
        <v>1010</v>
      </c>
      <c r="G208" s="307" t="s">
        <v>2156</v>
      </c>
      <c r="H208" s="331">
        <v>4</v>
      </c>
      <c r="I208" s="305" t="s">
        <v>2159</v>
      </c>
      <c r="J208" s="338" t="s">
        <v>1774</v>
      </c>
      <c r="K208" s="308" t="s">
        <v>1713</v>
      </c>
      <c r="L208" s="308" t="s">
        <v>1706</v>
      </c>
      <c r="M208" s="307" t="s">
        <v>1732</v>
      </c>
      <c r="N208" s="313" t="s">
        <v>1811</v>
      </c>
      <c r="O208" s="313" t="s">
        <v>1590</v>
      </c>
      <c r="P208" s="329">
        <v>7600948</v>
      </c>
      <c r="Q208" s="1" t="s">
        <v>552</v>
      </c>
      <c r="R208" s="1" t="s">
        <v>1723</v>
      </c>
      <c r="S208" s="404"/>
      <c r="X208" s="88" t="s">
        <v>1778</v>
      </c>
      <c r="Y208" s="88" t="s">
        <v>1779</v>
      </c>
    </row>
    <row r="209" spans="1:45" ht="17.45" customHeight="1">
      <c r="B209" s="351">
        <v>208</v>
      </c>
      <c r="C209" s="304">
        <v>40829</v>
      </c>
      <c r="D209" s="305">
        <v>7600985</v>
      </c>
      <c r="E209" s="306" t="s">
        <v>2152</v>
      </c>
      <c r="F209" s="306" t="s">
        <v>1016</v>
      </c>
      <c r="G209" s="307" t="s">
        <v>2156</v>
      </c>
      <c r="H209" s="331">
        <v>4</v>
      </c>
      <c r="I209" s="305" t="s">
        <v>2160</v>
      </c>
      <c r="J209" s="338" t="s">
        <v>1774</v>
      </c>
      <c r="K209" s="308" t="s">
        <v>1713</v>
      </c>
      <c r="L209" s="308" t="s">
        <v>1706</v>
      </c>
      <c r="M209" s="307" t="s">
        <v>1732</v>
      </c>
      <c r="N209" s="313" t="s">
        <v>1811</v>
      </c>
      <c r="O209" s="313" t="s">
        <v>1590</v>
      </c>
      <c r="P209" s="329">
        <v>7600948</v>
      </c>
      <c r="Q209" s="1" t="s">
        <v>552</v>
      </c>
      <c r="R209" s="1" t="s">
        <v>1723</v>
      </c>
      <c r="S209" s="404"/>
      <c r="X209" s="88" t="s">
        <v>1778</v>
      </c>
      <c r="Y209" s="88" t="s">
        <v>1779</v>
      </c>
    </row>
    <row r="210" spans="1:45" ht="17.45" customHeight="1">
      <c r="B210" s="351">
        <v>209</v>
      </c>
      <c r="C210" s="304">
        <v>41373</v>
      </c>
      <c r="D210" s="305">
        <v>7600091</v>
      </c>
      <c r="E210" s="306" t="s">
        <v>2161</v>
      </c>
      <c r="F210" s="306" t="s">
        <v>892</v>
      </c>
      <c r="G210" s="307" t="s">
        <v>2156</v>
      </c>
      <c r="H210" s="331">
        <v>4</v>
      </c>
      <c r="I210" s="305" t="s">
        <v>2162</v>
      </c>
      <c r="J210" s="338" t="s">
        <v>1774</v>
      </c>
      <c r="K210" s="308" t="s">
        <v>1706</v>
      </c>
      <c r="L210" s="308" t="s">
        <v>1706</v>
      </c>
      <c r="M210" s="307" t="s">
        <v>1710</v>
      </c>
      <c r="N210" s="313" t="s">
        <v>1591</v>
      </c>
      <c r="O210" s="313" t="s">
        <v>1590</v>
      </c>
      <c r="P210" s="329">
        <v>7600091</v>
      </c>
      <c r="Q210" s="1" t="s">
        <v>1730</v>
      </c>
      <c r="R210" s="1" t="s">
        <v>1723</v>
      </c>
      <c r="S210" s="404"/>
      <c r="X210" s="88" t="s">
        <v>1778</v>
      </c>
      <c r="Y210" s="88" t="s">
        <v>1779</v>
      </c>
    </row>
    <row r="211" spans="1:45" ht="17.45" customHeight="1">
      <c r="B211" s="351">
        <v>210</v>
      </c>
      <c r="C211" s="304">
        <v>41106</v>
      </c>
      <c r="D211" s="305">
        <v>7600007</v>
      </c>
      <c r="E211" s="306" t="s">
        <v>2163</v>
      </c>
      <c r="F211" s="306" t="s">
        <v>111</v>
      </c>
      <c r="G211" s="307" t="s">
        <v>2156</v>
      </c>
      <c r="H211" s="331">
        <v>4</v>
      </c>
      <c r="I211" s="305" t="s">
        <v>2164</v>
      </c>
      <c r="J211" s="338" t="s">
        <v>1810</v>
      </c>
      <c r="K211" s="308" t="s">
        <v>1604</v>
      </c>
      <c r="L211" s="308" t="s">
        <v>1600</v>
      </c>
      <c r="M211" s="307" t="s">
        <v>1626</v>
      </c>
      <c r="N211" s="313" t="s">
        <v>1574</v>
      </c>
      <c r="O211" s="313" t="s">
        <v>1572</v>
      </c>
      <c r="P211" s="329">
        <v>7600007</v>
      </c>
      <c r="Q211" s="1" t="s">
        <v>1615</v>
      </c>
      <c r="R211" s="1" t="s">
        <v>1606</v>
      </c>
      <c r="S211" s="404"/>
      <c r="X211" s="88" t="s">
        <v>1778</v>
      </c>
      <c r="Y211" s="88" t="s">
        <v>1779</v>
      </c>
    </row>
    <row r="212" spans="1:45" ht="17.45" customHeight="1">
      <c r="B212" s="351">
        <v>211</v>
      </c>
      <c r="C212" s="304">
        <v>42324</v>
      </c>
      <c r="D212" s="305">
        <v>7600219</v>
      </c>
      <c r="E212" s="306" t="s">
        <v>2163</v>
      </c>
      <c r="F212" s="306" t="s">
        <v>108</v>
      </c>
      <c r="G212" s="307" t="s">
        <v>2165</v>
      </c>
      <c r="H212" s="333">
        <v>4</v>
      </c>
      <c r="I212" s="305" t="s">
        <v>2166</v>
      </c>
      <c r="J212" s="338" t="s">
        <v>1810</v>
      </c>
      <c r="K212" s="308" t="s">
        <v>1604</v>
      </c>
      <c r="L212" s="308" t="s">
        <v>1600</v>
      </c>
      <c r="M212" s="307" t="s">
        <v>1626</v>
      </c>
      <c r="N212" s="313" t="s">
        <v>1574</v>
      </c>
      <c r="O212" s="313" t="s">
        <v>1572</v>
      </c>
      <c r="P212" s="329">
        <v>7600007</v>
      </c>
      <c r="Q212" s="1" t="s">
        <v>1615</v>
      </c>
      <c r="R212" s="1" t="s">
        <v>1606</v>
      </c>
      <c r="S212" s="404"/>
      <c r="X212" s="88" t="s">
        <v>1778</v>
      </c>
      <c r="Y212" s="88" t="s">
        <v>1779</v>
      </c>
    </row>
    <row r="213" spans="1:45" ht="17.45" customHeight="1">
      <c r="A213" s="86"/>
      <c r="B213" s="351">
        <v>212</v>
      </c>
      <c r="C213" s="304">
        <v>43172</v>
      </c>
      <c r="D213" s="305">
        <v>7600560</v>
      </c>
      <c r="E213" s="306" t="s">
        <v>2163</v>
      </c>
      <c r="F213" s="306" t="s">
        <v>101</v>
      </c>
      <c r="G213" s="307" t="s">
        <v>2167</v>
      </c>
      <c r="H213" s="331">
        <v>3</v>
      </c>
      <c r="I213" s="305" t="s">
        <v>2168</v>
      </c>
      <c r="J213" s="338" t="s">
        <v>1810</v>
      </c>
      <c r="K213" s="308" t="s">
        <v>1604</v>
      </c>
      <c r="L213" s="308" t="s">
        <v>1600</v>
      </c>
      <c r="M213" s="307" t="s">
        <v>1626</v>
      </c>
      <c r="N213" s="313" t="s">
        <v>1574</v>
      </c>
      <c r="O213" s="313" t="s">
        <v>1572</v>
      </c>
      <c r="P213" s="329">
        <v>7600007</v>
      </c>
      <c r="Q213" s="1" t="s">
        <v>1615</v>
      </c>
      <c r="R213" s="1" t="s">
        <v>1606</v>
      </c>
      <c r="S213" s="404"/>
      <c r="T213" s="86"/>
      <c r="U213" s="86"/>
      <c r="V213" s="86"/>
      <c r="W213" s="86"/>
      <c r="X213" s="88" t="s">
        <v>1778</v>
      </c>
      <c r="Y213" s="88" t="s">
        <v>1779</v>
      </c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</row>
    <row r="214" spans="1:45" s="86" customFormat="1" ht="17.45" customHeight="1">
      <c r="A214" s="56"/>
      <c r="B214" s="351">
        <v>213</v>
      </c>
      <c r="C214" s="304">
        <v>42297</v>
      </c>
      <c r="D214" s="305">
        <v>7600642</v>
      </c>
      <c r="E214" s="306" t="s">
        <v>2163</v>
      </c>
      <c r="F214" s="306" t="s">
        <v>114</v>
      </c>
      <c r="G214" s="307" t="s">
        <v>2169</v>
      </c>
      <c r="H214" s="333">
        <v>4</v>
      </c>
      <c r="I214" s="305" t="s">
        <v>2170</v>
      </c>
      <c r="J214" s="338" t="s">
        <v>1810</v>
      </c>
      <c r="K214" s="308" t="s">
        <v>1604</v>
      </c>
      <c r="L214" s="308" t="s">
        <v>1600</v>
      </c>
      <c r="M214" s="307" t="s">
        <v>1626</v>
      </c>
      <c r="N214" s="313" t="s">
        <v>1574</v>
      </c>
      <c r="O214" s="313" t="s">
        <v>1572</v>
      </c>
      <c r="P214" s="329">
        <v>7600007</v>
      </c>
      <c r="Q214" s="1" t="s">
        <v>1615</v>
      </c>
      <c r="R214" s="1" t="s">
        <v>1606</v>
      </c>
      <c r="S214" s="404"/>
      <c r="T214" s="129"/>
      <c r="U214" s="74"/>
      <c r="V214" s="74"/>
      <c r="W214" s="74"/>
      <c r="X214" s="88" t="s">
        <v>1778</v>
      </c>
      <c r="Y214" s="88" t="s">
        <v>1779</v>
      </c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</row>
    <row r="215" spans="1:45" s="86" customFormat="1" ht="17.45" customHeight="1">
      <c r="B215" s="351">
        <v>214</v>
      </c>
      <c r="C215" s="304">
        <v>38492</v>
      </c>
      <c r="D215" s="305">
        <v>7600778</v>
      </c>
      <c r="E215" s="306" t="s">
        <v>2163</v>
      </c>
      <c r="F215" s="306" t="s">
        <v>117</v>
      </c>
      <c r="G215" s="307" t="s">
        <v>2169</v>
      </c>
      <c r="H215" s="331">
        <v>4</v>
      </c>
      <c r="I215" s="305" t="s">
        <v>2171</v>
      </c>
      <c r="J215" s="338" t="s">
        <v>1810</v>
      </c>
      <c r="K215" s="308" t="s">
        <v>1604</v>
      </c>
      <c r="L215" s="308" t="s">
        <v>1600</v>
      </c>
      <c r="M215" s="307" t="s">
        <v>1626</v>
      </c>
      <c r="N215" s="313" t="s">
        <v>1574</v>
      </c>
      <c r="O215" s="313" t="s">
        <v>1572</v>
      </c>
      <c r="P215" s="329">
        <v>7600007</v>
      </c>
      <c r="Q215" s="1" t="s">
        <v>1615</v>
      </c>
      <c r="R215" s="1" t="s">
        <v>1606</v>
      </c>
      <c r="S215" s="61"/>
      <c r="X215" s="88" t="s">
        <v>1778</v>
      </c>
      <c r="Y215" s="88" t="s">
        <v>1779</v>
      </c>
    </row>
    <row r="216" spans="1:45" s="86" customFormat="1" ht="17.45" customHeight="1">
      <c r="B216" s="351">
        <v>215</v>
      </c>
      <c r="C216" s="304">
        <v>41273</v>
      </c>
      <c r="D216" s="305">
        <v>7600592</v>
      </c>
      <c r="E216" s="306" t="s">
        <v>2172</v>
      </c>
      <c r="F216" s="306" t="s">
        <v>624</v>
      </c>
      <c r="G216" s="307" t="s">
        <v>2173</v>
      </c>
      <c r="H216" s="333">
        <v>3</v>
      </c>
      <c r="I216" s="305" t="s">
        <v>2174</v>
      </c>
      <c r="J216" s="338" t="s">
        <v>1802</v>
      </c>
      <c r="K216" s="308" t="s">
        <v>1661</v>
      </c>
      <c r="L216" s="309" t="s">
        <v>1668</v>
      </c>
      <c r="M216" s="307" t="s">
        <v>1673</v>
      </c>
      <c r="N216" s="313" t="s">
        <v>1663</v>
      </c>
      <c r="O216" s="313" t="s">
        <v>1584</v>
      </c>
      <c r="P216" s="329">
        <v>7600592</v>
      </c>
      <c r="Q216" s="1" t="s">
        <v>1664</v>
      </c>
      <c r="R216" s="1" t="s">
        <v>1676</v>
      </c>
      <c r="S216" s="61"/>
      <c r="X216" s="88" t="s">
        <v>1778</v>
      </c>
      <c r="Y216" s="88" t="s">
        <v>1779</v>
      </c>
    </row>
    <row r="217" spans="1:45" s="86" customFormat="1" ht="17.45" customHeight="1">
      <c r="A217" s="56"/>
      <c r="B217" s="351">
        <v>216</v>
      </c>
      <c r="C217" s="304">
        <v>44362</v>
      </c>
      <c r="D217" s="305">
        <v>7601201</v>
      </c>
      <c r="E217" s="306" t="s">
        <v>2172</v>
      </c>
      <c r="F217" s="306" t="s">
        <v>630</v>
      </c>
      <c r="G217" s="307" t="s">
        <v>2173</v>
      </c>
      <c r="H217" s="333">
        <v>3</v>
      </c>
      <c r="I217" s="305" t="s">
        <v>2175</v>
      </c>
      <c r="J217" s="338" t="s">
        <v>1802</v>
      </c>
      <c r="K217" s="308" t="s">
        <v>1661</v>
      </c>
      <c r="L217" s="309" t="s">
        <v>1668</v>
      </c>
      <c r="M217" s="307" t="s">
        <v>1673</v>
      </c>
      <c r="N217" s="313" t="s">
        <v>1663</v>
      </c>
      <c r="O217" s="313" t="s">
        <v>1584</v>
      </c>
      <c r="P217" s="329">
        <v>7600592</v>
      </c>
      <c r="Q217" s="1" t="s">
        <v>1664</v>
      </c>
      <c r="R217" s="1" t="s">
        <v>1676</v>
      </c>
      <c r="S217" s="61"/>
      <c r="X217" s="88" t="s">
        <v>1778</v>
      </c>
      <c r="Y217" s="88" t="s">
        <v>1779</v>
      </c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</row>
    <row r="218" spans="1:45" s="86" customFormat="1" ht="17.45" customHeight="1">
      <c r="A218" s="56"/>
      <c r="B218" s="351">
        <v>217</v>
      </c>
      <c r="C218" s="304">
        <v>45442</v>
      </c>
      <c r="D218" s="305">
        <v>7600989</v>
      </c>
      <c r="E218" s="306" t="s">
        <v>2176</v>
      </c>
      <c r="F218" s="306" t="s">
        <v>779</v>
      </c>
      <c r="G218" s="307" t="s">
        <v>2173</v>
      </c>
      <c r="H218" s="333">
        <v>3</v>
      </c>
      <c r="I218" s="305" t="s">
        <v>2177</v>
      </c>
      <c r="J218" s="338" t="s">
        <v>1802</v>
      </c>
      <c r="K218" s="308" t="s">
        <v>1803</v>
      </c>
      <c r="L218" s="309" t="s">
        <v>1803</v>
      </c>
      <c r="M218" s="307" t="s">
        <v>1692</v>
      </c>
      <c r="N218" s="313" t="s">
        <v>1804</v>
      </c>
      <c r="O218" s="313" t="s">
        <v>1804</v>
      </c>
      <c r="P218" s="329">
        <v>7600989</v>
      </c>
      <c r="Q218" s="1" t="s">
        <v>1805</v>
      </c>
      <c r="R218" s="352" t="s">
        <v>1805</v>
      </c>
      <c r="S218" s="61"/>
      <c r="T218" s="129"/>
      <c r="U218" s="74"/>
      <c r="V218" s="74"/>
      <c r="W218" s="74"/>
      <c r="X218" s="88" t="s">
        <v>1778</v>
      </c>
      <c r="Y218" s="88" t="s">
        <v>1779</v>
      </c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</row>
    <row r="219" spans="1:45" ht="17.45" customHeight="1">
      <c r="A219" s="86"/>
      <c r="B219" s="351">
        <v>218</v>
      </c>
      <c r="C219" s="304">
        <v>37271</v>
      </c>
      <c r="D219" s="305">
        <v>7600393</v>
      </c>
      <c r="E219" s="306" t="s">
        <v>2178</v>
      </c>
      <c r="F219" s="306" t="s">
        <v>868</v>
      </c>
      <c r="G219" s="307" t="s">
        <v>2173</v>
      </c>
      <c r="H219" s="333">
        <v>3</v>
      </c>
      <c r="I219" s="305" t="s">
        <v>2179</v>
      </c>
      <c r="J219" s="338" t="s">
        <v>1774</v>
      </c>
      <c r="K219" s="308" t="s">
        <v>1775</v>
      </c>
      <c r="L219" s="309" t="s">
        <v>1775</v>
      </c>
      <c r="M219" s="307" t="s">
        <v>1704</v>
      </c>
      <c r="N219" s="313" t="s">
        <v>1776</v>
      </c>
      <c r="O219" s="313" t="s">
        <v>1776</v>
      </c>
      <c r="P219" s="329">
        <v>7600393</v>
      </c>
      <c r="Q219" s="352" t="s">
        <v>1777</v>
      </c>
      <c r="R219" s="352" t="s">
        <v>1777</v>
      </c>
      <c r="T219" s="86"/>
      <c r="U219" s="86"/>
      <c r="V219" s="86"/>
      <c r="W219" s="86"/>
      <c r="X219" s="88" t="s">
        <v>1778</v>
      </c>
      <c r="Y219" s="88" t="s">
        <v>1779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</row>
    <row r="220" spans="1:45" ht="17.45" customHeight="1">
      <c r="A220" s="86"/>
      <c r="B220" s="351">
        <v>219</v>
      </c>
      <c r="C220" s="304">
        <v>41638</v>
      </c>
      <c r="D220" s="305">
        <v>7600861</v>
      </c>
      <c r="E220" s="306" t="s">
        <v>2178</v>
      </c>
      <c r="F220" s="306" t="s">
        <v>863</v>
      </c>
      <c r="G220" s="307" t="s">
        <v>2180</v>
      </c>
      <c r="H220" s="333">
        <v>4</v>
      </c>
      <c r="I220" s="305" t="s">
        <v>2181</v>
      </c>
      <c r="J220" s="338" t="s">
        <v>1774</v>
      </c>
      <c r="K220" s="308" t="s">
        <v>1775</v>
      </c>
      <c r="L220" s="309" t="s">
        <v>1775</v>
      </c>
      <c r="M220" s="307" t="s">
        <v>1704</v>
      </c>
      <c r="N220" s="313" t="s">
        <v>1776</v>
      </c>
      <c r="O220" s="313" t="s">
        <v>1776</v>
      </c>
      <c r="P220" s="329">
        <v>7600393</v>
      </c>
      <c r="Q220" s="352" t="s">
        <v>1777</v>
      </c>
      <c r="R220" s="352" t="s">
        <v>1777</v>
      </c>
      <c r="S220" s="404"/>
      <c r="X220" s="88" t="s">
        <v>1778</v>
      </c>
      <c r="Y220" s="88" t="s">
        <v>1779</v>
      </c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</row>
    <row r="221" spans="1:45" ht="17.45" customHeight="1">
      <c r="B221" s="351">
        <v>220</v>
      </c>
      <c r="C221" s="304">
        <v>41583</v>
      </c>
      <c r="D221" s="305">
        <v>7601160</v>
      </c>
      <c r="E221" s="306" t="s">
        <v>2182</v>
      </c>
      <c r="F221" s="306" t="s">
        <v>784</v>
      </c>
      <c r="G221" s="307" t="s">
        <v>2180</v>
      </c>
      <c r="H221" s="333">
        <v>4</v>
      </c>
      <c r="I221" s="305" t="s">
        <v>2183</v>
      </c>
      <c r="J221" s="338" t="s">
        <v>1802</v>
      </c>
      <c r="K221" s="308" t="s">
        <v>1668</v>
      </c>
      <c r="L221" s="309" t="s">
        <v>1661</v>
      </c>
      <c r="M221" s="307" t="s">
        <v>1693</v>
      </c>
      <c r="N221" s="313" t="s">
        <v>1826</v>
      </c>
      <c r="O221" s="313" t="s">
        <v>1583</v>
      </c>
      <c r="P221" s="329">
        <v>7601160</v>
      </c>
      <c r="Q221" s="1" t="s">
        <v>1827</v>
      </c>
      <c r="R221" s="1" t="s">
        <v>1679</v>
      </c>
      <c r="S221" s="404"/>
      <c r="X221" s="88" t="s">
        <v>1778</v>
      </c>
      <c r="Y221" s="88" t="s">
        <v>1779</v>
      </c>
    </row>
    <row r="222" spans="1:45" ht="17.45" customHeight="1">
      <c r="B222" s="351">
        <v>221</v>
      </c>
      <c r="C222" s="304">
        <v>41563</v>
      </c>
      <c r="D222" s="305">
        <v>7601167</v>
      </c>
      <c r="E222" s="306" t="s">
        <v>2182</v>
      </c>
      <c r="F222" s="306" t="s">
        <v>802</v>
      </c>
      <c r="G222" s="307" t="s">
        <v>2180</v>
      </c>
      <c r="H222" s="333">
        <v>4</v>
      </c>
      <c r="I222" s="305" t="s">
        <v>2184</v>
      </c>
      <c r="J222" s="338" t="s">
        <v>1802</v>
      </c>
      <c r="K222" s="308" t="s">
        <v>1677</v>
      </c>
      <c r="L222" s="309" t="s">
        <v>1661</v>
      </c>
      <c r="M222" s="307" t="s">
        <v>1696</v>
      </c>
      <c r="N222" s="313" t="s">
        <v>1586</v>
      </c>
      <c r="O222" s="313" t="s">
        <v>1583</v>
      </c>
      <c r="P222" s="329">
        <v>7601167</v>
      </c>
      <c r="Q222" s="1" t="s">
        <v>1674</v>
      </c>
      <c r="R222" s="1" t="s">
        <v>1679</v>
      </c>
      <c r="S222" s="110" t="s">
        <v>1738</v>
      </c>
      <c r="X222" s="88" t="s">
        <v>1778</v>
      </c>
      <c r="Y222" s="88" t="s">
        <v>1779</v>
      </c>
    </row>
    <row r="223" spans="1:45" ht="17.45" customHeight="1">
      <c r="B223" s="351">
        <v>222</v>
      </c>
      <c r="C223" s="304">
        <v>39674</v>
      </c>
      <c r="D223" s="305">
        <v>7601168</v>
      </c>
      <c r="E223" s="306" t="s">
        <v>2182</v>
      </c>
      <c r="F223" s="306" t="s">
        <v>795</v>
      </c>
      <c r="G223" s="307" t="s">
        <v>2185</v>
      </c>
      <c r="H223" s="331">
        <v>4</v>
      </c>
      <c r="I223" s="305" t="s">
        <v>2186</v>
      </c>
      <c r="J223" s="338" t="s">
        <v>1802</v>
      </c>
      <c r="K223" s="308" t="s">
        <v>1677</v>
      </c>
      <c r="L223" s="309" t="s">
        <v>1661</v>
      </c>
      <c r="M223" s="307" t="s">
        <v>1696</v>
      </c>
      <c r="N223" s="313" t="s">
        <v>1586</v>
      </c>
      <c r="O223" s="313" t="s">
        <v>1583</v>
      </c>
      <c r="P223" s="329">
        <v>7601167</v>
      </c>
      <c r="Q223" s="1" t="s">
        <v>1674</v>
      </c>
      <c r="R223" s="1" t="s">
        <v>1679</v>
      </c>
      <c r="S223" s="404"/>
      <c r="X223" s="88" t="s">
        <v>1778</v>
      </c>
      <c r="Y223" s="88" t="s">
        <v>1779</v>
      </c>
    </row>
    <row r="224" spans="1:45" ht="17.45" customHeight="1">
      <c r="B224" s="351">
        <v>223</v>
      </c>
      <c r="C224" s="304">
        <v>40658</v>
      </c>
      <c r="D224" s="305">
        <v>7601240</v>
      </c>
      <c r="E224" s="306" t="s">
        <v>2182</v>
      </c>
      <c r="F224" s="306" t="s">
        <v>791</v>
      </c>
      <c r="G224" s="307" t="s">
        <v>2187</v>
      </c>
      <c r="H224" s="333">
        <v>2</v>
      </c>
      <c r="I224" s="305" t="s">
        <v>2188</v>
      </c>
      <c r="J224" s="338" t="s">
        <v>1802</v>
      </c>
      <c r="K224" s="308" t="s">
        <v>1668</v>
      </c>
      <c r="L224" s="309" t="s">
        <v>1661</v>
      </c>
      <c r="M224" s="307" t="s">
        <v>1693</v>
      </c>
      <c r="N224" s="313" t="s">
        <v>1826</v>
      </c>
      <c r="O224" s="313" t="s">
        <v>1583</v>
      </c>
      <c r="P224" s="329">
        <v>7601160</v>
      </c>
      <c r="Q224" s="1" t="s">
        <v>1827</v>
      </c>
      <c r="R224" s="1" t="s">
        <v>1679</v>
      </c>
      <c r="S224" s="404"/>
      <c r="X224" s="88" t="s">
        <v>1778</v>
      </c>
      <c r="Y224" s="88" t="s">
        <v>1779</v>
      </c>
    </row>
    <row r="225" spans="1:45" ht="17.45" customHeight="1">
      <c r="B225" s="351">
        <v>224</v>
      </c>
      <c r="C225" s="304">
        <v>40905</v>
      </c>
      <c r="D225" s="305">
        <v>7600757</v>
      </c>
      <c r="E225" s="306" t="s">
        <v>2189</v>
      </c>
      <c r="F225" s="306" t="s">
        <v>876</v>
      </c>
      <c r="G225" s="307" t="s">
        <v>2187</v>
      </c>
      <c r="H225" s="333">
        <v>2</v>
      </c>
      <c r="I225" s="305" t="s">
        <v>2190</v>
      </c>
      <c r="J225" s="338" t="s">
        <v>1774</v>
      </c>
      <c r="K225" s="308" t="s">
        <v>1699</v>
      </c>
      <c r="L225" s="309" t="s">
        <v>1699</v>
      </c>
      <c r="M225" s="307" t="s">
        <v>1705</v>
      </c>
      <c r="N225" s="313" t="s">
        <v>1587</v>
      </c>
      <c r="O225" s="313" t="s">
        <v>1589</v>
      </c>
      <c r="P225" s="329">
        <v>7600757</v>
      </c>
      <c r="Q225" s="1" t="s">
        <v>1823</v>
      </c>
      <c r="R225" s="1" t="s">
        <v>1715</v>
      </c>
      <c r="S225" s="404"/>
      <c r="X225" s="88" t="s">
        <v>1778</v>
      </c>
      <c r="Y225" s="88" t="s">
        <v>1779</v>
      </c>
    </row>
    <row r="226" spans="1:45" ht="17.45" customHeight="1">
      <c r="B226" s="351">
        <v>225</v>
      </c>
      <c r="C226" s="304">
        <v>40189</v>
      </c>
      <c r="D226" s="305">
        <v>7600760</v>
      </c>
      <c r="E226" s="306" t="s">
        <v>2189</v>
      </c>
      <c r="F226" s="306" t="s">
        <v>870</v>
      </c>
      <c r="G226" s="307" t="s">
        <v>2187</v>
      </c>
      <c r="H226" s="333">
        <v>2</v>
      </c>
      <c r="I226" s="305" t="s">
        <v>2191</v>
      </c>
      <c r="J226" s="338" t="s">
        <v>1774</v>
      </c>
      <c r="K226" s="308" t="s">
        <v>1699</v>
      </c>
      <c r="L226" s="309" t="s">
        <v>1699</v>
      </c>
      <c r="M226" s="307" t="s">
        <v>1705</v>
      </c>
      <c r="N226" s="313" t="s">
        <v>1587</v>
      </c>
      <c r="O226" s="313" t="s">
        <v>1589</v>
      </c>
      <c r="P226" s="329">
        <v>7600757</v>
      </c>
      <c r="Q226" s="1" t="s">
        <v>1823</v>
      </c>
      <c r="R226" s="1" t="s">
        <v>1715</v>
      </c>
      <c r="S226" s="404"/>
      <c r="X226" s="88" t="s">
        <v>1778</v>
      </c>
      <c r="Y226" s="88" t="s">
        <v>1779</v>
      </c>
    </row>
    <row r="227" spans="1:45" ht="17.45" customHeight="1">
      <c r="B227" s="351">
        <v>226</v>
      </c>
      <c r="C227" s="304" t="s">
        <v>2192</v>
      </c>
      <c r="D227" s="305">
        <v>7601061</v>
      </c>
      <c r="E227" s="306" t="s">
        <v>2193</v>
      </c>
      <c r="F227" s="306" t="s">
        <v>903</v>
      </c>
      <c r="G227" s="307" t="s">
        <v>2194</v>
      </c>
      <c r="H227" s="331">
        <v>2</v>
      </c>
      <c r="I227" s="305" t="s">
        <v>2195</v>
      </c>
      <c r="J227" s="338" t="s">
        <v>1774</v>
      </c>
      <c r="K227" s="308" t="s">
        <v>1713</v>
      </c>
      <c r="L227" s="309" t="s">
        <v>1699</v>
      </c>
      <c r="M227" s="307" t="s">
        <v>1711</v>
      </c>
      <c r="N227" s="313" t="s">
        <v>1811</v>
      </c>
      <c r="O227" s="313" t="s">
        <v>1589</v>
      </c>
      <c r="P227" s="329">
        <v>7601061</v>
      </c>
      <c r="Q227" s="1" t="s">
        <v>552</v>
      </c>
      <c r="R227" s="1" t="s">
        <v>1715</v>
      </c>
      <c r="S227" s="110" t="s">
        <v>1681</v>
      </c>
      <c r="X227" s="88" t="s">
        <v>1778</v>
      </c>
      <c r="Y227" s="88" t="s">
        <v>1779</v>
      </c>
    </row>
    <row r="228" spans="1:45" ht="17.45" customHeight="1">
      <c r="B228" s="351">
        <v>227</v>
      </c>
      <c r="C228" s="304">
        <v>35770</v>
      </c>
      <c r="D228" s="305">
        <v>7600990</v>
      </c>
      <c r="E228" s="306" t="s">
        <v>2196</v>
      </c>
      <c r="F228" s="306" t="s">
        <v>125</v>
      </c>
      <c r="G228" s="307" t="s">
        <v>2197</v>
      </c>
      <c r="H228" s="331">
        <v>2</v>
      </c>
      <c r="I228" s="305" t="s">
        <v>2198</v>
      </c>
      <c r="J228" s="338" t="s">
        <v>1810</v>
      </c>
      <c r="K228" s="308" t="s">
        <v>1600</v>
      </c>
      <c r="L228" s="308" t="s">
        <v>1596</v>
      </c>
      <c r="M228" s="307" t="s">
        <v>1612</v>
      </c>
      <c r="N228" s="313" t="s">
        <v>1571</v>
      </c>
      <c r="O228" s="313" t="s">
        <v>1811</v>
      </c>
      <c r="P228" s="329">
        <v>7600990</v>
      </c>
      <c r="Q228" s="1" t="s">
        <v>1602</v>
      </c>
      <c r="R228" s="352" t="s">
        <v>552</v>
      </c>
      <c r="S228" s="110" t="s">
        <v>1614</v>
      </c>
      <c r="X228" s="88" t="s">
        <v>1778</v>
      </c>
      <c r="Y228" s="88" t="s">
        <v>1779</v>
      </c>
    </row>
    <row r="229" spans="1:45" ht="17.45" customHeight="1">
      <c r="B229" s="351">
        <v>228</v>
      </c>
      <c r="C229" s="304">
        <v>35934</v>
      </c>
      <c r="D229" s="305">
        <v>7601148</v>
      </c>
      <c r="E229" s="306" t="s">
        <v>2196</v>
      </c>
      <c r="F229" s="306" t="s">
        <v>119</v>
      </c>
      <c r="G229" s="307" t="s">
        <v>2197</v>
      </c>
      <c r="H229" s="331">
        <v>2</v>
      </c>
      <c r="I229" s="305" t="s">
        <v>2199</v>
      </c>
      <c r="J229" s="338" t="s">
        <v>1810</v>
      </c>
      <c r="K229" s="308" t="s">
        <v>1600</v>
      </c>
      <c r="L229" s="308" t="s">
        <v>1596</v>
      </c>
      <c r="M229" s="307" t="s">
        <v>1612</v>
      </c>
      <c r="N229" s="313" t="s">
        <v>1571</v>
      </c>
      <c r="O229" s="313" t="s">
        <v>1811</v>
      </c>
      <c r="P229" s="329">
        <v>7600990</v>
      </c>
      <c r="Q229" s="1" t="s">
        <v>1602</v>
      </c>
      <c r="R229" s="352" t="s">
        <v>552</v>
      </c>
      <c r="S229" s="110" t="s">
        <v>1741</v>
      </c>
      <c r="X229" s="88" t="s">
        <v>1778</v>
      </c>
      <c r="Y229" s="88" t="s">
        <v>1779</v>
      </c>
    </row>
    <row r="230" spans="1:45" ht="17.45" customHeight="1">
      <c r="B230" s="351">
        <v>229</v>
      </c>
      <c r="C230" s="304">
        <v>40455</v>
      </c>
      <c r="D230" s="305">
        <v>7600554</v>
      </c>
      <c r="E230" s="306" t="s">
        <v>2200</v>
      </c>
      <c r="F230" s="306" t="s">
        <v>837</v>
      </c>
      <c r="G230" s="307" t="s">
        <v>2194</v>
      </c>
      <c r="H230" s="331">
        <v>2</v>
      </c>
      <c r="I230" s="305" t="s">
        <v>2201</v>
      </c>
      <c r="J230" s="338" t="s">
        <v>1802</v>
      </c>
      <c r="K230" s="308" t="s">
        <v>1677</v>
      </c>
      <c r="L230" s="309" t="s">
        <v>1668</v>
      </c>
      <c r="M230" s="307" t="s">
        <v>1697</v>
      </c>
      <c r="N230" s="313" t="s">
        <v>1586</v>
      </c>
      <c r="O230" s="313" t="s">
        <v>1584</v>
      </c>
      <c r="P230" s="329">
        <v>7600554</v>
      </c>
      <c r="Q230" s="1" t="s">
        <v>1674</v>
      </c>
      <c r="R230" s="1" t="s">
        <v>1676</v>
      </c>
      <c r="S230" s="110" t="s">
        <v>1717</v>
      </c>
      <c r="X230" s="88" t="s">
        <v>1778</v>
      </c>
      <c r="Y230" s="88" t="s">
        <v>1779</v>
      </c>
    </row>
    <row r="231" spans="1:45" ht="17.45" customHeight="1">
      <c r="B231" s="351">
        <v>230</v>
      </c>
      <c r="C231" s="304">
        <v>36648</v>
      </c>
      <c r="D231" s="305">
        <v>7600667</v>
      </c>
      <c r="E231" s="306" t="s">
        <v>2200</v>
      </c>
      <c r="F231" s="306" t="s">
        <v>832</v>
      </c>
      <c r="G231" s="307" t="s">
        <v>2197</v>
      </c>
      <c r="H231" s="331">
        <v>2</v>
      </c>
      <c r="I231" s="305" t="s">
        <v>2202</v>
      </c>
      <c r="J231" s="338" t="s">
        <v>1802</v>
      </c>
      <c r="K231" s="308" t="s">
        <v>1677</v>
      </c>
      <c r="L231" s="309" t="s">
        <v>1668</v>
      </c>
      <c r="M231" s="307" t="s">
        <v>1697</v>
      </c>
      <c r="N231" s="313" t="s">
        <v>1586</v>
      </c>
      <c r="O231" s="313" t="s">
        <v>1584</v>
      </c>
      <c r="P231" s="329">
        <v>7600554</v>
      </c>
      <c r="Q231" s="1" t="s">
        <v>1674</v>
      </c>
      <c r="R231" s="1" t="s">
        <v>1676</v>
      </c>
      <c r="S231" s="110" t="s">
        <v>1739</v>
      </c>
      <c r="X231" s="88" t="s">
        <v>1778</v>
      </c>
      <c r="Y231" s="88" t="s">
        <v>1779</v>
      </c>
    </row>
    <row r="232" spans="1:45" ht="17.45" customHeight="1">
      <c r="B232" s="351">
        <v>231</v>
      </c>
      <c r="C232" s="304" t="s">
        <v>2203</v>
      </c>
      <c r="D232" s="305">
        <v>7600759</v>
      </c>
      <c r="E232" s="306" t="s">
        <v>2200</v>
      </c>
      <c r="F232" s="306" t="s">
        <v>825</v>
      </c>
      <c r="G232" s="307" t="s">
        <v>2194</v>
      </c>
      <c r="H232" s="331">
        <v>2</v>
      </c>
      <c r="I232" s="305" t="s">
        <v>2204</v>
      </c>
      <c r="J232" s="338" t="s">
        <v>1802</v>
      </c>
      <c r="K232" s="308" t="s">
        <v>1677</v>
      </c>
      <c r="L232" s="309" t="s">
        <v>1668</v>
      </c>
      <c r="M232" s="307" t="s">
        <v>1697</v>
      </c>
      <c r="N232" s="313" t="s">
        <v>1586</v>
      </c>
      <c r="O232" s="313" t="s">
        <v>1584</v>
      </c>
      <c r="P232" s="329">
        <v>7600554</v>
      </c>
      <c r="Q232" s="1" t="s">
        <v>1674</v>
      </c>
      <c r="R232" s="1" t="s">
        <v>1676</v>
      </c>
      <c r="S232" s="93" t="s">
        <v>1597</v>
      </c>
      <c r="X232" s="88" t="s">
        <v>1778</v>
      </c>
      <c r="Y232" s="88" t="s">
        <v>1779</v>
      </c>
    </row>
    <row r="233" spans="1:45" ht="17.45" customHeight="1">
      <c r="B233" s="351">
        <v>232</v>
      </c>
      <c r="C233" s="304">
        <v>40999</v>
      </c>
      <c r="D233" s="305">
        <v>7600519</v>
      </c>
      <c r="E233" s="306" t="s">
        <v>2205</v>
      </c>
      <c r="F233" s="306" t="s">
        <v>425</v>
      </c>
      <c r="G233" s="307" t="s">
        <v>2194</v>
      </c>
      <c r="H233" s="331">
        <v>2</v>
      </c>
      <c r="I233" s="305" t="s">
        <v>2206</v>
      </c>
      <c r="J233" s="338" t="s">
        <v>1784</v>
      </c>
      <c r="K233" s="308" t="s">
        <v>1634</v>
      </c>
      <c r="L233" s="309" t="s">
        <v>1634</v>
      </c>
      <c r="M233" s="307" t="s">
        <v>1656</v>
      </c>
      <c r="N233" s="313" t="s">
        <v>1811</v>
      </c>
      <c r="O233" s="313" t="s">
        <v>1795</v>
      </c>
      <c r="P233" s="329">
        <v>7600519</v>
      </c>
      <c r="Q233" s="1" t="s">
        <v>552</v>
      </c>
      <c r="R233" s="1" t="s">
        <v>1797</v>
      </c>
      <c r="S233" s="110" t="s">
        <v>1623</v>
      </c>
      <c r="X233" s="88" t="s">
        <v>1778</v>
      </c>
      <c r="Y233" s="88" t="s">
        <v>1779</v>
      </c>
    </row>
    <row r="234" spans="1:45" ht="17.45" customHeight="1">
      <c r="B234" s="351">
        <v>233</v>
      </c>
      <c r="C234" s="304">
        <v>41351</v>
      </c>
      <c r="D234" s="305">
        <v>7600567</v>
      </c>
      <c r="E234" s="306" t="s">
        <v>2205</v>
      </c>
      <c r="F234" s="306" t="s">
        <v>466</v>
      </c>
      <c r="G234" s="307" t="s">
        <v>2194</v>
      </c>
      <c r="H234" s="336">
        <v>2</v>
      </c>
      <c r="I234" s="305" t="s">
        <v>2207</v>
      </c>
      <c r="J234" s="338" t="s">
        <v>1784</v>
      </c>
      <c r="K234" s="308" t="s">
        <v>1634</v>
      </c>
      <c r="L234" s="309" t="s">
        <v>1634</v>
      </c>
      <c r="M234" s="307" t="s">
        <v>1656</v>
      </c>
      <c r="N234" s="313" t="s">
        <v>1811</v>
      </c>
      <c r="O234" s="313" t="s">
        <v>1795</v>
      </c>
      <c r="P234" s="329">
        <v>7600519</v>
      </c>
      <c r="Q234" s="1" t="s">
        <v>552</v>
      </c>
      <c r="R234" s="1" t="s">
        <v>1797</v>
      </c>
      <c r="S234" s="110" t="s">
        <v>2208</v>
      </c>
      <c r="X234" s="88" t="s">
        <v>1778</v>
      </c>
      <c r="Y234" s="88" t="s">
        <v>1779</v>
      </c>
    </row>
    <row r="235" spans="1:45" ht="17.45" customHeight="1">
      <c r="B235" s="351">
        <v>234</v>
      </c>
      <c r="C235" s="304">
        <v>45077</v>
      </c>
      <c r="D235" s="305">
        <v>7600614</v>
      </c>
      <c r="E235" s="306" t="s">
        <v>2205</v>
      </c>
      <c r="F235" s="306" t="s">
        <v>471</v>
      </c>
      <c r="G235" s="307" t="s">
        <v>2209</v>
      </c>
      <c r="H235" s="333">
        <v>2</v>
      </c>
      <c r="I235" s="305" t="s">
        <v>2210</v>
      </c>
      <c r="J235" s="338" t="s">
        <v>1784</v>
      </c>
      <c r="K235" s="308" t="s">
        <v>1634</v>
      </c>
      <c r="L235" s="309" t="s">
        <v>1634</v>
      </c>
      <c r="M235" s="307" t="s">
        <v>1656</v>
      </c>
      <c r="N235" s="313" t="s">
        <v>1811</v>
      </c>
      <c r="O235" s="313" t="s">
        <v>1795</v>
      </c>
      <c r="P235" s="329">
        <v>7600519</v>
      </c>
      <c r="Q235" s="1" t="s">
        <v>552</v>
      </c>
      <c r="R235" s="1" t="s">
        <v>1797</v>
      </c>
      <c r="S235" s="352" t="s">
        <v>1805</v>
      </c>
      <c r="X235" s="88" t="s">
        <v>1778</v>
      </c>
      <c r="Y235" s="88" t="s">
        <v>1779</v>
      </c>
    </row>
    <row r="236" spans="1:45" ht="17.45" customHeight="1">
      <c r="B236" s="351">
        <v>235</v>
      </c>
      <c r="C236" s="304">
        <v>44356</v>
      </c>
      <c r="D236" s="305">
        <v>7600932</v>
      </c>
      <c r="E236" s="306" t="s">
        <v>2211</v>
      </c>
      <c r="F236" s="306" t="s">
        <v>494</v>
      </c>
      <c r="G236" s="307" t="s">
        <v>2209</v>
      </c>
      <c r="H236" s="333">
        <v>2</v>
      </c>
      <c r="I236" s="305" t="s">
        <v>2212</v>
      </c>
      <c r="J236" s="338" t="s">
        <v>1784</v>
      </c>
      <c r="K236" s="308" t="s">
        <v>1833</v>
      </c>
      <c r="L236" s="309" t="s">
        <v>1833</v>
      </c>
      <c r="M236" s="307" t="s">
        <v>1643</v>
      </c>
      <c r="N236" s="313" t="s">
        <v>1804</v>
      </c>
      <c r="O236" s="313" t="s">
        <v>1804</v>
      </c>
      <c r="P236" s="329">
        <v>7600932</v>
      </c>
      <c r="Q236" s="1" t="s">
        <v>1805</v>
      </c>
      <c r="R236" s="352" t="s">
        <v>1805</v>
      </c>
      <c r="S236" s="404"/>
      <c r="T236" s="107"/>
      <c r="X236" s="88" t="s">
        <v>1778</v>
      </c>
      <c r="Y236" s="88" t="s">
        <v>1779</v>
      </c>
    </row>
    <row r="237" spans="1:45" ht="17.45" customHeight="1">
      <c r="B237" s="351">
        <v>236</v>
      </c>
      <c r="C237" s="304">
        <v>42887</v>
      </c>
      <c r="D237" s="305">
        <v>7601219</v>
      </c>
      <c r="E237" s="306" t="s">
        <v>2211</v>
      </c>
      <c r="F237" s="306" t="s">
        <v>2213</v>
      </c>
      <c r="G237" s="307" t="s">
        <v>2209</v>
      </c>
      <c r="H237" s="333">
        <v>2</v>
      </c>
      <c r="I237" s="305" t="s">
        <v>2214</v>
      </c>
      <c r="J237" s="338" t="s">
        <v>1784</v>
      </c>
      <c r="K237" s="308" t="s">
        <v>1833</v>
      </c>
      <c r="L237" s="309" t="s">
        <v>1833</v>
      </c>
      <c r="M237" s="307" t="s">
        <v>1643</v>
      </c>
      <c r="N237" s="313" t="s">
        <v>1804</v>
      </c>
      <c r="O237" s="313" t="s">
        <v>1804</v>
      </c>
      <c r="P237" s="329">
        <v>7600932</v>
      </c>
      <c r="Q237" s="1" t="s">
        <v>1805</v>
      </c>
      <c r="R237" s="352" t="s">
        <v>1805</v>
      </c>
      <c r="S237" s="404"/>
      <c r="T237" s="107"/>
      <c r="X237" s="88" t="s">
        <v>1778</v>
      </c>
      <c r="Y237" s="88" t="s">
        <v>1779</v>
      </c>
    </row>
    <row r="238" spans="1:45" ht="17.45" customHeight="1">
      <c r="B238" s="351">
        <v>237</v>
      </c>
      <c r="C238" s="304">
        <v>37153</v>
      </c>
      <c r="D238" s="305">
        <v>7601151</v>
      </c>
      <c r="E238" s="306" t="s">
        <v>2211</v>
      </c>
      <c r="F238" s="306" t="s">
        <v>487</v>
      </c>
      <c r="G238" s="307" t="s">
        <v>2215</v>
      </c>
      <c r="H238" s="331">
        <v>3</v>
      </c>
      <c r="I238" s="305" t="s">
        <v>2216</v>
      </c>
      <c r="J238" s="338" t="s">
        <v>1784</v>
      </c>
      <c r="K238" s="308" t="s">
        <v>1833</v>
      </c>
      <c r="L238" s="309" t="s">
        <v>1833</v>
      </c>
      <c r="M238" s="307" t="s">
        <v>1643</v>
      </c>
      <c r="N238" s="313" t="s">
        <v>1804</v>
      </c>
      <c r="O238" s="313" t="s">
        <v>1804</v>
      </c>
      <c r="P238" s="329">
        <v>7600932</v>
      </c>
      <c r="Q238" s="1" t="s">
        <v>1805</v>
      </c>
      <c r="R238" s="352" t="s">
        <v>1805</v>
      </c>
      <c r="S238" s="404"/>
      <c r="T238" s="107"/>
      <c r="X238" s="88" t="s">
        <v>1778</v>
      </c>
      <c r="Y238" s="88" t="s">
        <v>1779</v>
      </c>
    </row>
    <row r="239" spans="1:45" ht="17.45" customHeight="1">
      <c r="B239" s="351">
        <v>238</v>
      </c>
      <c r="C239" s="304">
        <v>40087</v>
      </c>
      <c r="D239" s="305">
        <v>7601108</v>
      </c>
      <c r="E239" s="306" t="s">
        <v>2217</v>
      </c>
      <c r="F239" s="306" t="s">
        <v>58</v>
      </c>
      <c r="G239" s="307" t="s">
        <v>2215</v>
      </c>
      <c r="H239" s="331">
        <v>3</v>
      </c>
      <c r="I239" s="305" t="s">
        <v>2218</v>
      </c>
      <c r="J239" s="338" t="s">
        <v>1810</v>
      </c>
      <c r="K239" s="308" t="s">
        <v>1596</v>
      </c>
      <c r="L239" s="308" t="s">
        <v>1596</v>
      </c>
      <c r="M239" s="307" t="s">
        <v>1599</v>
      </c>
      <c r="N239" s="313" t="s">
        <v>1570</v>
      </c>
      <c r="O239" s="313" t="s">
        <v>1811</v>
      </c>
      <c r="P239" s="329">
        <v>7601108</v>
      </c>
      <c r="Q239" s="1" t="s">
        <v>1812</v>
      </c>
      <c r="R239" s="352" t="s">
        <v>552</v>
      </c>
      <c r="S239" s="404"/>
      <c r="T239" s="107"/>
      <c r="X239" s="88" t="s">
        <v>1778</v>
      </c>
      <c r="Y239" s="88" t="s">
        <v>1779</v>
      </c>
    </row>
    <row r="240" spans="1:45" s="88" customFormat="1" ht="17.45" customHeight="1">
      <c r="A240" s="56"/>
      <c r="B240" s="351">
        <v>239</v>
      </c>
      <c r="C240" s="304">
        <v>44148</v>
      </c>
      <c r="D240" s="305">
        <v>7600249</v>
      </c>
      <c r="E240" s="307" t="s">
        <v>2219</v>
      </c>
      <c r="F240" s="306" t="s">
        <v>640</v>
      </c>
      <c r="G240" s="319" t="s">
        <v>2220</v>
      </c>
      <c r="H240" s="333">
        <v>4</v>
      </c>
      <c r="I240" s="305" t="s">
        <v>2221</v>
      </c>
      <c r="J240" s="338" t="s">
        <v>1802</v>
      </c>
      <c r="K240" s="308" t="s">
        <v>1661</v>
      </c>
      <c r="L240" s="309" t="s">
        <v>1668</v>
      </c>
      <c r="M240" s="307" t="s">
        <v>1675</v>
      </c>
      <c r="N240" s="313" t="s">
        <v>1663</v>
      </c>
      <c r="O240" s="313" t="s">
        <v>1584</v>
      </c>
      <c r="P240" s="329">
        <v>7600249</v>
      </c>
      <c r="Q240" s="1" t="s">
        <v>1664</v>
      </c>
      <c r="R240" s="1" t="s">
        <v>1676</v>
      </c>
      <c r="S240" s="404"/>
      <c r="T240" s="107"/>
      <c r="U240" s="74"/>
      <c r="V240" s="74"/>
      <c r="W240" s="74"/>
      <c r="X240" s="88" t="s">
        <v>1778</v>
      </c>
      <c r="Y240" s="88" t="s">
        <v>1779</v>
      </c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</row>
    <row r="241" spans="1:45" ht="17.45" customHeight="1">
      <c r="B241" s="351">
        <v>240</v>
      </c>
      <c r="C241" s="304">
        <v>40661</v>
      </c>
      <c r="D241" s="305">
        <v>7600520</v>
      </c>
      <c r="E241" s="306" t="s">
        <v>2219</v>
      </c>
      <c r="F241" s="306" t="s">
        <v>601</v>
      </c>
      <c r="G241" s="307" t="s">
        <v>2222</v>
      </c>
      <c r="H241" s="333">
        <v>2</v>
      </c>
      <c r="I241" s="305" t="s">
        <v>2223</v>
      </c>
      <c r="J241" s="338" t="s">
        <v>1802</v>
      </c>
      <c r="K241" s="308" t="s">
        <v>1661</v>
      </c>
      <c r="L241" s="309" t="s">
        <v>1668</v>
      </c>
      <c r="M241" s="307" t="s">
        <v>1666</v>
      </c>
      <c r="N241" s="313" t="s">
        <v>1663</v>
      </c>
      <c r="O241" s="313" t="s">
        <v>1584</v>
      </c>
      <c r="P241" s="329">
        <v>7600520</v>
      </c>
      <c r="Q241" s="1" t="s">
        <v>1664</v>
      </c>
      <c r="R241" s="1" t="s">
        <v>1676</v>
      </c>
      <c r="S241" s="352" t="s">
        <v>1797</v>
      </c>
      <c r="T241" s="107"/>
      <c r="X241" s="88" t="s">
        <v>1778</v>
      </c>
      <c r="Y241" s="88" t="s">
        <v>1779</v>
      </c>
    </row>
    <row r="242" spans="1:45" ht="17.45" customHeight="1">
      <c r="A242" s="88"/>
      <c r="B242" s="351">
        <v>241</v>
      </c>
      <c r="C242" s="304">
        <v>42751</v>
      </c>
      <c r="D242" s="305">
        <v>7601136</v>
      </c>
      <c r="E242" s="306" t="s">
        <v>2224</v>
      </c>
      <c r="F242" s="306" t="s">
        <v>1017</v>
      </c>
      <c r="G242" s="307" t="s">
        <v>2222</v>
      </c>
      <c r="H242" s="333">
        <v>2</v>
      </c>
      <c r="I242" s="305" t="s">
        <v>2225</v>
      </c>
      <c r="J242" s="338" t="s">
        <v>1774</v>
      </c>
      <c r="K242" s="308" t="s">
        <v>1775</v>
      </c>
      <c r="L242" s="309" t="s">
        <v>1775</v>
      </c>
      <c r="M242" s="307" t="s">
        <v>1733</v>
      </c>
      <c r="N242" s="313" t="s">
        <v>1776</v>
      </c>
      <c r="O242" s="313" t="s">
        <v>1776</v>
      </c>
      <c r="P242" s="329">
        <v>7601136</v>
      </c>
      <c r="Q242" s="352" t="s">
        <v>1777</v>
      </c>
      <c r="R242" s="352" t="s">
        <v>1777</v>
      </c>
      <c r="S242" s="404"/>
      <c r="T242" s="107"/>
      <c r="X242" s="88" t="s">
        <v>1778</v>
      </c>
      <c r="Y242" s="88" t="s">
        <v>1779</v>
      </c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  <c r="AR242" s="88"/>
      <c r="AS242" s="88"/>
    </row>
    <row r="243" spans="1:45" ht="17.45" customHeight="1">
      <c r="B243" s="351">
        <v>242</v>
      </c>
      <c r="C243" s="304">
        <v>45135</v>
      </c>
      <c r="D243" s="305">
        <v>7601175</v>
      </c>
      <c r="E243" s="307" t="s">
        <v>2226</v>
      </c>
      <c r="F243" s="306" t="s">
        <v>815</v>
      </c>
      <c r="G243" s="319" t="s">
        <v>2227</v>
      </c>
      <c r="H243" s="333">
        <v>3</v>
      </c>
      <c r="I243" s="305" t="s">
        <v>2228</v>
      </c>
      <c r="J243" s="338" t="s">
        <v>1802</v>
      </c>
      <c r="K243" s="308" t="s">
        <v>1677</v>
      </c>
      <c r="L243" s="309" t="s">
        <v>1668</v>
      </c>
      <c r="M243" s="307" t="s">
        <v>1698</v>
      </c>
      <c r="N243" s="313" t="s">
        <v>1586</v>
      </c>
      <c r="O243" s="313" t="s">
        <v>1584</v>
      </c>
      <c r="P243" s="329">
        <v>7601175</v>
      </c>
      <c r="Q243" s="1" t="s">
        <v>1674</v>
      </c>
      <c r="R243" s="1" t="s">
        <v>1676</v>
      </c>
      <c r="T243" s="107"/>
      <c r="X243" s="88" t="s">
        <v>1778</v>
      </c>
      <c r="Y243" s="88" t="s">
        <v>1779</v>
      </c>
    </row>
    <row r="244" spans="1:45" ht="17.45" customHeight="1">
      <c r="B244" s="351">
        <v>243</v>
      </c>
      <c r="C244" s="304">
        <v>44162</v>
      </c>
      <c r="D244" s="305">
        <v>7601176</v>
      </c>
      <c r="E244" s="306" t="s">
        <v>2226</v>
      </c>
      <c r="F244" s="306" t="s">
        <v>810</v>
      </c>
      <c r="G244" s="319" t="s">
        <v>2227</v>
      </c>
      <c r="H244" s="333">
        <v>3</v>
      </c>
      <c r="I244" s="305" t="s">
        <v>2229</v>
      </c>
      <c r="J244" s="338" t="s">
        <v>1802</v>
      </c>
      <c r="K244" s="308" t="s">
        <v>1677</v>
      </c>
      <c r="L244" s="309" t="s">
        <v>1668</v>
      </c>
      <c r="M244" s="307" t="s">
        <v>1698</v>
      </c>
      <c r="N244" s="313" t="s">
        <v>1586</v>
      </c>
      <c r="O244" s="313" t="s">
        <v>1584</v>
      </c>
      <c r="P244" s="329">
        <v>7601175</v>
      </c>
      <c r="Q244" s="1" t="s">
        <v>1674</v>
      </c>
      <c r="R244" s="1" t="s">
        <v>1676</v>
      </c>
      <c r="T244" s="107"/>
      <c r="X244" s="88" t="s">
        <v>1778</v>
      </c>
      <c r="Y244" s="88" t="s">
        <v>1779</v>
      </c>
    </row>
    <row r="245" spans="1:45" ht="17.45" customHeight="1">
      <c r="B245" s="351">
        <v>245</v>
      </c>
      <c r="C245" s="304">
        <v>44197</v>
      </c>
      <c r="D245" s="305">
        <v>7601097</v>
      </c>
      <c r="E245" s="306" t="s">
        <v>2230</v>
      </c>
      <c r="F245" s="306" t="s">
        <v>579</v>
      </c>
      <c r="G245" s="307" t="s">
        <v>2231</v>
      </c>
      <c r="H245" s="333">
        <v>2</v>
      </c>
      <c r="I245" s="305" t="s">
        <v>2232</v>
      </c>
      <c r="J245" s="338" t="s">
        <v>1784</v>
      </c>
      <c r="K245" s="308" t="s">
        <v>1833</v>
      </c>
      <c r="L245" s="309" t="s">
        <v>1833</v>
      </c>
      <c r="M245" s="307" t="s">
        <v>1655</v>
      </c>
      <c r="N245" s="313" t="s">
        <v>1804</v>
      </c>
      <c r="O245" s="313" t="s">
        <v>1804</v>
      </c>
      <c r="P245" s="329">
        <v>7601097</v>
      </c>
      <c r="Q245" s="1" t="s">
        <v>1805</v>
      </c>
      <c r="R245" s="352" t="s">
        <v>1805</v>
      </c>
      <c r="S245" s="404"/>
      <c r="T245" s="107"/>
      <c r="W245" s="74" t="e">
        <v>#REF!</v>
      </c>
      <c r="X245" s="88" t="s">
        <v>1778</v>
      </c>
      <c r="Y245" s="88" t="s">
        <v>1779</v>
      </c>
    </row>
    <row r="246" spans="1:45" ht="17.45" customHeight="1">
      <c r="B246" s="351">
        <v>246</v>
      </c>
      <c r="C246" s="304">
        <v>35962</v>
      </c>
      <c r="D246" s="305">
        <v>7600075</v>
      </c>
      <c r="E246" s="306" t="s">
        <v>2233</v>
      </c>
      <c r="F246" s="306" t="s">
        <v>556</v>
      </c>
      <c r="G246" s="307" t="s">
        <v>2231</v>
      </c>
      <c r="H246" s="333">
        <v>2</v>
      </c>
      <c r="I246" s="305" t="s">
        <v>2234</v>
      </c>
      <c r="J246" s="338" t="s">
        <v>1784</v>
      </c>
      <c r="K246" s="308" t="s">
        <v>1628</v>
      </c>
      <c r="L246" s="309" t="s">
        <v>1628</v>
      </c>
      <c r="M246" s="307" t="s">
        <v>1645</v>
      </c>
      <c r="N246" s="313" t="s">
        <v>1580</v>
      </c>
      <c r="O246" s="313" t="s">
        <v>1579</v>
      </c>
      <c r="P246" s="329">
        <v>7600075</v>
      </c>
      <c r="Q246" s="1" t="s">
        <v>1796</v>
      </c>
      <c r="R246" s="1" t="s">
        <v>1787</v>
      </c>
      <c r="S246" s="404"/>
      <c r="T246" s="107"/>
      <c r="X246" s="88" t="s">
        <v>1778</v>
      </c>
      <c r="Y246" s="88" t="s">
        <v>1779</v>
      </c>
    </row>
    <row r="247" spans="1:45" ht="17.45" customHeight="1">
      <c r="B247" s="351">
        <v>247</v>
      </c>
      <c r="C247" s="304">
        <v>38433</v>
      </c>
      <c r="D247" s="305">
        <v>7600156</v>
      </c>
      <c r="E247" s="306" t="s">
        <v>2233</v>
      </c>
      <c r="F247" s="306" t="s">
        <v>562</v>
      </c>
      <c r="G247" s="307" t="s">
        <v>2231</v>
      </c>
      <c r="H247" s="333">
        <v>2</v>
      </c>
      <c r="I247" s="305" t="s">
        <v>2235</v>
      </c>
      <c r="J247" s="338" t="s">
        <v>1784</v>
      </c>
      <c r="K247" s="308" t="s">
        <v>1628</v>
      </c>
      <c r="L247" s="309" t="s">
        <v>1628</v>
      </c>
      <c r="M247" s="307" t="s">
        <v>1645</v>
      </c>
      <c r="N247" s="313" t="s">
        <v>1580</v>
      </c>
      <c r="O247" s="313" t="s">
        <v>1579</v>
      </c>
      <c r="P247" s="329">
        <v>7600075</v>
      </c>
      <c r="Q247" s="1" t="s">
        <v>1796</v>
      </c>
      <c r="R247" s="1" t="s">
        <v>1787</v>
      </c>
      <c r="S247" s="404"/>
      <c r="T247" s="107"/>
      <c r="X247" s="88" t="s">
        <v>1778</v>
      </c>
      <c r="Y247" s="88" t="s">
        <v>1779</v>
      </c>
    </row>
    <row r="248" spans="1:45" ht="17.45" customHeight="1">
      <c r="B248" s="351">
        <v>248</v>
      </c>
      <c r="C248" s="304">
        <v>36791</v>
      </c>
      <c r="D248" s="305">
        <v>7600383</v>
      </c>
      <c r="E248" s="306" t="s">
        <v>2233</v>
      </c>
      <c r="F248" s="306" t="s">
        <v>559</v>
      </c>
      <c r="G248" s="307" t="s">
        <v>2231</v>
      </c>
      <c r="H248" s="333">
        <v>2</v>
      </c>
      <c r="I248" s="305" t="s">
        <v>2236</v>
      </c>
      <c r="J248" s="338" t="s">
        <v>1784</v>
      </c>
      <c r="K248" s="308" t="s">
        <v>1628</v>
      </c>
      <c r="L248" s="309" t="s">
        <v>1628</v>
      </c>
      <c r="M248" s="307" t="s">
        <v>1645</v>
      </c>
      <c r="N248" s="313" t="s">
        <v>1580</v>
      </c>
      <c r="O248" s="313" t="s">
        <v>1579</v>
      </c>
      <c r="P248" s="329">
        <v>7600075</v>
      </c>
      <c r="Q248" s="1" t="s">
        <v>1796</v>
      </c>
      <c r="R248" s="1" t="s">
        <v>1787</v>
      </c>
      <c r="S248" s="404"/>
      <c r="T248" s="107"/>
      <c r="X248" s="88" t="s">
        <v>1778</v>
      </c>
      <c r="Y248" s="88" t="s">
        <v>1779</v>
      </c>
    </row>
    <row r="249" spans="1:45" ht="17.45" customHeight="1">
      <c r="B249" s="351">
        <v>249</v>
      </c>
      <c r="C249" s="304">
        <v>40864</v>
      </c>
      <c r="D249" s="305">
        <v>7600608</v>
      </c>
      <c r="E249" s="306" t="s">
        <v>2233</v>
      </c>
      <c r="F249" s="306" t="s">
        <v>565</v>
      </c>
      <c r="G249" s="307" t="s">
        <v>2231</v>
      </c>
      <c r="H249" s="333">
        <v>2</v>
      </c>
      <c r="I249" s="305" t="s">
        <v>2237</v>
      </c>
      <c r="J249" s="338" t="s">
        <v>1784</v>
      </c>
      <c r="K249" s="308" t="s">
        <v>1628</v>
      </c>
      <c r="L249" s="309" t="s">
        <v>1628</v>
      </c>
      <c r="M249" s="307" t="s">
        <v>1645</v>
      </c>
      <c r="N249" s="313" t="s">
        <v>1580</v>
      </c>
      <c r="O249" s="313" t="s">
        <v>1579</v>
      </c>
      <c r="P249" s="329">
        <v>7600075</v>
      </c>
      <c r="Q249" s="1" t="s">
        <v>1796</v>
      </c>
      <c r="R249" s="1" t="s">
        <v>1787</v>
      </c>
      <c r="S249" s="404"/>
      <c r="X249" s="88" t="s">
        <v>1778</v>
      </c>
      <c r="Y249" s="88" t="s">
        <v>1779</v>
      </c>
    </row>
    <row r="250" spans="1:45" ht="17.45" customHeight="1">
      <c r="B250" s="351">
        <v>250</v>
      </c>
      <c r="C250" s="304">
        <v>40765</v>
      </c>
      <c r="D250" s="305">
        <v>7601141</v>
      </c>
      <c r="E250" s="306" t="s">
        <v>2238</v>
      </c>
      <c r="F250" s="306" t="s">
        <v>549</v>
      </c>
      <c r="G250" s="307" t="s">
        <v>2239</v>
      </c>
      <c r="H250" s="331">
        <v>4</v>
      </c>
      <c r="I250" s="305" t="s">
        <v>2240</v>
      </c>
      <c r="J250" s="338" t="s">
        <v>1784</v>
      </c>
      <c r="K250" s="308" t="s">
        <v>1628</v>
      </c>
      <c r="L250" s="309" t="s">
        <v>1628</v>
      </c>
      <c r="M250" s="307" t="s">
        <v>1645</v>
      </c>
      <c r="N250" s="313" t="s">
        <v>1580</v>
      </c>
      <c r="O250" s="313" t="s">
        <v>1579</v>
      </c>
      <c r="P250" s="329">
        <v>7600075</v>
      </c>
      <c r="Q250" s="1" t="s">
        <v>1796</v>
      </c>
      <c r="R250" s="1" t="s">
        <v>1787</v>
      </c>
      <c r="S250" s="404"/>
      <c r="X250" s="88" t="s">
        <v>1778</v>
      </c>
      <c r="Y250" s="88" t="s">
        <v>1779</v>
      </c>
    </row>
    <row r="251" spans="1:45" ht="17.45" customHeight="1">
      <c r="B251" s="351">
        <v>251</v>
      </c>
      <c r="C251" s="304">
        <v>41410</v>
      </c>
      <c r="D251" s="305">
        <v>7601087</v>
      </c>
      <c r="E251" s="306" t="s">
        <v>2241</v>
      </c>
      <c r="F251" s="306" t="s">
        <v>538</v>
      </c>
      <c r="G251" s="307" t="s">
        <v>2239</v>
      </c>
      <c r="H251" s="333">
        <v>3</v>
      </c>
      <c r="I251" s="305" t="s">
        <v>2242</v>
      </c>
      <c r="J251" s="338" t="s">
        <v>1784</v>
      </c>
      <c r="K251" s="308" t="s">
        <v>1833</v>
      </c>
      <c r="L251" s="309" t="s">
        <v>1833</v>
      </c>
      <c r="M251" s="307" t="s">
        <v>1647</v>
      </c>
      <c r="N251" s="313" t="s">
        <v>1804</v>
      </c>
      <c r="O251" s="313" t="s">
        <v>1804</v>
      </c>
      <c r="P251" s="329">
        <v>7601087</v>
      </c>
      <c r="Q251" s="1" t="s">
        <v>1805</v>
      </c>
      <c r="R251" s="352" t="s">
        <v>1805</v>
      </c>
      <c r="X251" s="88" t="s">
        <v>1778</v>
      </c>
      <c r="Y251" s="88" t="s">
        <v>1779</v>
      </c>
    </row>
    <row r="252" spans="1:45" ht="17.45" customHeight="1">
      <c r="B252" s="351">
        <v>252</v>
      </c>
      <c r="C252" s="304">
        <v>44104</v>
      </c>
      <c r="D252" s="305">
        <v>7600976</v>
      </c>
      <c r="E252" s="307" t="s">
        <v>2243</v>
      </c>
      <c r="F252" s="306" t="s">
        <v>901</v>
      </c>
      <c r="G252" s="307" t="s">
        <v>2244</v>
      </c>
      <c r="H252" s="333">
        <v>4</v>
      </c>
      <c r="I252" s="305" t="s">
        <v>2245</v>
      </c>
      <c r="J252" s="338" t="s">
        <v>1774</v>
      </c>
      <c r="K252" s="308" t="s">
        <v>1713</v>
      </c>
      <c r="L252" s="308" t="s">
        <v>1706</v>
      </c>
      <c r="M252" s="307" t="s">
        <v>1712</v>
      </c>
      <c r="N252" s="313" t="s">
        <v>1811</v>
      </c>
      <c r="O252" s="313" t="s">
        <v>1590</v>
      </c>
      <c r="P252" s="329">
        <v>7600976</v>
      </c>
      <c r="Q252" s="1" t="s">
        <v>552</v>
      </c>
      <c r="R252" s="1" t="s">
        <v>1723</v>
      </c>
      <c r="S252" s="110" t="s">
        <v>1669</v>
      </c>
      <c r="X252" s="88" t="s">
        <v>1778</v>
      </c>
      <c r="Y252" s="88" t="s">
        <v>1779</v>
      </c>
    </row>
    <row r="253" spans="1:45" ht="17.45" customHeight="1">
      <c r="B253" s="351">
        <v>253</v>
      </c>
      <c r="C253" s="304">
        <v>41618</v>
      </c>
      <c r="D253" s="305">
        <v>7601076</v>
      </c>
      <c r="E253" s="306" t="s">
        <v>2243</v>
      </c>
      <c r="F253" s="306" t="s">
        <v>898</v>
      </c>
      <c r="G253" s="307" t="s">
        <v>2246</v>
      </c>
      <c r="H253" s="333">
        <v>3</v>
      </c>
      <c r="I253" s="305" t="s">
        <v>2247</v>
      </c>
      <c r="J253" s="338" t="s">
        <v>1774</v>
      </c>
      <c r="K253" s="308" t="s">
        <v>1713</v>
      </c>
      <c r="L253" s="308" t="s">
        <v>1706</v>
      </c>
      <c r="M253" s="307" t="s">
        <v>1712</v>
      </c>
      <c r="N253" s="313" t="s">
        <v>1811</v>
      </c>
      <c r="O253" s="313" t="s">
        <v>1590</v>
      </c>
      <c r="P253" s="329">
        <v>7600976</v>
      </c>
      <c r="Q253" s="1" t="s">
        <v>552</v>
      </c>
      <c r="R253" s="1" t="s">
        <v>1723</v>
      </c>
      <c r="X253" s="88" t="s">
        <v>1778</v>
      </c>
      <c r="Y253" s="88" t="s">
        <v>1779</v>
      </c>
    </row>
    <row r="254" spans="1:45" ht="17.45" customHeight="1">
      <c r="B254" s="351">
        <v>254</v>
      </c>
      <c r="C254" s="304">
        <v>41120</v>
      </c>
      <c r="D254" s="305">
        <v>7600164</v>
      </c>
      <c r="E254" s="306" t="s">
        <v>2248</v>
      </c>
      <c r="F254" s="306" t="s">
        <v>1023</v>
      </c>
      <c r="G254" s="307" t="s">
        <v>2246</v>
      </c>
      <c r="H254" s="331">
        <v>3</v>
      </c>
      <c r="I254" s="305" t="s">
        <v>2249</v>
      </c>
      <c r="J254" s="338" t="s">
        <v>1774</v>
      </c>
      <c r="K254" s="308" t="s">
        <v>1713</v>
      </c>
      <c r="L254" s="309" t="s">
        <v>1699</v>
      </c>
      <c r="M254" s="307" t="s">
        <v>1734</v>
      </c>
      <c r="N254" s="313" t="s">
        <v>1811</v>
      </c>
      <c r="O254" s="313" t="s">
        <v>1589</v>
      </c>
      <c r="P254" s="329">
        <v>7600164</v>
      </c>
      <c r="Q254" s="1" t="s">
        <v>552</v>
      </c>
      <c r="R254" s="1" t="s">
        <v>1715</v>
      </c>
      <c r="X254" s="88" t="s">
        <v>1778</v>
      </c>
      <c r="Y254" s="88" t="s">
        <v>1779</v>
      </c>
    </row>
    <row r="255" spans="1:45" ht="17.45" customHeight="1">
      <c r="B255" s="351">
        <v>255</v>
      </c>
      <c r="C255" s="304">
        <v>40542</v>
      </c>
      <c r="D255" s="305">
        <v>7600755</v>
      </c>
      <c r="E255" s="306" t="s">
        <v>2248</v>
      </c>
      <c r="F255" s="306" t="s">
        <v>1029</v>
      </c>
      <c r="G255" s="307" t="s">
        <v>2246</v>
      </c>
      <c r="H255" s="331">
        <v>3</v>
      </c>
      <c r="I255" s="305" t="s">
        <v>2250</v>
      </c>
      <c r="J255" s="338" t="s">
        <v>1774</v>
      </c>
      <c r="K255" s="308" t="s">
        <v>1713</v>
      </c>
      <c r="L255" s="309" t="s">
        <v>1699</v>
      </c>
      <c r="M255" s="307" t="s">
        <v>1734</v>
      </c>
      <c r="N255" s="313" t="s">
        <v>1811</v>
      </c>
      <c r="O255" s="313" t="s">
        <v>1589</v>
      </c>
      <c r="P255" s="329">
        <v>7600164</v>
      </c>
      <c r="Q255" s="1" t="s">
        <v>552</v>
      </c>
      <c r="R255" s="1" t="s">
        <v>1715</v>
      </c>
      <c r="X255" s="88" t="s">
        <v>1778</v>
      </c>
      <c r="Y255" s="88" t="s">
        <v>1779</v>
      </c>
    </row>
    <row r="256" spans="1:45" ht="17.45" customHeight="1">
      <c r="B256" s="351">
        <v>256</v>
      </c>
      <c r="C256" s="304">
        <v>36804</v>
      </c>
      <c r="D256" s="305">
        <v>7600779</v>
      </c>
      <c r="E256" s="306" t="s">
        <v>2248</v>
      </c>
      <c r="F256" s="306" t="s">
        <v>1031</v>
      </c>
      <c r="G256" s="307" t="s">
        <v>2251</v>
      </c>
      <c r="H256" s="331">
        <v>4</v>
      </c>
      <c r="I256" s="305" t="s">
        <v>2252</v>
      </c>
      <c r="J256" s="338" t="s">
        <v>1774</v>
      </c>
      <c r="K256" s="308" t="s">
        <v>1713</v>
      </c>
      <c r="L256" s="309" t="s">
        <v>1699</v>
      </c>
      <c r="M256" s="307" t="s">
        <v>1734</v>
      </c>
      <c r="N256" s="313" t="s">
        <v>1811</v>
      </c>
      <c r="O256" s="313" t="s">
        <v>1589</v>
      </c>
      <c r="P256" s="329">
        <v>7600164</v>
      </c>
      <c r="Q256" s="1" t="s">
        <v>552</v>
      </c>
      <c r="R256" s="1" t="s">
        <v>1715</v>
      </c>
      <c r="S256" s="404"/>
      <c r="X256" s="88" t="s">
        <v>1778</v>
      </c>
      <c r="Y256" s="88" t="s">
        <v>1779</v>
      </c>
    </row>
    <row r="257" spans="2:25" ht="17.45" customHeight="1">
      <c r="B257" s="351">
        <v>257</v>
      </c>
      <c r="C257" s="304">
        <v>41516</v>
      </c>
      <c r="D257" s="305">
        <v>7600440</v>
      </c>
      <c r="E257" s="306" t="s">
        <v>2253</v>
      </c>
      <c r="F257" s="306" t="s">
        <v>363</v>
      </c>
      <c r="G257" s="307" t="s">
        <v>2251</v>
      </c>
      <c r="H257" s="331">
        <v>4</v>
      </c>
      <c r="I257" s="305" t="s">
        <v>2254</v>
      </c>
      <c r="J257" s="338" t="s">
        <v>1784</v>
      </c>
      <c r="K257" s="308" t="s">
        <v>1644</v>
      </c>
      <c r="L257" s="309" t="s">
        <v>1628</v>
      </c>
      <c r="M257" s="307" t="s">
        <v>1637</v>
      </c>
      <c r="N257" s="313" t="s">
        <v>1785</v>
      </c>
      <c r="O257" s="313" t="s">
        <v>1579</v>
      </c>
      <c r="P257" s="329">
        <v>7600440</v>
      </c>
      <c r="Q257" s="1" t="s">
        <v>1786</v>
      </c>
      <c r="R257" s="1" t="s">
        <v>1787</v>
      </c>
      <c r="S257" s="404"/>
      <c r="X257" s="88" t="s">
        <v>1778</v>
      </c>
      <c r="Y257" s="88" t="s">
        <v>1779</v>
      </c>
    </row>
    <row r="258" spans="2:25" ht="17.45" customHeight="1">
      <c r="B258" s="351">
        <v>258</v>
      </c>
      <c r="C258" s="304">
        <v>41631</v>
      </c>
      <c r="D258" s="305">
        <v>7600446</v>
      </c>
      <c r="E258" s="306" t="s">
        <v>2253</v>
      </c>
      <c r="F258" s="306" t="s">
        <v>352</v>
      </c>
      <c r="G258" s="307" t="s">
        <v>2251</v>
      </c>
      <c r="H258" s="333">
        <v>4</v>
      </c>
      <c r="I258" s="305" t="s">
        <v>2255</v>
      </c>
      <c r="J258" s="338" t="s">
        <v>1784</v>
      </c>
      <c r="K258" s="308" t="s">
        <v>1644</v>
      </c>
      <c r="L258" s="309" t="s">
        <v>1628</v>
      </c>
      <c r="M258" s="307" t="s">
        <v>1637</v>
      </c>
      <c r="N258" s="313" t="s">
        <v>1785</v>
      </c>
      <c r="O258" s="313" t="s">
        <v>1579</v>
      </c>
      <c r="P258" s="329">
        <v>7600440</v>
      </c>
      <c r="Q258" s="1" t="s">
        <v>1786</v>
      </c>
      <c r="R258" s="1" t="s">
        <v>1787</v>
      </c>
      <c r="S258" s="404"/>
      <c r="X258" s="88" t="s">
        <v>1778</v>
      </c>
      <c r="Y258" s="88" t="s">
        <v>1779</v>
      </c>
    </row>
    <row r="259" spans="2:25" ht="17.45" customHeight="1">
      <c r="B259" s="351">
        <v>259</v>
      </c>
      <c r="C259" s="304">
        <v>38881</v>
      </c>
      <c r="D259" s="305">
        <v>7600598</v>
      </c>
      <c r="E259" s="306" t="s">
        <v>2253</v>
      </c>
      <c r="F259" s="306" t="s">
        <v>367</v>
      </c>
      <c r="G259" s="307" t="s">
        <v>2256</v>
      </c>
      <c r="H259" s="333">
        <v>2</v>
      </c>
      <c r="I259" s="305" t="s">
        <v>2257</v>
      </c>
      <c r="J259" s="338" t="s">
        <v>1784</v>
      </c>
      <c r="K259" s="308" t="s">
        <v>1644</v>
      </c>
      <c r="L259" s="309" t="s">
        <v>1628</v>
      </c>
      <c r="M259" s="307" t="s">
        <v>1637</v>
      </c>
      <c r="N259" s="313" t="s">
        <v>1785</v>
      </c>
      <c r="O259" s="313" t="s">
        <v>1579</v>
      </c>
      <c r="P259" s="329">
        <v>7600440</v>
      </c>
      <c r="Q259" s="1" t="s">
        <v>1786</v>
      </c>
      <c r="R259" s="1" t="s">
        <v>1787</v>
      </c>
      <c r="S259" s="404"/>
      <c r="X259" s="88" t="s">
        <v>1778</v>
      </c>
      <c r="Y259" s="88" t="s">
        <v>1779</v>
      </c>
    </row>
    <row r="260" spans="2:25" ht="17.45" customHeight="1">
      <c r="B260" s="351">
        <v>260</v>
      </c>
      <c r="C260" s="304">
        <v>41272</v>
      </c>
      <c r="D260" s="305">
        <v>7600691</v>
      </c>
      <c r="E260" s="306" t="s">
        <v>2253</v>
      </c>
      <c r="F260" s="306" t="s">
        <v>359</v>
      </c>
      <c r="G260" s="307" t="s">
        <v>2256</v>
      </c>
      <c r="H260" s="333">
        <v>2</v>
      </c>
      <c r="I260" s="305" t="s">
        <v>2258</v>
      </c>
      <c r="J260" s="338" t="s">
        <v>1784</v>
      </c>
      <c r="K260" s="308" t="s">
        <v>1644</v>
      </c>
      <c r="L260" s="309" t="s">
        <v>1628</v>
      </c>
      <c r="M260" s="307" t="s">
        <v>1637</v>
      </c>
      <c r="N260" s="313" t="s">
        <v>1785</v>
      </c>
      <c r="O260" s="313" t="s">
        <v>1579</v>
      </c>
      <c r="P260" s="329">
        <v>7600440</v>
      </c>
      <c r="Q260" s="1" t="s">
        <v>1786</v>
      </c>
      <c r="R260" s="1" t="s">
        <v>1787</v>
      </c>
      <c r="S260" s="404"/>
      <c r="X260" s="88" t="s">
        <v>1778</v>
      </c>
      <c r="Y260" s="88" t="s">
        <v>1779</v>
      </c>
    </row>
    <row r="261" spans="2:25" ht="17.45" customHeight="1">
      <c r="B261" s="351">
        <v>261</v>
      </c>
      <c r="C261" s="304">
        <v>38792</v>
      </c>
      <c r="D261" s="305">
        <v>7601086</v>
      </c>
      <c r="E261" s="306" t="s">
        <v>2259</v>
      </c>
      <c r="F261" s="306" t="s">
        <v>953</v>
      </c>
      <c r="G261" s="307" t="s">
        <v>2256</v>
      </c>
      <c r="H261" s="333">
        <v>2</v>
      </c>
      <c r="I261" s="305" t="s">
        <v>2260</v>
      </c>
      <c r="J261" s="338" t="s">
        <v>1774</v>
      </c>
      <c r="K261" s="308" t="s">
        <v>1775</v>
      </c>
      <c r="L261" s="309" t="s">
        <v>1775</v>
      </c>
      <c r="M261" s="307" t="s">
        <v>1720</v>
      </c>
      <c r="N261" s="313" t="s">
        <v>1776</v>
      </c>
      <c r="O261" s="313" t="s">
        <v>1776</v>
      </c>
      <c r="P261" s="329">
        <v>7601086</v>
      </c>
      <c r="Q261" s="352" t="s">
        <v>1777</v>
      </c>
      <c r="R261" s="352" t="s">
        <v>1777</v>
      </c>
      <c r="S261" s="404"/>
      <c r="X261" s="88" t="s">
        <v>1778</v>
      </c>
      <c r="Y261" s="88" t="s">
        <v>1779</v>
      </c>
    </row>
    <row r="262" spans="2:25" ht="17.45" customHeight="1">
      <c r="B262" s="351">
        <v>262</v>
      </c>
      <c r="C262" s="355">
        <v>40827</v>
      </c>
      <c r="D262" s="356">
        <v>7600935</v>
      </c>
      <c r="E262" s="357" t="s">
        <v>2261</v>
      </c>
      <c r="F262" s="306" t="s">
        <v>963</v>
      </c>
      <c r="G262" s="358" t="s">
        <v>2256</v>
      </c>
      <c r="H262" s="333">
        <v>2</v>
      </c>
      <c r="I262" s="305" t="s">
        <v>2262</v>
      </c>
      <c r="J262" s="338" t="s">
        <v>1774</v>
      </c>
      <c r="K262" s="308" t="s">
        <v>1775</v>
      </c>
      <c r="L262" s="309" t="s">
        <v>1775</v>
      </c>
      <c r="M262" s="307" t="s">
        <v>1727</v>
      </c>
      <c r="N262" s="313" t="s">
        <v>1776</v>
      </c>
      <c r="O262" s="313" t="s">
        <v>1776</v>
      </c>
      <c r="P262" s="329">
        <v>7600935</v>
      </c>
      <c r="Q262" s="352" t="s">
        <v>1777</v>
      </c>
      <c r="R262" s="352" t="s">
        <v>1777</v>
      </c>
      <c r="S262" s="404"/>
      <c r="X262" s="88"/>
      <c r="Y262" s="88"/>
    </row>
  </sheetData>
  <autoFilter ref="B3:R262" xr:uid="{BD765269-3F90-4D77-B5F7-C732A2C1BADC}"/>
  <dataConsolidate/>
  <phoneticPr fontId="51" type="noConversion"/>
  <conditionalFormatting sqref="I1:I1048576">
    <cfRule type="duplicateValues" dxfId="9" priority="1"/>
  </conditionalFormatting>
  <hyperlinks>
    <hyperlink ref="R108:R110" r:id="rId1" display="andre.r.ferreira@renault.com" xr:uid="{6850D884-E38F-40F8-9EC6-F43C8F183897}"/>
    <hyperlink ref="S241" r:id="rId2" xr:uid="{84FDF7CF-05CB-4C24-AD92-0449F9A8D013}"/>
    <hyperlink ref="R90:R104" r:id="rId3" display="carolina.santos@renault.com" xr:uid="{D5A384BF-4BF6-4806-9E9A-272911D0B972}"/>
    <hyperlink ref="S235" r:id="rId4" xr:uid="{FE158572-DF73-4DC3-80CF-9536EB7240CA}"/>
    <hyperlink ref="R20" r:id="rId5" xr:uid="{8A139961-8FF2-40AA-B45A-2D7C82A53EF2}"/>
    <hyperlink ref="R38" r:id="rId6" xr:uid="{E246E199-8FB1-446C-A109-E5F40D53AAD8}"/>
    <hyperlink ref="R89:R98" r:id="rId7" display="aline.albino@renault.com" xr:uid="{1EB48578-21E1-4B03-9192-44F033D69A3F}"/>
    <hyperlink ref="R149:R151" r:id="rId8" display="aline.albino@renault.com" xr:uid="{83EC675A-7D17-43FC-87FC-22085D382448}"/>
    <hyperlink ref="R175" r:id="rId9" xr:uid="{8DB131DA-3A46-4AA4-B8E3-18C353B4D42A}"/>
    <hyperlink ref="R225:R227" r:id="rId10" display="aline.albino@renault.com" xr:uid="{0D75753C-2BE5-43EB-A1F9-3E97083E5165}"/>
    <hyperlink ref="R254:R256" r:id="rId11" display="aline.albino@renault.com" xr:uid="{B125B4BE-C102-4258-8EA9-B00DF92F2753}"/>
    <hyperlink ref="R10" r:id="rId12" xr:uid="{163C0117-87D2-46D9-823D-A683A2D4BEBE}"/>
    <hyperlink ref="R11" r:id="rId13" xr:uid="{BEFD8501-A615-43FA-93E7-69DEC6E5E803}"/>
    <hyperlink ref="R25:R31" r:id="rId14" display="carolina.santos@renault.com" xr:uid="{D5CAD702-1882-4965-B161-35F3E762E22A}"/>
    <hyperlink ref="R86:R88" r:id="rId15" display="carolina.santos@renault.com" xr:uid="{D3323975-D5C0-4810-9FAF-986BA4F2AA78}"/>
    <hyperlink ref="R160:R167" r:id="rId16" display="carolina.santos@renault.com" xr:uid="{8B2DC6D8-945F-4EDC-A594-73B704A52D4D}"/>
    <hyperlink ref="R176:R177" r:id="rId17" display="carolina.santos@renault.com" xr:uid="{B363B5F3-0071-4557-AA45-D6A96E5CF838}"/>
    <hyperlink ref="R21:R23" r:id="rId18" display="andre.r.ferreira@renault.com" xr:uid="{80C33205-B3AE-4BDE-85DE-B37125E5A690}"/>
    <hyperlink ref="R35:R37" r:id="rId19" display="andre.r.ferreira@renault.com" xr:uid="{C18F1AD4-84E8-4764-9762-42231BE994B3}"/>
    <hyperlink ref="R39:R40" r:id="rId20" display="andre.r.ferreira@renault.com" xr:uid="{1B1DA0A2-64F8-44DA-8008-624F711B0232}"/>
    <hyperlink ref="R67:R71" r:id="rId21" display="andre.r.ferreira@renault.com" xr:uid="{9F846744-B4B2-40E9-ABF6-62C090F23689}"/>
    <hyperlink ref="R109:R111" r:id="rId22" display="andre.r.ferreira@renault.com" xr:uid="{F94CBAB4-8CBD-4908-959B-04FE529A7015}"/>
    <hyperlink ref="R154:R157" r:id="rId23" display="andre.r.ferreira@renault.com" xr:uid="{98028068-C747-4A1E-83CE-3099D2A82EC3}"/>
    <hyperlink ref="R190:R191" r:id="rId24" display="andre.r.ferreira@renault.com" xr:uid="{B6A937F4-180E-43D5-B5FD-558E82118BA0}"/>
    <hyperlink ref="R221:R224" r:id="rId25" display="andre.r.ferreira@renault.com" xr:uid="{2B0EE865-40E9-49F7-890A-7CD9F671B0F6}"/>
    <hyperlink ref="Q21:Q23" r:id="rId26" display="mailto:danyke.livramento@renault.com" xr:uid="{B37EF525-3DD2-4A1B-B35D-7CE7514F06E4}"/>
    <hyperlink ref="Q70:Q71" r:id="rId27" display="mailto:danyke.livramento@renault.com" xr:uid="{3D73F6C8-13A4-4BE5-AD17-B323680AEBA0}"/>
    <hyperlink ref="Q109:Q111" r:id="rId28" display="mailto:danyke.livramento@renault.com" xr:uid="{AFE91919-1277-4A15-BF5F-3D93BC169686}"/>
    <hyperlink ref="Q154:Q157" r:id="rId29" display="mailto:danyke.livramento@renault.com" xr:uid="{686ACEFB-FAAA-431A-9EE3-0575446AE68E}"/>
    <hyperlink ref="Q221" r:id="rId30" display="mailto:danyke.livramento@renault.com" xr:uid="{A85BC01B-9C67-46FC-8ED6-ABB49D881C6C}"/>
    <hyperlink ref="Q224" r:id="rId31" display="mailto:danyke.livramento@renault.com" xr:uid="{F06508E5-C1D9-4A39-BC32-5332D41AEDB8}"/>
    <hyperlink ref="Q4:R5" r:id="rId32" display="heloisa.landiose-extern@renault.com" xr:uid="{D81A55CA-2B34-493A-960F-6F49908079BB}"/>
    <hyperlink ref="Q41:R41" r:id="rId33" display="heloisa.landiose-extern@renault.com" xr:uid="{5E32FD65-6761-443A-BF09-432AB06CB048}"/>
    <hyperlink ref="Q66:R66" r:id="rId34" display="heloisa.landiose-extern@renault.com" xr:uid="{8687FA03-6671-418E-A677-3B8D9F1443B0}"/>
    <hyperlink ref="Q152:R152" r:id="rId35" display="heloisa.landiose-extern@renault.com" xr:uid="{0EC47F34-DE53-4D46-9BC5-5BC16C1B090D}"/>
    <hyperlink ref="Q158:R159" r:id="rId36" display="heloisa.landiose-extern@renault.com" xr:uid="{61695FB3-DD88-45B1-8576-FA6EEA44CBF3}"/>
    <hyperlink ref="Q174:R174" r:id="rId37" display="heloisa.landiose-extern@renault.com" xr:uid="{0C262B99-6287-40E2-BA9D-B2C2E09B701D}"/>
    <hyperlink ref="Q188:R189" r:id="rId38" display="heloisa.landiose-extern@renault.com" xr:uid="{21D603C5-FBB4-46E5-909B-6EF80BE823DE}"/>
    <hyperlink ref="Q219:R220" r:id="rId39" display="heloisa.landiose-extern@renault.com" xr:uid="{0BA29DAE-FD2D-4501-A519-8C55A5AB1EAF}"/>
    <hyperlink ref="Q242:R242" r:id="rId40" display="heloisa.landiose-extern@renault.com" xr:uid="{2E83117F-FA20-45C2-B58D-BCF75CE28B03}"/>
    <hyperlink ref="Q261:R262" r:id="rId41" display="heloisa.landiose-extern@renault.com" xr:uid="{0B63881E-D51E-4A8D-93C1-175396C88620}"/>
    <hyperlink ref="Q169" r:id="rId42" xr:uid="{097DDD0B-29E6-47F6-8338-84FFD13F90DC}"/>
    <hyperlink ref="Q170" r:id="rId43" xr:uid="{CA33A3B0-64EF-4EE6-8964-98901F374C98}"/>
    <hyperlink ref="Q203" r:id="rId44" xr:uid="{67973C2C-AB81-40FE-B66D-3B9BEB5855A3}"/>
    <hyperlink ref="Q216:Q217" r:id="rId45" display="leonardo.l.candido@renault.com" xr:uid="{D3181CED-78E3-41D7-A9D9-6D92347B6221}"/>
    <hyperlink ref="Q240:Q241" r:id="rId46" display="leonardo.l.candido@renault.com" xr:uid="{FFE46309-56BE-49CB-BC60-8911E722995B}"/>
    <hyperlink ref="Q20" r:id="rId47" xr:uid="{1FE91051-A664-4B80-8253-E998AB92F62F}"/>
    <hyperlink ref="Q38" r:id="rId48" xr:uid="{F71D6166-D07B-4679-9D50-63AFCC5DC5D7}"/>
    <hyperlink ref="Q94:Q95" r:id="rId49" display="michele.nojima@renault.com " xr:uid="{889B5C3D-9ADC-4D06-B1E6-AFD698C0961B}"/>
    <hyperlink ref="Q149:Q151" r:id="rId50" display="michele.nojima@renault.com " xr:uid="{BFCEDA33-0C67-43BC-A18B-99CEC2AAE83C}"/>
    <hyperlink ref="Q175" r:id="rId51" xr:uid="{191E4E21-C83F-4ACD-961C-AC597E162D3E}"/>
    <hyperlink ref="Q225:Q226" r:id="rId52" display="michele.nojima@renault.com " xr:uid="{56C33E6F-1BBD-41BA-9B66-BE133F21E972}"/>
    <hyperlink ref="Q12" r:id="rId53" xr:uid="{7F2BEEC4-BAEB-40D3-B771-537C7D5A166B}"/>
    <hyperlink ref="Q13" r:id="rId54" xr:uid="{CF8BC64C-6E05-4AC6-9FBB-238A6CC2684D}"/>
    <hyperlink ref="Q24" r:id="rId55" xr:uid="{A7412E44-2C33-46F7-B21F-4857D1C1AD49}"/>
    <hyperlink ref="Q42" r:id="rId56" xr:uid="{0B01C5F9-DAAF-44F8-8EE5-7BA15C082295}"/>
    <hyperlink ref="Q153" r:id="rId57" xr:uid="{5C51E6C7-02A6-45DF-9328-17E4C8720A0B}"/>
    <hyperlink ref="Q192:Q193" r:id="rId58" display="rafael.anselmo-extern@renault.com" xr:uid="{CCB5182D-FDD8-469C-B523-CEB1477D0035}"/>
    <hyperlink ref="Q218" r:id="rId59" xr:uid="{4BCEE4D1-3C68-4EB2-889F-DAF30D171AA3}"/>
    <hyperlink ref="Q236:Q238" r:id="rId60" display="rafael.anselmo-extern@renault.com" xr:uid="{794C26E4-D701-48E5-B2DB-4E3630EF7474}"/>
    <hyperlink ref="Q245" r:id="rId61" xr:uid="{FD366456-FAD0-45B0-A575-DC356E7924D0}"/>
    <hyperlink ref="Q251" r:id="rId62" xr:uid="{18987E47-7997-4D12-9B02-3FD9AF13622C}"/>
    <hyperlink ref="R233" r:id="rId63" xr:uid="{75D7F22B-64E2-4D55-8F8C-2D2831584E35}"/>
    <hyperlink ref="R234:R235" r:id="rId64" display="carolina.santos@renault.com" xr:uid="{1B6535D4-B011-4531-ACB4-499CFEF27F20}"/>
  </hyperlinks>
  <pageMargins left="0.19" right="0.17" top="0.39370078740157483" bottom="0.32" header="0.19685039370078741" footer="0.19685039370078741"/>
  <pageSetup paperSize="9" scale="48" orientation="landscape" horizontalDpi="409" verticalDpi="409" r:id="rId65"/>
  <headerFooter alignWithMargins="0">
    <oddFooter>&amp;L&amp;D&amp;CPágina &amp;P&amp;R_x000D_&amp;1#&amp;"Arial"&amp;10&amp;K000000 Confidential C</oddFooter>
  </headerFooter>
  <drawing r:id="rId66"/>
  <legacyDrawing r:id="rId67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69FF-0EC9-4665-94C5-C0157CF2EBFE}">
  <sheetPr codeName="Planilha8"/>
  <dimension ref="A1:B265"/>
  <sheetViews>
    <sheetView workbookViewId="0">
      <selection activeCell="B6" sqref="B6"/>
    </sheetView>
  </sheetViews>
  <sheetFormatPr defaultRowHeight="14.45"/>
  <cols>
    <col min="1" max="1" width="23.5703125" style="74" bestFit="1" customWidth="1"/>
    <col min="2" max="2" width="17" style="166" bestFit="1" customWidth="1"/>
  </cols>
  <sheetData>
    <row r="1" spans="1:2" ht="18" thickBot="1">
      <c r="A1" s="399" t="s">
        <v>1753</v>
      </c>
      <c r="B1" s="400"/>
    </row>
    <row r="2" spans="1:2" ht="15" thickBot="1">
      <c r="A2" s="82" t="s">
        <v>1593</v>
      </c>
      <c r="B2" s="85" t="s">
        <v>1767</v>
      </c>
    </row>
    <row r="3" spans="1:2">
      <c r="A3" s="109" t="s">
        <v>1642</v>
      </c>
      <c r="B3" s="214">
        <v>7601152</v>
      </c>
    </row>
    <row r="4" spans="1:2">
      <c r="A4" s="109" t="s">
        <v>1712</v>
      </c>
      <c r="B4" s="111">
        <v>7600976</v>
      </c>
    </row>
    <row r="5" spans="1:2">
      <c r="A5" s="115" t="s">
        <v>1635</v>
      </c>
      <c r="B5" s="117">
        <v>7601062</v>
      </c>
    </row>
    <row r="6" spans="1:2">
      <c r="A6" s="115" t="s">
        <v>1599</v>
      </c>
      <c r="B6" s="117">
        <v>7601108</v>
      </c>
    </row>
    <row r="7" spans="1:2">
      <c r="A7" s="115" t="s">
        <v>1658</v>
      </c>
      <c r="B7" s="117">
        <v>7600033</v>
      </c>
    </row>
    <row r="8" spans="1:2">
      <c r="A8" s="115" t="s">
        <v>1681</v>
      </c>
      <c r="B8" s="117">
        <v>7600690</v>
      </c>
    </row>
    <row r="9" spans="1:2">
      <c r="A9" s="115" t="s">
        <v>1626</v>
      </c>
      <c r="B9" s="117">
        <v>7600007</v>
      </c>
    </row>
    <row r="10" spans="1:2">
      <c r="A10" s="115" t="s">
        <v>1605</v>
      </c>
      <c r="B10" s="117">
        <v>7600742</v>
      </c>
    </row>
    <row r="11" spans="1:2">
      <c r="A11" s="115" t="s">
        <v>1722</v>
      </c>
      <c r="B11" s="117">
        <v>7600732</v>
      </c>
    </row>
    <row r="12" spans="1:2">
      <c r="A12" s="115" t="s">
        <v>1678</v>
      </c>
      <c r="B12" s="117">
        <v>7600878</v>
      </c>
    </row>
    <row r="13" spans="1:2">
      <c r="A13" s="115" t="s">
        <v>1641</v>
      </c>
      <c r="B13" s="117">
        <v>7600824</v>
      </c>
    </row>
    <row r="14" spans="1:2">
      <c r="A14" s="115" t="s">
        <v>1597</v>
      </c>
      <c r="B14" s="117">
        <v>7600391</v>
      </c>
    </row>
    <row r="15" spans="1:2">
      <c r="A15" s="115" t="s">
        <v>1690</v>
      </c>
      <c r="B15" s="117">
        <v>7601053</v>
      </c>
    </row>
    <row r="16" spans="1:2">
      <c r="A16" s="115" t="s">
        <v>1686</v>
      </c>
      <c r="B16" s="117">
        <v>7601037</v>
      </c>
    </row>
    <row r="17" spans="1:2">
      <c r="A17" s="115" t="s">
        <v>1707</v>
      </c>
      <c r="B17" s="117">
        <v>7600501</v>
      </c>
    </row>
    <row r="18" spans="1:2">
      <c r="A18" s="115" t="s">
        <v>1688</v>
      </c>
      <c r="B18" s="117">
        <v>7600086</v>
      </c>
    </row>
    <row r="19" spans="1:2">
      <c r="A19" s="115" t="s">
        <v>1610</v>
      </c>
      <c r="B19" s="117">
        <v>7600167</v>
      </c>
    </row>
    <row r="20" spans="1:2">
      <c r="A20" s="115" t="s">
        <v>1633</v>
      </c>
      <c r="B20" s="117">
        <v>7600332</v>
      </c>
    </row>
    <row r="21" spans="1:2">
      <c r="A21" s="115" t="s">
        <v>1738</v>
      </c>
      <c r="B21" s="117">
        <v>7600678</v>
      </c>
    </row>
    <row r="22" spans="1:2">
      <c r="A22" s="115" t="s">
        <v>1680</v>
      </c>
      <c r="B22" s="117">
        <v>7600417</v>
      </c>
    </row>
    <row r="23" spans="1:2">
      <c r="A23" s="115" t="s">
        <v>1691</v>
      </c>
      <c r="B23" s="117">
        <v>7600088</v>
      </c>
    </row>
    <row r="24" spans="1:2">
      <c r="A24" s="115" t="s">
        <v>1619</v>
      </c>
      <c r="B24" s="117">
        <v>7600109</v>
      </c>
    </row>
    <row r="25" spans="1:2">
      <c r="A25" s="115" t="s">
        <v>1745</v>
      </c>
      <c r="B25" s="117">
        <v>7600466</v>
      </c>
    </row>
    <row r="26" spans="1:2">
      <c r="A26" s="115" t="s">
        <v>1748</v>
      </c>
      <c r="B26" s="117">
        <v>7601156</v>
      </c>
    </row>
    <row r="27" spans="1:2">
      <c r="A27" s="115" t="s">
        <v>1747</v>
      </c>
      <c r="B27" s="117">
        <v>7601153</v>
      </c>
    </row>
    <row r="28" spans="1:2">
      <c r="A28" s="115" t="s">
        <v>1746</v>
      </c>
      <c r="B28" s="117">
        <v>7601155</v>
      </c>
    </row>
    <row r="29" spans="1:2">
      <c r="A29" s="115" t="s">
        <v>1612</v>
      </c>
      <c r="B29" s="117">
        <v>7600990</v>
      </c>
    </row>
    <row r="30" spans="1:2">
      <c r="A30" s="115" t="s">
        <v>1639</v>
      </c>
      <c r="B30" s="117">
        <v>7600108</v>
      </c>
    </row>
    <row r="31" spans="1:2">
      <c r="A31" s="115" t="s">
        <v>1653</v>
      </c>
      <c r="B31" s="117">
        <v>7600973</v>
      </c>
    </row>
    <row r="32" spans="1:2">
      <c r="A32" s="115" t="s">
        <v>1717</v>
      </c>
      <c r="B32" s="117">
        <v>7600085</v>
      </c>
    </row>
    <row r="33" spans="1:2">
      <c r="A33" s="115" t="s">
        <v>1700</v>
      </c>
      <c r="B33" s="117">
        <v>7600415</v>
      </c>
    </row>
    <row r="34" spans="1:2">
      <c r="A34" s="115" t="s">
        <v>1718</v>
      </c>
      <c r="B34" s="117">
        <v>7601264</v>
      </c>
    </row>
    <row r="35" spans="1:2">
      <c r="A35" s="115" t="s">
        <v>1716</v>
      </c>
      <c r="B35" s="117">
        <v>7600085</v>
      </c>
    </row>
    <row r="36" spans="1:2">
      <c r="A36" s="115" t="s">
        <v>1649</v>
      </c>
      <c r="B36" s="117">
        <v>7601122</v>
      </c>
    </row>
    <row r="37" spans="1:2">
      <c r="A37" s="115" t="s">
        <v>1623</v>
      </c>
      <c r="B37" s="117">
        <v>7601105</v>
      </c>
    </row>
    <row r="38" spans="1:2">
      <c r="A38" s="115" t="s">
        <v>1614</v>
      </c>
      <c r="B38" s="117">
        <v>7600983</v>
      </c>
    </row>
    <row r="39" spans="1:2">
      <c r="A39" s="115" t="s">
        <v>1727</v>
      </c>
      <c r="B39" s="117">
        <v>7600935</v>
      </c>
    </row>
    <row r="40" spans="1:2">
      <c r="A40" s="115" t="s">
        <v>1603</v>
      </c>
      <c r="B40" s="117">
        <v>7600358</v>
      </c>
    </row>
    <row r="41" spans="1:2">
      <c r="A41" s="115" t="s">
        <v>1601</v>
      </c>
      <c r="B41" s="117">
        <v>7600100</v>
      </c>
    </row>
    <row r="42" spans="1:2">
      <c r="A42" s="115" t="s">
        <v>1741</v>
      </c>
      <c r="B42" s="117">
        <v>7600897</v>
      </c>
    </row>
    <row r="43" spans="1:2">
      <c r="A43" s="143" t="s">
        <v>1607</v>
      </c>
      <c r="B43" s="212">
        <v>7600991</v>
      </c>
    </row>
    <row r="44" spans="1:2">
      <c r="A44" s="115" t="s">
        <v>1616</v>
      </c>
      <c r="B44" s="117">
        <v>7600012</v>
      </c>
    </row>
    <row r="45" spans="1:2">
      <c r="A45" s="115" t="s">
        <v>1608</v>
      </c>
      <c r="B45" s="117">
        <v>7600023</v>
      </c>
    </row>
    <row r="46" spans="1:2">
      <c r="A46" s="115" t="s">
        <v>1629</v>
      </c>
      <c r="B46" s="117">
        <v>7600152</v>
      </c>
    </row>
    <row r="47" spans="1:2">
      <c r="A47" s="115" t="s">
        <v>1729</v>
      </c>
      <c r="B47" s="117">
        <v>7600286</v>
      </c>
    </row>
    <row r="48" spans="1:2">
      <c r="A48" s="192" t="s">
        <v>1719</v>
      </c>
      <c r="B48" s="117">
        <v>7601091</v>
      </c>
    </row>
    <row r="49" spans="1:2">
      <c r="A49" s="115" t="s">
        <v>1709</v>
      </c>
      <c r="B49" s="117">
        <v>7600473</v>
      </c>
    </row>
    <row r="50" spans="1:2">
      <c r="A50" s="115" t="s">
        <v>1725</v>
      </c>
      <c r="B50" s="117">
        <v>7600863</v>
      </c>
    </row>
    <row r="51" spans="1:2">
      <c r="A51" s="115" t="s">
        <v>1742</v>
      </c>
      <c r="B51" s="117">
        <v>7600810</v>
      </c>
    </row>
    <row r="52" spans="1:2">
      <c r="A52" s="115" t="s">
        <v>1671</v>
      </c>
      <c r="B52" s="117">
        <v>7600013</v>
      </c>
    </row>
    <row r="53" spans="1:2">
      <c r="A53" s="115" t="s">
        <v>1673</v>
      </c>
      <c r="B53" s="117">
        <v>7600592</v>
      </c>
    </row>
    <row r="54" spans="1:2">
      <c r="A54" s="115" t="s">
        <v>1749</v>
      </c>
      <c r="B54" s="117">
        <v>7600764</v>
      </c>
    </row>
    <row r="55" spans="1:2">
      <c r="A55" s="115" t="s">
        <v>1702</v>
      </c>
      <c r="B55" s="117">
        <v>7601137</v>
      </c>
    </row>
    <row r="56" spans="1:2">
      <c r="A56" s="115" t="s">
        <v>1647</v>
      </c>
      <c r="B56" s="117">
        <v>7601087</v>
      </c>
    </row>
    <row r="57" spans="1:2">
      <c r="A57" s="115" t="s">
        <v>1736</v>
      </c>
      <c r="B57" s="117">
        <v>7600804</v>
      </c>
    </row>
    <row r="58" spans="1:2">
      <c r="A58" s="115" t="s">
        <v>1636</v>
      </c>
      <c r="B58" s="117">
        <v>7600382</v>
      </c>
    </row>
    <row r="59" spans="1:2">
      <c r="A59" s="115" t="s">
        <v>1687</v>
      </c>
      <c r="B59" s="117">
        <v>7600546</v>
      </c>
    </row>
    <row r="60" spans="1:2">
      <c r="A60" s="115" t="s">
        <v>1625</v>
      </c>
      <c r="B60" s="117">
        <v>7600671</v>
      </c>
    </row>
    <row r="61" spans="1:2">
      <c r="A61" s="115" t="s">
        <v>1669</v>
      </c>
      <c r="B61" s="211">
        <v>7601104</v>
      </c>
    </row>
    <row r="62" spans="1:2">
      <c r="A62" s="115" t="s">
        <v>1667</v>
      </c>
      <c r="B62" s="117">
        <v>7600848</v>
      </c>
    </row>
    <row r="63" spans="1:2">
      <c r="A63" s="115" t="s">
        <v>1662</v>
      </c>
      <c r="B63" s="117">
        <v>7600839</v>
      </c>
    </row>
    <row r="64" spans="1:2">
      <c r="A64" s="115" t="s">
        <v>1617</v>
      </c>
      <c r="B64" s="117">
        <v>7600442</v>
      </c>
    </row>
    <row r="65" spans="1:2">
      <c r="A65" s="115" t="s">
        <v>1731</v>
      </c>
      <c r="B65" s="117">
        <v>7600927</v>
      </c>
    </row>
    <row r="66" spans="1:2">
      <c r="A66" s="115" t="s">
        <v>1703</v>
      </c>
      <c r="B66" s="117">
        <v>7600803</v>
      </c>
    </row>
    <row r="67" spans="1:2">
      <c r="A67" s="115" t="s">
        <v>1627</v>
      </c>
      <c r="B67" s="117">
        <v>7600258</v>
      </c>
    </row>
    <row r="68" spans="1:2">
      <c r="A68" s="115" t="s">
        <v>1750</v>
      </c>
      <c r="B68" s="117">
        <v>7600709</v>
      </c>
    </row>
    <row r="69" spans="1:2">
      <c r="A69" s="115" t="s">
        <v>1683</v>
      </c>
      <c r="B69" s="211">
        <v>7600822</v>
      </c>
    </row>
    <row r="70" spans="1:2">
      <c r="A70" s="180" t="s">
        <v>1684</v>
      </c>
      <c r="B70" s="281">
        <v>7600062</v>
      </c>
    </row>
    <row r="71" spans="1:2">
      <c r="A71" s="115" t="s">
        <v>2136</v>
      </c>
      <c r="B71" s="117">
        <v>7600599</v>
      </c>
    </row>
    <row r="72" spans="1:2">
      <c r="A72" s="115" t="s">
        <v>1650</v>
      </c>
      <c r="B72" s="117">
        <v>7600895</v>
      </c>
    </row>
    <row r="73" spans="1:2">
      <c r="A73" s="115" t="s">
        <v>1660</v>
      </c>
      <c r="B73" s="117">
        <v>7600528</v>
      </c>
    </row>
    <row r="74" spans="1:2">
      <c r="A74" s="115" t="s">
        <v>1665</v>
      </c>
      <c r="B74" s="117">
        <v>7600832</v>
      </c>
    </row>
    <row r="75" spans="1:2">
      <c r="A75" s="115" t="s">
        <v>1724</v>
      </c>
      <c r="B75" s="117">
        <v>7600104</v>
      </c>
    </row>
    <row r="76" spans="1:2">
      <c r="A76" s="115" t="s">
        <v>1726</v>
      </c>
      <c r="B76" s="117">
        <v>7600596</v>
      </c>
    </row>
    <row r="77" spans="1:2">
      <c r="A77" s="115" t="s">
        <v>1732</v>
      </c>
      <c r="B77" s="117">
        <v>7600948</v>
      </c>
    </row>
    <row r="78" spans="1:2">
      <c r="A78" s="115" t="s">
        <v>1710</v>
      </c>
      <c r="B78" s="117">
        <v>7600091</v>
      </c>
    </row>
    <row r="79" spans="1:2">
      <c r="A79" s="115" t="s">
        <v>1692</v>
      </c>
      <c r="B79" s="117">
        <v>7600989</v>
      </c>
    </row>
    <row r="80" spans="1:2">
      <c r="A80" s="115" t="s">
        <v>1704</v>
      </c>
      <c r="B80" s="117">
        <v>7600393</v>
      </c>
    </row>
    <row r="81" spans="1:2">
      <c r="A81" s="115" t="s">
        <v>1696</v>
      </c>
      <c r="B81" s="117">
        <v>7601167</v>
      </c>
    </row>
    <row r="82" spans="1:2">
      <c r="A82" s="115" t="s">
        <v>1693</v>
      </c>
      <c r="B82" s="211">
        <v>7601160</v>
      </c>
    </row>
    <row r="83" spans="1:2">
      <c r="A83" s="115" t="s">
        <v>1705</v>
      </c>
      <c r="B83" s="117">
        <v>7600757</v>
      </c>
    </row>
    <row r="84" spans="1:2">
      <c r="A84" s="115" t="s">
        <v>1711</v>
      </c>
      <c r="B84" s="117">
        <v>7601061</v>
      </c>
    </row>
    <row r="85" spans="1:2">
      <c r="A85" s="115" t="s">
        <v>1656</v>
      </c>
      <c r="B85" s="117">
        <v>7600519</v>
      </c>
    </row>
    <row r="86" spans="1:2">
      <c r="A86" s="115" t="s">
        <v>1651</v>
      </c>
      <c r="B86" s="117">
        <v>7601125</v>
      </c>
    </row>
    <row r="87" spans="1:2">
      <c r="A87" s="115" t="s">
        <v>1659</v>
      </c>
      <c r="B87" s="117">
        <v>7600549</v>
      </c>
    </row>
    <row r="88" spans="1:2">
      <c r="A88" s="115" t="s">
        <v>1643</v>
      </c>
      <c r="B88" s="117">
        <v>7600932</v>
      </c>
    </row>
    <row r="89" spans="1:2">
      <c r="A89" s="115" t="s">
        <v>1675</v>
      </c>
      <c r="B89" s="117">
        <v>7600249</v>
      </c>
    </row>
    <row r="90" spans="1:2">
      <c r="A90" s="115" t="s">
        <v>1666</v>
      </c>
      <c r="B90" s="117">
        <v>7600520</v>
      </c>
    </row>
    <row r="91" spans="1:2">
      <c r="A91" s="115" t="s">
        <v>1733</v>
      </c>
      <c r="B91" s="211">
        <v>7601136</v>
      </c>
    </row>
    <row r="92" spans="1:2">
      <c r="A92" s="115" t="s">
        <v>1632</v>
      </c>
      <c r="B92" s="117">
        <v>7600953</v>
      </c>
    </row>
    <row r="93" spans="1:2">
      <c r="A93" s="115" t="s">
        <v>1698</v>
      </c>
      <c r="B93" s="211">
        <v>7601175</v>
      </c>
    </row>
    <row r="94" spans="1:2">
      <c r="A94" s="162" t="s">
        <v>1655</v>
      </c>
      <c r="B94" s="213">
        <v>7601097</v>
      </c>
    </row>
    <row r="95" spans="1:2">
      <c r="A95" s="115" t="s">
        <v>1645</v>
      </c>
      <c r="B95" s="211">
        <v>7600075</v>
      </c>
    </row>
    <row r="96" spans="1:2">
      <c r="A96" s="115" t="s">
        <v>1714</v>
      </c>
      <c r="B96" s="117">
        <v>7601094</v>
      </c>
    </row>
    <row r="97" spans="1:2">
      <c r="A97" s="115" t="s">
        <v>1695</v>
      </c>
      <c r="B97" s="117">
        <v>7601067</v>
      </c>
    </row>
    <row r="98" spans="1:2">
      <c r="A98" s="115" t="s">
        <v>1697</v>
      </c>
      <c r="B98" s="117">
        <v>7600554</v>
      </c>
    </row>
    <row r="99" spans="1:2">
      <c r="A99" s="115" t="s">
        <v>1734</v>
      </c>
      <c r="B99" s="117">
        <v>7600164</v>
      </c>
    </row>
    <row r="100" spans="1:2">
      <c r="A100" s="115" t="s">
        <v>1637</v>
      </c>
      <c r="B100" s="117">
        <v>7600440</v>
      </c>
    </row>
    <row r="101" spans="1:2">
      <c r="A101" s="115" t="s">
        <v>1621</v>
      </c>
      <c r="B101" s="117">
        <v>7600403</v>
      </c>
    </row>
    <row r="102" spans="1:2">
      <c r="A102" s="115" t="s">
        <v>1720</v>
      </c>
      <c r="B102" s="117">
        <v>7601086</v>
      </c>
    </row>
    <row r="103" spans="1:2">
      <c r="A103" s="279"/>
      <c r="B103" s="280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</sheetData>
  <autoFilter ref="A2:B102" xr:uid="{CAD069FF-0EC9-4665-94C5-C0157CF2EBFE}"/>
  <mergeCells count="1">
    <mergeCell ref="A1:B1"/>
  </mergeCells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1B84-CF9D-4368-B6B2-F65E70FCCEB4}">
  <sheetPr codeName="Planilha6"/>
  <dimension ref="A1:M266"/>
  <sheetViews>
    <sheetView topLeftCell="C1" zoomScale="130" zoomScaleNormal="130" workbookViewId="0">
      <selection activeCell="F11" sqref="F11"/>
    </sheetView>
  </sheetViews>
  <sheetFormatPr defaultRowHeight="14.45"/>
  <cols>
    <col min="1" max="1" width="7.42578125" style="163" hidden="1" customWidth="1"/>
    <col min="2" max="2" width="38.140625" style="74" hidden="1" customWidth="1"/>
    <col min="4" max="4" width="10.5703125" style="300" bestFit="1" customWidth="1"/>
    <col min="5" max="5" width="7.140625" style="301" bestFit="1" customWidth="1"/>
    <col min="6" max="6" width="6.5703125" style="301" bestFit="1" customWidth="1"/>
    <col min="7" max="7" width="24.85546875" style="301" bestFit="1" customWidth="1"/>
    <col min="9" max="9" width="13.42578125" style="163" hidden="1" customWidth="1"/>
    <col min="10" max="10" width="22.85546875" style="74" hidden="1" customWidth="1"/>
    <col min="11" max="11" width="0" hidden="1" customWidth="1"/>
    <col min="12" max="12" width="13.42578125" style="163" hidden="1" customWidth="1"/>
    <col min="13" max="13" width="22.85546875" style="74" hidden="1" customWidth="1"/>
  </cols>
  <sheetData>
    <row r="1" spans="1:13">
      <c r="A1" s="260"/>
      <c r="B1" s="260" t="s">
        <v>1568</v>
      </c>
      <c r="D1" s="296" t="s">
        <v>1565</v>
      </c>
      <c r="E1" s="296" t="s">
        <v>1566</v>
      </c>
      <c r="F1" s="296" t="s">
        <v>1567</v>
      </c>
      <c r="G1" s="296" t="s">
        <v>1568</v>
      </c>
      <c r="I1" s="61"/>
      <c r="J1" s="61"/>
      <c r="L1" s="61"/>
      <c r="M1" s="61"/>
    </row>
    <row r="2" spans="1:13" ht="17.45">
      <c r="A2" s="261" t="s">
        <v>1596</v>
      </c>
      <c r="B2" s="248" t="s">
        <v>1570</v>
      </c>
      <c r="D2" s="401">
        <v>1</v>
      </c>
      <c r="E2" s="297">
        <v>1</v>
      </c>
      <c r="F2" s="298" t="s">
        <v>1596</v>
      </c>
      <c r="G2" s="37" t="s">
        <v>1570</v>
      </c>
      <c r="I2" s="85" t="s">
        <v>1566</v>
      </c>
      <c r="J2" s="85" t="s">
        <v>1568</v>
      </c>
      <c r="L2" s="349"/>
      <c r="M2" s="348" t="s">
        <v>1753</v>
      </c>
    </row>
    <row r="3" spans="1:13" ht="15">
      <c r="A3" s="249" t="s">
        <v>1600</v>
      </c>
      <c r="B3" s="248" t="s">
        <v>1571</v>
      </c>
      <c r="D3" s="401"/>
      <c r="E3" s="297">
        <v>2</v>
      </c>
      <c r="F3" s="298" t="s">
        <v>1600</v>
      </c>
      <c r="G3" s="38" t="s">
        <v>1571</v>
      </c>
      <c r="I3" s="346" t="s">
        <v>1596</v>
      </c>
      <c r="J3" s="347" t="s">
        <v>1570</v>
      </c>
      <c r="L3" s="344" t="s">
        <v>1566</v>
      </c>
      <c r="M3" s="344" t="s">
        <v>1568</v>
      </c>
    </row>
    <row r="4" spans="1:13" ht="15">
      <c r="A4" s="249" t="s">
        <v>1604</v>
      </c>
      <c r="B4" s="248" t="s">
        <v>1572</v>
      </c>
      <c r="D4" s="401"/>
      <c r="E4" s="297">
        <v>3</v>
      </c>
      <c r="F4" s="298" t="s">
        <v>1604</v>
      </c>
      <c r="G4" s="39" t="s">
        <v>1572</v>
      </c>
      <c r="I4" s="309" t="s">
        <v>1600</v>
      </c>
      <c r="J4" s="313" t="s">
        <v>1571</v>
      </c>
      <c r="L4" s="309" t="s">
        <v>1596</v>
      </c>
      <c r="M4" s="313" t="s">
        <v>1570</v>
      </c>
    </row>
    <row r="5" spans="1:13" ht="15">
      <c r="A5" s="249" t="s">
        <v>1609</v>
      </c>
      <c r="B5" s="248" t="s">
        <v>1573</v>
      </c>
      <c r="D5" s="401"/>
      <c r="E5" s="297">
        <v>4</v>
      </c>
      <c r="F5" s="298" t="s">
        <v>1609</v>
      </c>
      <c r="G5" s="39" t="s">
        <v>1573</v>
      </c>
      <c r="I5" s="309" t="s">
        <v>1604</v>
      </c>
      <c r="J5" s="313" t="s">
        <v>1572</v>
      </c>
      <c r="L5" s="309" t="s">
        <v>1596</v>
      </c>
      <c r="M5" s="313" t="s">
        <v>1570</v>
      </c>
    </row>
    <row r="6" spans="1:13" ht="15">
      <c r="A6" s="249" t="s">
        <v>1613</v>
      </c>
      <c r="B6" s="248" t="s">
        <v>1574</v>
      </c>
      <c r="D6" s="401"/>
      <c r="E6" s="297">
        <v>5</v>
      </c>
      <c r="F6" s="298" t="s">
        <v>1613</v>
      </c>
      <c r="G6" s="39" t="s">
        <v>1574</v>
      </c>
      <c r="I6" s="309" t="s">
        <v>1609</v>
      </c>
      <c r="J6" s="313" t="s">
        <v>1573</v>
      </c>
      <c r="L6" s="309" t="s">
        <v>1596</v>
      </c>
      <c r="M6" s="313" t="s">
        <v>1570</v>
      </c>
    </row>
    <row r="7" spans="1:13" ht="15">
      <c r="A7" s="249" t="s">
        <v>1618</v>
      </c>
      <c r="B7" s="248" t="s">
        <v>1575</v>
      </c>
      <c r="D7" s="401"/>
      <c r="E7" s="297">
        <v>6</v>
      </c>
      <c r="F7" s="298" t="s">
        <v>1618</v>
      </c>
      <c r="G7" s="39" t="s">
        <v>1575</v>
      </c>
      <c r="I7" s="309" t="s">
        <v>1613</v>
      </c>
      <c r="J7" s="313" t="s">
        <v>1574</v>
      </c>
      <c r="L7" s="309" t="s">
        <v>1596</v>
      </c>
      <c r="M7" s="313" t="s">
        <v>1570</v>
      </c>
    </row>
    <row r="8" spans="1:13" ht="15">
      <c r="A8" s="249" t="s">
        <v>1622</v>
      </c>
      <c r="B8" s="248" t="s">
        <v>1576</v>
      </c>
      <c r="D8" s="401"/>
      <c r="E8" s="297">
        <v>7</v>
      </c>
      <c r="F8" s="298" t="s">
        <v>1622</v>
      </c>
      <c r="G8" s="38" t="s">
        <v>1576</v>
      </c>
      <c r="I8" s="309" t="s">
        <v>1618</v>
      </c>
      <c r="J8" s="313" t="s">
        <v>1575</v>
      </c>
      <c r="L8" s="309" t="s">
        <v>1596</v>
      </c>
      <c r="M8" s="313" t="s">
        <v>1570</v>
      </c>
    </row>
    <row r="9" spans="1:13" ht="15">
      <c r="A9" s="249" t="s">
        <v>1628</v>
      </c>
      <c r="B9" s="248" t="s">
        <v>1630</v>
      </c>
      <c r="D9" s="401">
        <v>2</v>
      </c>
      <c r="E9" s="297">
        <v>1</v>
      </c>
      <c r="F9" s="298" t="s">
        <v>1628</v>
      </c>
      <c r="G9" s="39" t="s">
        <v>1582</v>
      </c>
      <c r="I9" s="309" t="s">
        <v>1622</v>
      </c>
      <c r="J9" s="313" t="s">
        <v>1576</v>
      </c>
      <c r="L9" s="309" t="s">
        <v>1596</v>
      </c>
      <c r="M9" s="313" t="s">
        <v>1570</v>
      </c>
    </row>
    <row r="10" spans="1:13" ht="15">
      <c r="A10" s="249" t="s">
        <v>1634</v>
      </c>
      <c r="B10" s="248" t="s">
        <v>1578</v>
      </c>
      <c r="D10" s="401"/>
      <c r="E10" s="297">
        <v>2</v>
      </c>
      <c r="F10" s="298" t="s">
        <v>1634</v>
      </c>
      <c r="G10" s="39" t="s">
        <v>1580</v>
      </c>
      <c r="I10" s="309" t="s">
        <v>1628</v>
      </c>
      <c r="J10" s="313" t="s">
        <v>1579</v>
      </c>
      <c r="L10" s="309" t="s">
        <v>1596</v>
      </c>
      <c r="M10" s="313" t="s">
        <v>1570</v>
      </c>
    </row>
    <row r="11" spans="1:13" ht="15">
      <c r="A11" s="249" t="s">
        <v>1638</v>
      </c>
      <c r="B11" s="248" t="s">
        <v>1579</v>
      </c>
      <c r="D11" s="401"/>
      <c r="E11" s="297">
        <v>3</v>
      </c>
      <c r="F11" s="298" t="s">
        <v>1638</v>
      </c>
      <c r="G11" s="38" t="s">
        <v>1811</v>
      </c>
      <c r="I11" s="309" t="s">
        <v>1634</v>
      </c>
      <c r="J11" s="313" t="s">
        <v>1578</v>
      </c>
      <c r="L11" s="309" t="s">
        <v>1596</v>
      </c>
      <c r="M11" s="313" t="s">
        <v>1570</v>
      </c>
    </row>
    <row r="12" spans="1:13" ht="15">
      <c r="A12" s="249" t="s">
        <v>1644</v>
      </c>
      <c r="B12" s="248" t="s">
        <v>1630</v>
      </c>
      <c r="D12" s="401"/>
      <c r="E12" s="297">
        <v>4</v>
      </c>
      <c r="F12" s="298" t="s">
        <v>1644</v>
      </c>
      <c r="G12" s="39" t="s">
        <v>1630</v>
      </c>
      <c r="I12" s="309" t="s">
        <v>1638</v>
      </c>
      <c r="J12" s="313" t="s">
        <v>1578</v>
      </c>
      <c r="L12" s="309" t="s">
        <v>1600</v>
      </c>
      <c r="M12" s="313" t="s">
        <v>1571</v>
      </c>
    </row>
    <row r="13" spans="1:13" ht="15">
      <c r="A13" s="249" t="s">
        <v>1648</v>
      </c>
      <c r="B13" s="248" t="s">
        <v>1579</v>
      </c>
      <c r="D13" s="401"/>
      <c r="E13" s="297">
        <v>5</v>
      </c>
      <c r="F13" s="298" t="s">
        <v>1648</v>
      </c>
      <c r="G13" s="39" t="s">
        <v>1811</v>
      </c>
      <c r="I13" s="309" t="s">
        <v>1644</v>
      </c>
      <c r="J13" s="313" t="s">
        <v>1630</v>
      </c>
      <c r="L13" s="309" t="s">
        <v>1600</v>
      </c>
      <c r="M13" s="313" t="s">
        <v>1571</v>
      </c>
    </row>
    <row r="14" spans="1:13" ht="15">
      <c r="A14" s="249" t="s">
        <v>1652</v>
      </c>
      <c r="B14" s="248" t="s">
        <v>1582</v>
      </c>
      <c r="D14" s="401">
        <v>3</v>
      </c>
      <c r="E14" s="297">
        <v>1</v>
      </c>
      <c r="F14" s="298" t="s">
        <v>1661</v>
      </c>
      <c r="G14" s="39" t="s">
        <v>1663</v>
      </c>
      <c r="I14" s="309" t="s">
        <v>1648</v>
      </c>
      <c r="J14" s="313" t="s">
        <v>1579</v>
      </c>
      <c r="L14" s="309" t="s">
        <v>1600</v>
      </c>
      <c r="M14" s="313" t="s">
        <v>1571</v>
      </c>
    </row>
    <row r="15" spans="1:13" ht="15">
      <c r="A15" s="249" t="s">
        <v>1657</v>
      </c>
      <c r="B15" s="248" t="s">
        <v>2263</v>
      </c>
      <c r="D15" s="401"/>
      <c r="E15" s="297">
        <v>2</v>
      </c>
      <c r="F15" s="298" t="s">
        <v>1668</v>
      </c>
      <c r="G15" s="39" t="s">
        <v>1811</v>
      </c>
      <c r="I15" s="309" t="s">
        <v>1661</v>
      </c>
      <c r="J15" s="313" t="s">
        <v>1663</v>
      </c>
      <c r="L15" s="309" t="s">
        <v>1600</v>
      </c>
      <c r="M15" s="313" t="s">
        <v>1571</v>
      </c>
    </row>
    <row r="16" spans="1:13" ht="15">
      <c r="A16" s="249" t="s">
        <v>1661</v>
      </c>
      <c r="B16" s="248" t="s">
        <v>1663</v>
      </c>
      <c r="D16" s="401"/>
      <c r="E16" s="297">
        <v>3</v>
      </c>
      <c r="F16" s="298" t="s">
        <v>1677</v>
      </c>
      <c r="G16" s="37" t="s">
        <v>1583</v>
      </c>
      <c r="I16" s="309" t="s">
        <v>1668</v>
      </c>
      <c r="J16" s="325" t="s">
        <v>1585</v>
      </c>
      <c r="L16" s="309" t="s">
        <v>1600</v>
      </c>
      <c r="M16" s="313" t="s">
        <v>1571</v>
      </c>
    </row>
    <row r="17" spans="1:13" ht="15">
      <c r="A17" s="249" t="s">
        <v>1668</v>
      </c>
      <c r="B17" s="248" t="s">
        <v>2264</v>
      </c>
      <c r="D17" s="401"/>
      <c r="E17" s="297">
        <v>4</v>
      </c>
      <c r="F17" s="298" t="s">
        <v>1682</v>
      </c>
      <c r="G17" s="39" t="s">
        <v>1584</v>
      </c>
      <c r="I17" s="309" t="s">
        <v>1677</v>
      </c>
      <c r="J17" s="313" t="s">
        <v>1583</v>
      </c>
      <c r="L17" s="309" t="s">
        <v>1600</v>
      </c>
      <c r="M17" s="313" t="s">
        <v>1571</v>
      </c>
    </row>
    <row r="18" spans="1:13" ht="15">
      <c r="A18" s="249" t="s">
        <v>1677</v>
      </c>
      <c r="B18" s="248" t="s">
        <v>1583</v>
      </c>
      <c r="D18" s="401"/>
      <c r="E18" s="297">
        <v>5</v>
      </c>
      <c r="F18" s="298" t="s">
        <v>1685</v>
      </c>
      <c r="G18" s="37" t="s">
        <v>1585</v>
      </c>
      <c r="I18" s="309" t="s">
        <v>1682</v>
      </c>
      <c r="J18" s="313" t="s">
        <v>1584</v>
      </c>
      <c r="L18" s="309" t="s">
        <v>1600</v>
      </c>
      <c r="M18" s="313" t="s">
        <v>1571</v>
      </c>
    </row>
    <row r="19" spans="1:13" ht="15">
      <c r="A19" s="249" t="s">
        <v>1682</v>
      </c>
      <c r="B19" s="248" t="s">
        <v>1584</v>
      </c>
      <c r="D19" s="401"/>
      <c r="E19" s="297">
        <v>6</v>
      </c>
      <c r="F19" s="298" t="s">
        <v>1689</v>
      </c>
      <c r="G19" s="38" t="s">
        <v>1586</v>
      </c>
      <c r="I19" s="309" t="s">
        <v>1685</v>
      </c>
      <c r="J19" s="313" t="s">
        <v>1585</v>
      </c>
      <c r="L19" s="309" t="s">
        <v>1600</v>
      </c>
      <c r="M19" s="313" t="s">
        <v>1571</v>
      </c>
    </row>
    <row r="20" spans="1:13" ht="15">
      <c r="A20" s="249" t="s">
        <v>1685</v>
      </c>
      <c r="B20" s="248" t="s">
        <v>1585</v>
      </c>
      <c r="D20" s="401"/>
      <c r="E20" s="297">
        <v>7</v>
      </c>
      <c r="F20" s="298" t="s">
        <v>1694</v>
      </c>
      <c r="G20" s="41" t="s">
        <v>1811</v>
      </c>
      <c r="I20" s="309" t="s">
        <v>1689</v>
      </c>
      <c r="J20" s="313" t="s">
        <v>1586</v>
      </c>
      <c r="L20" s="309" t="s">
        <v>1600</v>
      </c>
      <c r="M20" s="313" t="s">
        <v>1571</v>
      </c>
    </row>
    <row r="21" spans="1:13" ht="15">
      <c r="A21" s="249" t="s">
        <v>1689</v>
      </c>
      <c r="B21" s="248" t="s">
        <v>1586</v>
      </c>
      <c r="D21" s="401">
        <v>4</v>
      </c>
      <c r="E21" s="297">
        <v>1</v>
      </c>
      <c r="F21" s="298" t="s">
        <v>1699</v>
      </c>
      <c r="G21" s="40" t="s">
        <v>1587</v>
      </c>
      <c r="I21" s="309" t="s">
        <v>1694</v>
      </c>
      <c r="J21" s="325" t="s">
        <v>1583</v>
      </c>
      <c r="L21" s="309" t="s">
        <v>1604</v>
      </c>
      <c r="M21" s="313" t="s">
        <v>1572</v>
      </c>
    </row>
    <row r="22" spans="1:13" ht="15">
      <c r="A22" s="249" t="s">
        <v>1694</v>
      </c>
      <c r="B22" s="248" t="s">
        <v>2265</v>
      </c>
      <c r="D22" s="401"/>
      <c r="E22" s="297">
        <v>2</v>
      </c>
      <c r="F22" s="298" t="s">
        <v>1706</v>
      </c>
      <c r="G22" s="40" t="s">
        <v>1588</v>
      </c>
      <c r="I22" s="309" t="s">
        <v>1699</v>
      </c>
      <c r="J22" s="313" t="s">
        <v>1587</v>
      </c>
      <c r="L22" s="309" t="s">
        <v>1604</v>
      </c>
      <c r="M22" s="313" t="s">
        <v>1572</v>
      </c>
    </row>
    <row r="23" spans="1:13" ht="15">
      <c r="A23" s="249" t="s">
        <v>1699</v>
      </c>
      <c r="B23" s="248" t="s">
        <v>1587</v>
      </c>
      <c r="D23" s="401"/>
      <c r="E23" s="297">
        <v>3</v>
      </c>
      <c r="F23" s="298" t="s">
        <v>1713</v>
      </c>
      <c r="G23" s="40" t="s">
        <v>1589</v>
      </c>
      <c r="I23" s="309" t="s">
        <v>1706</v>
      </c>
      <c r="J23" s="313" t="s">
        <v>1588</v>
      </c>
      <c r="L23" s="309" t="s">
        <v>1604</v>
      </c>
      <c r="M23" s="313" t="s">
        <v>1572</v>
      </c>
    </row>
    <row r="24" spans="1:13" ht="15">
      <c r="A24" s="249" t="s">
        <v>1706</v>
      </c>
      <c r="B24" s="248" t="s">
        <v>1588</v>
      </c>
      <c r="D24" s="401"/>
      <c r="E24" s="297">
        <v>4</v>
      </c>
      <c r="F24" s="298" t="s">
        <v>1721</v>
      </c>
      <c r="G24" s="41" t="s">
        <v>1590</v>
      </c>
      <c r="I24" s="309" t="s">
        <v>1713</v>
      </c>
      <c r="J24" s="313" t="s">
        <v>1589</v>
      </c>
      <c r="L24" s="309" t="s">
        <v>1604</v>
      </c>
      <c r="M24" s="313" t="s">
        <v>1572</v>
      </c>
    </row>
    <row r="25" spans="1:13" ht="15">
      <c r="A25" s="249" t="s">
        <v>1713</v>
      </c>
      <c r="B25" s="248" t="s">
        <v>1589</v>
      </c>
      <c r="D25" s="401"/>
      <c r="E25" s="297">
        <v>5</v>
      </c>
      <c r="F25" s="298" t="s">
        <v>1728</v>
      </c>
      <c r="G25" s="41" t="s">
        <v>1591</v>
      </c>
      <c r="I25" s="309" t="s">
        <v>1721</v>
      </c>
      <c r="J25" s="313" t="s">
        <v>1590</v>
      </c>
      <c r="L25" s="309" t="s">
        <v>1604</v>
      </c>
      <c r="M25" s="313" t="s">
        <v>1572</v>
      </c>
    </row>
    <row r="26" spans="1:13" ht="15">
      <c r="A26" s="249" t="s">
        <v>1721</v>
      </c>
      <c r="B26" s="248" t="s">
        <v>1590</v>
      </c>
      <c r="D26" s="401"/>
      <c r="E26" s="297">
        <v>6</v>
      </c>
      <c r="F26" s="298" t="s">
        <v>1735</v>
      </c>
      <c r="G26" s="41" t="s">
        <v>1811</v>
      </c>
      <c r="I26" s="309" t="s">
        <v>1728</v>
      </c>
      <c r="J26" s="313" t="s">
        <v>1591</v>
      </c>
      <c r="L26" s="309" t="s">
        <v>1604</v>
      </c>
      <c r="M26" s="313" t="s">
        <v>1572</v>
      </c>
    </row>
    <row r="27" spans="1:13" ht="15">
      <c r="A27" s="249" t="s">
        <v>1728</v>
      </c>
      <c r="B27" s="248" t="s">
        <v>1591</v>
      </c>
      <c r="D27" s="401"/>
      <c r="E27" s="297">
        <v>7</v>
      </c>
      <c r="F27" s="298" t="s">
        <v>1744</v>
      </c>
      <c r="G27" s="41" t="s">
        <v>1592</v>
      </c>
      <c r="I27" s="309" t="s">
        <v>1735</v>
      </c>
      <c r="J27" s="325" t="s">
        <v>1590</v>
      </c>
      <c r="L27" s="309" t="s">
        <v>1604</v>
      </c>
      <c r="M27" s="313" t="s">
        <v>1572</v>
      </c>
    </row>
    <row r="28" spans="1:13">
      <c r="A28" s="249" t="s">
        <v>1735</v>
      </c>
      <c r="B28" s="248" t="s">
        <v>2266</v>
      </c>
      <c r="I28" s="309" t="s">
        <v>1744</v>
      </c>
      <c r="J28" s="313" t="s">
        <v>1592</v>
      </c>
      <c r="L28" s="309" t="s">
        <v>1604</v>
      </c>
      <c r="M28" s="313" t="s">
        <v>1572</v>
      </c>
    </row>
    <row r="29" spans="1:13">
      <c r="A29" s="249" t="s">
        <v>1744</v>
      </c>
      <c r="B29" s="248" t="s">
        <v>1592</v>
      </c>
      <c r="I29"/>
      <c r="J29"/>
      <c r="L29" s="309" t="s">
        <v>1604</v>
      </c>
      <c r="M29" s="313" t="s">
        <v>1572</v>
      </c>
    </row>
    <row r="30" spans="1:13">
      <c r="A30"/>
      <c r="B30"/>
      <c r="I30"/>
      <c r="J30"/>
      <c r="L30" s="309" t="s">
        <v>1604</v>
      </c>
      <c r="M30" s="313" t="s">
        <v>1572</v>
      </c>
    </row>
    <row r="31" spans="1:13">
      <c r="A31"/>
      <c r="B31"/>
      <c r="I31"/>
      <c r="J31"/>
      <c r="L31" s="309" t="s">
        <v>1604</v>
      </c>
      <c r="M31" s="313" t="s">
        <v>1572</v>
      </c>
    </row>
    <row r="32" spans="1:13">
      <c r="A32"/>
      <c r="B32"/>
      <c r="I32"/>
      <c r="J32"/>
      <c r="L32" s="309" t="s">
        <v>1604</v>
      </c>
      <c r="M32" s="313" t="s">
        <v>1572</v>
      </c>
    </row>
    <row r="33" spans="4:13" customFormat="1">
      <c r="D33" s="300"/>
      <c r="E33" s="301"/>
      <c r="F33" s="301"/>
      <c r="G33" s="301"/>
      <c r="L33" s="309" t="s">
        <v>1604</v>
      </c>
      <c r="M33" s="313" t="s">
        <v>1572</v>
      </c>
    </row>
    <row r="34" spans="4:13" customFormat="1">
      <c r="D34" s="300"/>
      <c r="E34" s="301"/>
      <c r="F34" s="301"/>
      <c r="G34" s="301"/>
      <c r="L34" s="309" t="s">
        <v>1604</v>
      </c>
      <c r="M34" s="313" t="s">
        <v>1572</v>
      </c>
    </row>
    <row r="35" spans="4:13" customFormat="1">
      <c r="D35" s="300"/>
      <c r="E35" s="301"/>
      <c r="F35" s="301"/>
      <c r="G35" s="301"/>
      <c r="L35" s="309" t="s">
        <v>1609</v>
      </c>
      <c r="M35" s="313" t="s">
        <v>1573</v>
      </c>
    </row>
    <row r="36" spans="4:13" customFormat="1">
      <c r="D36" s="300"/>
      <c r="E36" s="301"/>
      <c r="F36" s="301"/>
      <c r="G36" s="301"/>
      <c r="L36" s="309" t="s">
        <v>1609</v>
      </c>
      <c r="M36" s="313" t="s">
        <v>1573</v>
      </c>
    </row>
    <row r="37" spans="4:13" customFormat="1">
      <c r="D37" s="300"/>
      <c r="E37" s="301"/>
      <c r="F37" s="301"/>
      <c r="G37" s="301"/>
      <c r="L37" s="309" t="s">
        <v>1609</v>
      </c>
      <c r="M37" s="313" t="s">
        <v>1573</v>
      </c>
    </row>
    <row r="38" spans="4:13" customFormat="1">
      <c r="D38" s="300"/>
      <c r="E38" s="301"/>
      <c r="F38" s="301"/>
      <c r="G38" s="301"/>
      <c r="L38" s="309" t="s">
        <v>1609</v>
      </c>
      <c r="M38" s="313" t="s">
        <v>1573</v>
      </c>
    </row>
    <row r="39" spans="4:13" customFormat="1">
      <c r="D39" s="300"/>
      <c r="E39" s="301"/>
      <c r="F39" s="301"/>
      <c r="G39" s="301"/>
      <c r="L39" s="309" t="s">
        <v>1609</v>
      </c>
      <c r="M39" s="313" t="s">
        <v>1573</v>
      </c>
    </row>
    <row r="40" spans="4:13" customFormat="1">
      <c r="D40" s="300"/>
      <c r="E40" s="301"/>
      <c r="F40" s="301"/>
      <c r="G40" s="301"/>
      <c r="L40" s="309" t="s">
        <v>1609</v>
      </c>
      <c r="M40" s="313" t="s">
        <v>1573</v>
      </c>
    </row>
    <row r="41" spans="4:13" customFormat="1">
      <c r="D41" s="300"/>
      <c r="E41" s="301"/>
      <c r="F41" s="301"/>
      <c r="G41" s="301"/>
      <c r="L41" s="309" t="s">
        <v>1609</v>
      </c>
      <c r="M41" s="313" t="s">
        <v>1573</v>
      </c>
    </row>
    <row r="42" spans="4:13" customFormat="1">
      <c r="D42" s="300"/>
      <c r="E42" s="301"/>
      <c r="F42" s="301"/>
      <c r="G42" s="301"/>
      <c r="L42" s="309" t="s">
        <v>1609</v>
      </c>
      <c r="M42" s="313" t="s">
        <v>1573</v>
      </c>
    </row>
    <row r="43" spans="4:13" customFormat="1">
      <c r="D43" s="300"/>
      <c r="E43" s="301"/>
      <c r="F43" s="301"/>
      <c r="G43" s="301"/>
      <c r="L43" s="309" t="s">
        <v>1609</v>
      </c>
      <c r="M43" s="313" t="s">
        <v>1573</v>
      </c>
    </row>
    <row r="44" spans="4:13" customFormat="1">
      <c r="D44" s="300"/>
      <c r="E44" s="301"/>
      <c r="F44" s="301"/>
      <c r="G44" s="301"/>
      <c r="L44" s="309" t="s">
        <v>1609</v>
      </c>
      <c r="M44" s="313" t="s">
        <v>1573</v>
      </c>
    </row>
    <row r="45" spans="4:13" customFormat="1">
      <c r="D45" s="300"/>
      <c r="E45" s="301"/>
      <c r="F45" s="301"/>
      <c r="G45" s="301"/>
      <c r="L45" s="309" t="s">
        <v>1609</v>
      </c>
      <c r="M45" s="313" t="s">
        <v>1573</v>
      </c>
    </row>
    <row r="46" spans="4:13" customFormat="1">
      <c r="D46" s="300"/>
      <c r="E46" s="301"/>
      <c r="F46" s="301"/>
      <c r="G46" s="301"/>
      <c r="L46" s="309" t="s">
        <v>1613</v>
      </c>
      <c r="M46" s="313" t="s">
        <v>1574</v>
      </c>
    </row>
    <row r="47" spans="4:13" customFormat="1">
      <c r="D47" s="300"/>
      <c r="E47" s="301"/>
      <c r="F47" s="301"/>
      <c r="G47" s="301"/>
      <c r="L47" s="309" t="s">
        <v>1613</v>
      </c>
      <c r="M47" s="313" t="s">
        <v>1574</v>
      </c>
    </row>
    <row r="48" spans="4:13" customFormat="1">
      <c r="D48" s="300"/>
      <c r="E48" s="301"/>
      <c r="F48" s="301"/>
      <c r="G48" s="301"/>
      <c r="L48" s="309" t="s">
        <v>1613</v>
      </c>
      <c r="M48" s="313" t="s">
        <v>1574</v>
      </c>
    </row>
    <row r="49" spans="4:13" customFormat="1">
      <c r="D49" s="300"/>
      <c r="E49" s="301"/>
      <c r="F49" s="301"/>
      <c r="G49" s="301"/>
      <c r="L49" s="309" t="s">
        <v>1613</v>
      </c>
      <c r="M49" s="313" t="s">
        <v>1574</v>
      </c>
    </row>
    <row r="50" spans="4:13" customFormat="1">
      <c r="D50" s="300"/>
      <c r="E50" s="301"/>
      <c r="F50" s="301"/>
      <c r="G50" s="301"/>
      <c r="L50" s="309" t="s">
        <v>1613</v>
      </c>
      <c r="M50" s="313" t="s">
        <v>1574</v>
      </c>
    </row>
    <row r="51" spans="4:13" customFormat="1">
      <c r="D51" s="300"/>
      <c r="E51" s="301"/>
      <c r="F51" s="301"/>
      <c r="G51" s="301"/>
      <c r="L51" s="309" t="s">
        <v>1613</v>
      </c>
      <c r="M51" s="313" t="s">
        <v>1574</v>
      </c>
    </row>
    <row r="52" spans="4:13" customFormat="1">
      <c r="D52" s="300"/>
      <c r="E52" s="301"/>
      <c r="F52" s="301"/>
      <c r="G52" s="301"/>
      <c r="L52" s="309" t="s">
        <v>1613</v>
      </c>
      <c r="M52" s="313" t="s">
        <v>1574</v>
      </c>
    </row>
    <row r="53" spans="4:13" customFormat="1">
      <c r="D53" s="300"/>
      <c r="E53" s="301"/>
      <c r="F53" s="301"/>
      <c r="G53" s="301"/>
      <c r="L53" s="309" t="s">
        <v>1613</v>
      </c>
      <c r="M53" s="313" t="s">
        <v>1574</v>
      </c>
    </row>
    <row r="54" spans="4:13" customFormat="1">
      <c r="D54" s="300"/>
      <c r="E54" s="301"/>
      <c r="F54" s="301"/>
      <c r="G54" s="301"/>
      <c r="L54" s="309" t="s">
        <v>1613</v>
      </c>
      <c r="M54" s="313" t="s">
        <v>1574</v>
      </c>
    </row>
    <row r="55" spans="4:13" customFormat="1">
      <c r="D55" s="300"/>
      <c r="E55" s="301"/>
      <c r="F55" s="301"/>
      <c r="G55" s="301"/>
      <c r="L55" s="309" t="s">
        <v>1613</v>
      </c>
      <c r="M55" s="313" t="s">
        <v>1574</v>
      </c>
    </row>
    <row r="56" spans="4:13" customFormat="1">
      <c r="D56" s="300"/>
      <c r="E56" s="301"/>
      <c r="F56" s="301"/>
      <c r="G56" s="301"/>
      <c r="L56" s="309" t="s">
        <v>1613</v>
      </c>
      <c r="M56" s="313" t="s">
        <v>1574</v>
      </c>
    </row>
    <row r="57" spans="4:13" customFormat="1">
      <c r="D57" s="300"/>
      <c r="E57" s="301"/>
      <c r="F57" s="301"/>
      <c r="G57" s="301"/>
      <c r="L57" s="309" t="s">
        <v>1613</v>
      </c>
      <c r="M57" s="313" t="s">
        <v>1574</v>
      </c>
    </row>
    <row r="58" spans="4:13" customFormat="1">
      <c r="D58" s="300"/>
      <c r="E58" s="301"/>
      <c r="F58" s="301"/>
      <c r="G58" s="301"/>
      <c r="L58" s="309" t="s">
        <v>1613</v>
      </c>
      <c r="M58" s="313" t="s">
        <v>1574</v>
      </c>
    </row>
    <row r="59" spans="4:13" customFormat="1">
      <c r="D59" s="300"/>
      <c r="E59" s="301"/>
      <c r="F59" s="301"/>
      <c r="G59" s="301"/>
      <c r="L59" s="309" t="s">
        <v>1618</v>
      </c>
      <c r="M59" s="313" t="s">
        <v>1575</v>
      </c>
    </row>
    <row r="60" spans="4:13" customFormat="1">
      <c r="D60" s="300"/>
      <c r="E60" s="301"/>
      <c r="F60" s="301"/>
      <c r="G60" s="301"/>
      <c r="L60" s="309" t="s">
        <v>1618</v>
      </c>
      <c r="M60" s="313" t="s">
        <v>1575</v>
      </c>
    </row>
    <row r="61" spans="4:13" customFormat="1">
      <c r="D61" s="300"/>
      <c r="E61" s="301"/>
      <c r="F61" s="301"/>
      <c r="G61" s="301"/>
      <c r="L61" s="309" t="s">
        <v>1618</v>
      </c>
      <c r="M61" s="313" t="s">
        <v>1575</v>
      </c>
    </row>
    <row r="62" spans="4:13" customFormat="1">
      <c r="D62" s="300"/>
      <c r="E62" s="301"/>
      <c r="F62" s="301"/>
      <c r="G62" s="301"/>
      <c r="L62" s="309" t="s">
        <v>1618</v>
      </c>
      <c r="M62" s="313" t="s">
        <v>1575</v>
      </c>
    </row>
    <row r="63" spans="4:13" customFormat="1">
      <c r="D63" s="300"/>
      <c r="E63" s="301"/>
      <c r="F63" s="301"/>
      <c r="G63" s="301"/>
      <c r="L63" s="309" t="s">
        <v>1618</v>
      </c>
      <c r="M63" s="313" t="s">
        <v>1575</v>
      </c>
    </row>
    <row r="64" spans="4:13" customFormat="1">
      <c r="D64" s="300"/>
      <c r="E64" s="301"/>
      <c r="F64" s="301"/>
      <c r="G64" s="301"/>
      <c r="L64" s="309" t="s">
        <v>1618</v>
      </c>
      <c r="M64" s="313" t="s">
        <v>1575</v>
      </c>
    </row>
    <row r="65" spans="4:13" customFormat="1">
      <c r="D65" s="300"/>
      <c r="E65" s="301"/>
      <c r="F65" s="301"/>
      <c r="G65" s="301"/>
      <c r="L65" s="309" t="s">
        <v>1618</v>
      </c>
      <c r="M65" s="313" t="s">
        <v>1575</v>
      </c>
    </row>
    <row r="66" spans="4:13" customFormat="1">
      <c r="D66" s="300"/>
      <c r="E66" s="301"/>
      <c r="F66" s="301"/>
      <c r="G66" s="301"/>
      <c r="L66" s="309" t="s">
        <v>1618</v>
      </c>
      <c r="M66" s="313" t="s">
        <v>1575</v>
      </c>
    </row>
    <row r="67" spans="4:13" customFormat="1">
      <c r="D67" s="300"/>
      <c r="E67" s="301"/>
      <c r="F67" s="301"/>
      <c r="G67" s="301"/>
      <c r="L67" s="309" t="s">
        <v>1618</v>
      </c>
      <c r="M67" s="313" t="s">
        <v>1575</v>
      </c>
    </row>
    <row r="68" spans="4:13" customFormat="1">
      <c r="D68" s="300"/>
      <c r="E68" s="301"/>
      <c r="F68" s="301"/>
      <c r="G68" s="301"/>
      <c r="L68" s="309" t="s">
        <v>1618</v>
      </c>
      <c r="M68" s="313" t="s">
        <v>1575</v>
      </c>
    </row>
    <row r="69" spans="4:13" customFormat="1">
      <c r="D69" s="300"/>
      <c r="E69" s="301"/>
      <c r="F69" s="301"/>
      <c r="G69" s="301"/>
      <c r="L69" s="309" t="s">
        <v>1618</v>
      </c>
      <c r="M69" s="313" t="s">
        <v>1575</v>
      </c>
    </row>
    <row r="70" spans="4:13" customFormat="1">
      <c r="D70" s="300"/>
      <c r="E70" s="301"/>
      <c r="F70" s="301"/>
      <c r="G70" s="301"/>
      <c r="L70" s="309" t="s">
        <v>1622</v>
      </c>
      <c r="M70" s="313" t="s">
        <v>1576</v>
      </c>
    </row>
    <row r="71" spans="4:13" customFormat="1">
      <c r="D71" s="300"/>
      <c r="E71" s="301"/>
      <c r="F71" s="301"/>
      <c r="G71" s="301"/>
      <c r="L71" s="309" t="s">
        <v>1622</v>
      </c>
      <c r="M71" s="313" t="s">
        <v>1576</v>
      </c>
    </row>
    <row r="72" spans="4:13" customFormat="1">
      <c r="D72" s="300"/>
      <c r="E72" s="301"/>
      <c r="F72" s="301"/>
      <c r="G72" s="301"/>
      <c r="L72" s="309" t="s">
        <v>1622</v>
      </c>
      <c r="M72" s="313" t="s">
        <v>1576</v>
      </c>
    </row>
    <row r="73" spans="4:13" customFormat="1">
      <c r="D73" s="300"/>
      <c r="E73" s="301"/>
      <c r="F73" s="301"/>
      <c r="G73" s="301"/>
      <c r="L73" s="309" t="s">
        <v>1622</v>
      </c>
      <c r="M73" s="313" t="s">
        <v>1576</v>
      </c>
    </row>
    <row r="74" spans="4:13" customFormat="1">
      <c r="D74" s="300"/>
      <c r="E74" s="301"/>
      <c r="F74" s="301"/>
      <c r="G74" s="301"/>
      <c r="L74" s="309" t="s">
        <v>1622</v>
      </c>
      <c r="M74" s="313" t="s">
        <v>1576</v>
      </c>
    </row>
    <row r="75" spans="4:13" customFormat="1">
      <c r="D75" s="300"/>
      <c r="E75" s="301"/>
      <c r="F75" s="301"/>
      <c r="G75" s="301"/>
      <c r="L75" s="309" t="s">
        <v>1622</v>
      </c>
      <c r="M75" s="313" t="s">
        <v>1576</v>
      </c>
    </row>
    <row r="76" spans="4:13" customFormat="1">
      <c r="D76" s="300"/>
      <c r="E76" s="301"/>
      <c r="F76" s="301"/>
      <c r="G76" s="301"/>
      <c r="L76" s="309" t="s">
        <v>1622</v>
      </c>
      <c r="M76" s="313" t="s">
        <v>1576</v>
      </c>
    </row>
    <row r="77" spans="4:13" customFormat="1">
      <c r="D77" s="300"/>
      <c r="E77" s="301"/>
      <c r="F77" s="301"/>
      <c r="G77" s="301"/>
      <c r="L77" s="309" t="s">
        <v>1622</v>
      </c>
      <c r="M77" s="313" t="s">
        <v>1576</v>
      </c>
    </row>
    <row r="78" spans="4:13" customFormat="1">
      <c r="D78" s="300"/>
      <c r="E78" s="301"/>
      <c r="F78" s="301"/>
      <c r="G78" s="301"/>
      <c r="L78" s="309" t="s">
        <v>1622</v>
      </c>
      <c r="M78" s="313" t="s">
        <v>1576</v>
      </c>
    </row>
    <row r="79" spans="4:13" customFormat="1">
      <c r="D79" s="300"/>
      <c r="E79" s="301"/>
      <c r="F79" s="301"/>
      <c r="G79" s="301"/>
      <c r="L79" s="309" t="s">
        <v>1622</v>
      </c>
      <c r="M79" s="313" t="s">
        <v>1576</v>
      </c>
    </row>
    <row r="80" spans="4:13" customFormat="1">
      <c r="D80" s="300"/>
      <c r="E80" s="301"/>
      <c r="F80" s="301"/>
      <c r="G80" s="301"/>
      <c r="L80" s="309" t="s">
        <v>1622</v>
      </c>
      <c r="M80" s="313" t="s">
        <v>1576</v>
      </c>
    </row>
    <row r="81" spans="4:13" customFormat="1">
      <c r="D81" s="300"/>
      <c r="E81" s="301"/>
      <c r="F81" s="301"/>
      <c r="G81" s="301"/>
      <c r="L81" s="309" t="s">
        <v>1644</v>
      </c>
      <c r="M81" s="313" t="s">
        <v>1630</v>
      </c>
    </row>
    <row r="82" spans="4:13" customFormat="1">
      <c r="D82" s="300"/>
      <c r="E82" s="301"/>
      <c r="F82" s="301"/>
      <c r="G82" s="301"/>
      <c r="L82" s="309" t="s">
        <v>1644</v>
      </c>
      <c r="M82" s="313" t="s">
        <v>1630</v>
      </c>
    </row>
    <row r="83" spans="4:13" customFormat="1">
      <c r="D83" s="300"/>
      <c r="E83" s="301"/>
      <c r="F83" s="301"/>
      <c r="G83" s="301"/>
      <c r="L83" s="309" t="s">
        <v>1644</v>
      </c>
      <c r="M83" s="313" t="s">
        <v>1630</v>
      </c>
    </row>
    <row r="84" spans="4:13" customFormat="1">
      <c r="D84" s="300"/>
      <c r="E84" s="301"/>
      <c r="F84" s="301"/>
      <c r="G84" s="301"/>
      <c r="L84" s="309" t="s">
        <v>1644</v>
      </c>
      <c r="M84" s="313" t="s">
        <v>1630</v>
      </c>
    </row>
    <row r="85" spans="4:13" customFormat="1">
      <c r="D85" s="300"/>
      <c r="E85" s="301"/>
      <c r="F85" s="301"/>
      <c r="G85" s="301"/>
      <c r="L85" s="309" t="s">
        <v>1644</v>
      </c>
      <c r="M85" s="313" t="s">
        <v>1630</v>
      </c>
    </row>
    <row r="86" spans="4:13" customFormat="1">
      <c r="D86" s="300"/>
      <c r="E86" s="301"/>
      <c r="F86" s="301"/>
      <c r="G86" s="301"/>
      <c r="L86" s="309" t="s">
        <v>1644</v>
      </c>
      <c r="M86" s="313" t="s">
        <v>1630</v>
      </c>
    </row>
    <row r="87" spans="4:13" customFormat="1">
      <c r="D87" s="300"/>
      <c r="E87" s="301"/>
      <c r="F87" s="301"/>
      <c r="G87" s="301"/>
      <c r="L87" s="309" t="s">
        <v>1644</v>
      </c>
      <c r="M87" s="313" t="s">
        <v>1630</v>
      </c>
    </row>
    <row r="88" spans="4:13" customFormat="1">
      <c r="D88" s="300"/>
      <c r="E88" s="301"/>
      <c r="F88" s="301"/>
      <c r="G88" s="301"/>
      <c r="L88" s="309" t="s">
        <v>1644</v>
      </c>
      <c r="M88" s="313" t="s">
        <v>1630</v>
      </c>
    </row>
    <row r="89" spans="4:13" customFormat="1">
      <c r="D89" s="300"/>
      <c r="E89" s="301"/>
      <c r="F89" s="301"/>
      <c r="G89" s="301"/>
      <c r="L89" s="309" t="s">
        <v>1634</v>
      </c>
      <c r="M89" s="313" t="s">
        <v>1578</v>
      </c>
    </row>
    <row r="90" spans="4:13" customFormat="1">
      <c r="D90" s="300"/>
      <c r="E90" s="301"/>
      <c r="F90" s="301"/>
      <c r="G90" s="301"/>
      <c r="L90" s="309" t="s">
        <v>1634</v>
      </c>
      <c r="M90" s="313" t="s">
        <v>1578</v>
      </c>
    </row>
    <row r="91" spans="4:13" customFormat="1">
      <c r="D91" s="300"/>
      <c r="E91" s="301"/>
      <c r="F91" s="301"/>
      <c r="G91" s="301"/>
      <c r="L91" s="309" t="s">
        <v>1638</v>
      </c>
      <c r="M91" s="313" t="s">
        <v>1578</v>
      </c>
    </row>
    <row r="92" spans="4:13" customFormat="1">
      <c r="D92" s="300"/>
      <c r="E92" s="301"/>
      <c r="F92" s="301"/>
      <c r="G92" s="301"/>
      <c r="L92" s="309" t="s">
        <v>1638</v>
      </c>
      <c r="M92" s="313" t="s">
        <v>1578</v>
      </c>
    </row>
    <row r="93" spans="4:13" customFormat="1">
      <c r="D93" s="300"/>
      <c r="E93" s="301"/>
      <c r="F93" s="301"/>
      <c r="G93" s="301"/>
      <c r="L93" s="309" t="s">
        <v>1638</v>
      </c>
      <c r="M93" s="313" t="s">
        <v>1578</v>
      </c>
    </row>
    <row r="94" spans="4:13" customFormat="1">
      <c r="D94" s="300"/>
      <c r="E94" s="301"/>
      <c r="F94" s="301"/>
      <c r="G94" s="301"/>
      <c r="L94" s="309" t="s">
        <v>1638</v>
      </c>
      <c r="M94" s="313" t="s">
        <v>1578</v>
      </c>
    </row>
    <row r="95" spans="4:13" customFormat="1">
      <c r="D95" s="300"/>
      <c r="E95" s="301"/>
      <c r="F95" s="301"/>
      <c r="G95" s="301"/>
      <c r="L95" s="309" t="s">
        <v>1638</v>
      </c>
      <c r="M95" s="313" t="s">
        <v>1578</v>
      </c>
    </row>
    <row r="96" spans="4:13" customFormat="1">
      <c r="D96" s="300"/>
      <c r="E96" s="301"/>
      <c r="F96" s="301"/>
      <c r="G96" s="301"/>
      <c r="L96" s="309" t="s">
        <v>1638</v>
      </c>
      <c r="M96" s="313" t="s">
        <v>1578</v>
      </c>
    </row>
    <row r="97" spans="4:13" customFormat="1">
      <c r="D97" s="300"/>
      <c r="E97" s="301"/>
      <c r="F97" s="301"/>
      <c r="G97" s="301"/>
      <c r="L97" s="309" t="s">
        <v>1638</v>
      </c>
      <c r="M97" s="313" t="s">
        <v>1578</v>
      </c>
    </row>
    <row r="98" spans="4:13" customFormat="1">
      <c r="D98" s="300"/>
      <c r="E98" s="301"/>
      <c r="F98" s="301"/>
      <c r="G98" s="301"/>
      <c r="L98" s="309" t="s">
        <v>1638</v>
      </c>
      <c r="M98" s="313" t="s">
        <v>1578</v>
      </c>
    </row>
    <row r="99" spans="4:13" customFormat="1">
      <c r="D99" s="300"/>
      <c r="E99" s="301"/>
      <c r="F99" s="301"/>
      <c r="G99" s="301"/>
      <c r="L99" s="309" t="s">
        <v>1638</v>
      </c>
      <c r="M99" s="313" t="s">
        <v>1578</v>
      </c>
    </row>
    <row r="100" spans="4:13" customFormat="1">
      <c r="D100" s="300"/>
      <c r="E100" s="301"/>
      <c r="F100" s="301"/>
      <c r="G100" s="301"/>
      <c r="L100" s="309" t="s">
        <v>1638</v>
      </c>
      <c r="M100" s="313" t="s">
        <v>1578</v>
      </c>
    </row>
    <row r="101" spans="4:13" customFormat="1">
      <c r="D101" s="300"/>
      <c r="E101" s="301"/>
      <c r="F101" s="301"/>
      <c r="G101" s="301"/>
      <c r="L101" s="309" t="s">
        <v>1638</v>
      </c>
      <c r="M101" s="313" t="s">
        <v>1578</v>
      </c>
    </row>
    <row r="102" spans="4:13" customFormat="1">
      <c r="D102" s="300"/>
      <c r="E102" s="301"/>
      <c r="F102" s="301"/>
      <c r="G102" s="301"/>
      <c r="L102" s="309" t="s">
        <v>1648</v>
      </c>
      <c r="M102" s="313" t="s">
        <v>1579</v>
      </c>
    </row>
    <row r="103" spans="4:13" customFormat="1">
      <c r="D103" s="300"/>
      <c r="E103" s="301"/>
      <c r="F103" s="301"/>
      <c r="G103" s="301"/>
      <c r="L103" s="309" t="s">
        <v>1628</v>
      </c>
      <c r="M103" s="313" t="s">
        <v>1579</v>
      </c>
    </row>
    <row r="104" spans="4:13" customFormat="1">
      <c r="D104" s="300"/>
      <c r="E104" s="301"/>
      <c r="F104" s="301"/>
      <c r="G104" s="301"/>
      <c r="L104" s="309" t="s">
        <v>1628</v>
      </c>
      <c r="M104" s="313" t="s">
        <v>1579</v>
      </c>
    </row>
    <row r="105" spans="4:13" customFormat="1">
      <c r="D105" s="300"/>
      <c r="E105" s="301"/>
      <c r="F105" s="301"/>
      <c r="G105" s="301"/>
      <c r="L105" s="309" t="s">
        <v>1648</v>
      </c>
      <c r="M105" s="313" t="s">
        <v>1579</v>
      </c>
    </row>
    <row r="106" spans="4:13" customFormat="1">
      <c r="D106" s="300"/>
      <c r="E106" s="301"/>
      <c r="F106" s="301"/>
      <c r="G106" s="301"/>
      <c r="L106" s="309" t="s">
        <v>1648</v>
      </c>
      <c r="M106" s="313" t="s">
        <v>1579</v>
      </c>
    </row>
    <row r="107" spans="4:13" customFormat="1">
      <c r="D107" s="300"/>
      <c r="E107" s="301"/>
      <c r="F107" s="301"/>
      <c r="G107" s="301"/>
      <c r="L107" s="309" t="s">
        <v>1648</v>
      </c>
      <c r="M107" s="313" t="s">
        <v>1579</v>
      </c>
    </row>
    <row r="108" spans="4:13" customFormat="1">
      <c r="D108" s="300"/>
      <c r="E108" s="301"/>
      <c r="F108" s="301"/>
      <c r="G108" s="301"/>
      <c r="L108" s="309" t="s">
        <v>1648</v>
      </c>
      <c r="M108" s="313" t="s">
        <v>1580</v>
      </c>
    </row>
    <row r="109" spans="4:13" customFormat="1">
      <c r="D109" s="300"/>
      <c r="E109" s="301"/>
      <c r="F109" s="301"/>
      <c r="G109" s="301"/>
      <c r="L109" s="309" t="s">
        <v>1634</v>
      </c>
      <c r="M109" s="313" t="s">
        <v>1580</v>
      </c>
    </row>
    <row r="110" spans="4:13" customFormat="1">
      <c r="D110" s="300"/>
      <c r="E110" s="301"/>
      <c r="F110" s="301"/>
      <c r="G110" s="301"/>
      <c r="L110" s="309" t="s">
        <v>1634</v>
      </c>
      <c r="M110" s="313" t="s">
        <v>1580</v>
      </c>
    </row>
    <row r="111" spans="4:13" customFormat="1">
      <c r="D111" s="300"/>
      <c r="E111" s="301"/>
      <c r="F111" s="301"/>
      <c r="G111" s="301"/>
      <c r="L111" s="309" t="s">
        <v>1634</v>
      </c>
      <c r="M111" s="313" t="s">
        <v>1580</v>
      </c>
    </row>
    <row r="112" spans="4:13" customFormat="1">
      <c r="D112" s="300"/>
      <c r="E112" s="301"/>
      <c r="F112" s="301"/>
      <c r="G112" s="301"/>
      <c r="L112" s="309" t="s">
        <v>1634</v>
      </c>
      <c r="M112" s="313" t="s">
        <v>1580</v>
      </c>
    </row>
    <row r="113" spans="4:13" customFormat="1">
      <c r="D113" s="300"/>
      <c r="E113" s="301"/>
      <c r="F113" s="301"/>
      <c r="G113" s="301"/>
      <c r="L113" s="309" t="s">
        <v>1634</v>
      </c>
      <c r="M113" s="313" t="s">
        <v>1580</v>
      </c>
    </row>
    <row r="114" spans="4:13" customFormat="1">
      <c r="D114" s="300"/>
      <c r="E114" s="301"/>
      <c r="F114" s="301"/>
      <c r="G114" s="301"/>
      <c r="L114" s="309" t="s">
        <v>1648</v>
      </c>
      <c r="M114" s="325" t="s">
        <v>1580</v>
      </c>
    </row>
    <row r="115" spans="4:13" customFormat="1">
      <c r="D115" s="300"/>
      <c r="E115" s="301"/>
      <c r="F115" s="301"/>
      <c r="G115" s="301"/>
      <c r="L115" s="309" t="s">
        <v>1644</v>
      </c>
      <c r="M115" s="325" t="s">
        <v>1578</v>
      </c>
    </row>
    <row r="116" spans="4:13" customFormat="1">
      <c r="D116" s="300"/>
      <c r="E116" s="301"/>
      <c r="F116" s="301"/>
      <c r="G116" s="301"/>
      <c r="L116" s="309" t="s">
        <v>1644</v>
      </c>
      <c r="M116" s="325" t="s">
        <v>1578</v>
      </c>
    </row>
    <row r="117" spans="4:13" customFormat="1">
      <c r="D117" s="300"/>
      <c r="E117" s="301"/>
      <c r="F117" s="301"/>
      <c r="G117" s="301"/>
      <c r="L117" s="309" t="s">
        <v>1644</v>
      </c>
      <c r="M117" s="325" t="s">
        <v>1578</v>
      </c>
    </row>
    <row r="118" spans="4:13" customFormat="1">
      <c r="D118" s="300"/>
      <c r="E118" s="301"/>
      <c r="F118" s="301"/>
      <c r="G118" s="301"/>
      <c r="L118" s="309" t="s">
        <v>1644</v>
      </c>
      <c r="M118" s="325" t="s">
        <v>1578</v>
      </c>
    </row>
    <row r="119" spans="4:13" customFormat="1">
      <c r="D119" s="300"/>
      <c r="E119" s="301"/>
      <c r="F119" s="301"/>
      <c r="G119" s="301"/>
      <c r="L119" s="309" t="s">
        <v>1644</v>
      </c>
      <c r="M119" s="325" t="s">
        <v>1578</v>
      </c>
    </row>
    <row r="120" spans="4:13" customFormat="1">
      <c r="D120" s="300"/>
      <c r="E120" s="301"/>
      <c r="F120" s="301"/>
      <c r="G120" s="301"/>
      <c r="L120" s="309" t="s">
        <v>1628</v>
      </c>
      <c r="M120" s="313" t="s">
        <v>1582</v>
      </c>
    </row>
    <row r="121" spans="4:13" customFormat="1">
      <c r="D121" s="300"/>
      <c r="E121" s="301"/>
      <c r="F121" s="301"/>
      <c r="G121" s="301"/>
      <c r="L121" s="309" t="s">
        <v>1628</v>
      </c>
      <c r="M121" s="313" t="s">
        <v>1582</v>
      </c>
    </row>
    <row r="122" spans="4:13" customFormat="1">
      <c r="D122" s="300"/>
      <c r="E122" s="301"/>
      <c r="F122" s="301"/>
      <c r="G122" s="301"/>
      <c r="L122" s="309" t="s">
        <v>1628</v>
      </c>
      <c r="M122" s="313" t="s">
        <v>1582</v>
      </c>
    </row>
    <row r="123" spans="4:13" customFormat="1">
      <c r="D123" s="300"/>
      <c r="E123" s="301"/>
      <c r="F123" s="301"/>
      <c r="G123" s="301"/>
      <c r="L123" s="309" t="s">
        <v>1628</v>
      </c>
      <c r="M123" s="313" t="s">
        <v>1582</v>
      </c>
    </row>
    <row r="124" spans="4:13" customFormat="1">
      <c r="D124" s="300"/>
      <c r="E124" s="301"/>
      <c r="F124" s="301"/>
      <c r="G124" s="301"/>
      <c r="L124" s="309" t="s">
        <v>1628</v>
      </c>
      <c r="M124" s="313" t="s">
        <v>1582</v>
      </c>
    </row>
    <row r="125" spans="4:13" customFormat="1">
      <c r="D125" s="300"/>
      <c r="E125" s="301"/>
      <c r="F125" s="301"/>
      <c r="G125" s="301"/>
      <c r="L125" s="309" t="s">
        <v>1648</v>
      </c>
      <c r="M125" s="313" t="s">
        <v>1582</v>
      </c>
    </row>
    <row r="126" spans="4:13" customFormat="1">
      <c r="D126" s="300"/>
      <c r="E126" s="301"/>
      <c r="F126" s="301"/>
      <c r="G126" s="301"/>
      <c r="L126" s="309" t="s">
        <v>1638</v>
      </c>
      <c r="M126" s="325" t="s">
        <v>1579</v>
      </c>
    </row>
    <row r="127" spans="4:13" customFormat="1">
      <c r="D127" s="300"/>
      <c r="E127" s="301"/>
      <c r="F127" s="301"/>
      <c r="G127" s="301"/>
      <c r="L127" s="309" t="s">
        <v>1638</v>
      </c>
      <c r="M127" s="325" t="s">
        <v>1579</v>
      </c>
    </row>
    <row r="128" spans="4:13" customFormat="1">
      <c r="D128" s="300"/>
      <c r="E128" s="301"/>
      <c r="F128" s="301"/>
      <c r="G128" s="301"/>
      <c r="L128" s="309" t="s">
        <v>1638</v>
      </c>
      <c r="M128" s="325" t="s">
        <v>1579</v>
      </c>
    </row>
    <row r="129" spans="4:13" customFormat="1">
      <c r="D129" s="300"/>
      <c r="E129" s="301"/>
      <c r="F129" s="301"/>
      <c r="G129" s="301"/>
      <c r="L129" s="309" t="s">
        <v>1638</v>
      </c>
      <c r="M129" s="325" t="s">
        <v>1579</v>
      </c>
    </row>
    <row r="130" spans="4:13" customFormat="1">
      <c r="D130" s="300"/>
      <c r="E130" s="301"/>
      <c r="F130" s="301"/>
      <c r="G130" s="301"/>
      <c r="L130" s="309" t="s">
        <v>1634</v>
      </c>
      <c r="M130" s="325" t="s">
        <v>1580</v>
      </c>
    </row>
    <row r="131" spans="4:13" customFormat="1">
      <c r="D131" s="300"/>
      <c r="E131" s="301"/>
      <c r="F131" s="301"/>
      <c r="G131" s="301"/>
      <c r="L131" s="309" t="s">
        <v>1634</v>
      </c>
      <c r="M131" s="325" t="s">
        <v>1580</v>
      </c>
    </row>
    <row r="132" spans="4:13" customFormat="1">
      <c r="D132" s="300"/>
      <c r="E132" s="301"/>
      <c r="F132" s="301"/>
      <c r="G132" s="301"/>
      <c r="L132" s="309" t="s">
        <v>1634</v>
      </c>
      <c r="M132" s="325" t="s">
        <v>1580</v>
      </c>
    </row>
    <row r="133" spans="4:13" customFormat="1">
      <c r="D133" s="300"/>
      <c r="E133" s="301"/>
      <c r="F133" s="301"/>
      <c r="G133" s="301"/>
      <c r="L133" s="309" t="s">
        <v>1634</v>
      </c>
      <c r="M133" s="325" t="s">
        <v>1580</v>
      </c>
    </row>
    <row r="134" spans="4:13" customFormat="1">
      <c r="D134" s="300"/>
      <c r="E134" s="301"/>
      <c r="F134" s="301"/>
      <c r="G134" s="301"/>
      <c r="L134" s="309" t="s">
        <v>1628</v>
      </c>
      <c r="M134" s="325" t="s">
        <v>1582</v>
      </c>
    </row>
    <row r="135" spans="4:13" customFormat="1">
      <c r="D135" s="300"/>
      <c r="E135" s="301"/>
      <c r="F135" s="301"/>
      <c r="G135" s="301"/>
      <c r="L135" s="309" t="s">
        <v>1628</v>
      </c>
      <c r="M135" s="325" t="s">
        <v>1582</v>
      </c>
    </row>
    <row r="136" spans="4:13" customFormat="1">
      <c r="D136" s="300"/>
      <c r="E136" s="301"/>
      <c r="F136" s="301"/>
      <c r="G136" s="301"/>
      <c r="L136" s="309" t="s">
        <v>1628</v>
      </c>
      <c r="M136" s="325" t="s">
        <v>1582</v>
      </c>
    </row>
    <row r="137" spans="4:13" customFormat="1">
      <c r="D137" s="300"/>
      <c r="E137" s="301"/>
      <c r="F137" s="301"/>
      <c r="G137" s="301"/>
      <c r="L137" s="309" t="s">
        <v>1628</v>
      </c>
      <c r="M137" s="325" t="s">
        <v>1582</v>
      </c>
    </row>
    <row r="138" spans="4:13" customFormat="1">
      <c r="D138" s="300"/>
      <c r="E138" s="301"/>
      <c r="F138" s="301"/>
      <c r="G138" s="301"/>
      <c r="L138" s="309" t="s">
        <v>1628</v>
      </c>
      <c r="M138" s="325" t="s">
        <v>1582</v>
      </c>
    </row>
    <row r="139" spans="4:13" customFormat="1">
      <c r="D139" s="300"/>
      <c r="E139" s="301"/>
      <c r="F139" s="301"/>
      <c r="G139" s="301"/>
      <c r="L139" s="309" t="s">
        <v>1628</v>
      </c>
      <c r="M139" s="325" t="s">
        <v>1582</v>
      </c>
    </row>
    <row r="140" spans="4:13" customFormat="1">
      <c r="D140" s="300"/>
      <c r="E140" s="301"/>
      <c r="F140" s="301"/>
      <c r="G140" s="301"/>
      <c r="L140" s="309" t="s">
        <v>1628</v>
      </c>
      <c r="M140" s="325" t="s">
        <v>1582</v>
      </c>
    </row>
    <row r="141" spans="4:13" customFormat="1">
      <c r="D141" s="300"/>
      <c r="E141" s="301"/>
      <c r="F141" s="301"/>
      <c r="G141" s="301"/>
      <c r="L141" s="309" t="s">
        <v>1628</v>
      </c>
      <c r="M141" s="325" t="s">
        <v>1582</v>
      </c>
    </row>
    <row r="142" spans="4:13" customFormat="1">
      <c r="D142" s="300"/>
      <c r="E142" s="301"/>
      <c r="F142" s="301"/>
      <c r="G142" s="301"/>
      <c r="L142" s="309" t="s">
        <v>1661</v>
      </c>
      <c r="M142" s="313" t="s">
        <v>1663</v>
      </c>
    </row>
    <row r="143" spans="4:13" customFormat="1">
      <c r="D143" s="300"/>
      <c r="E143" s="301"/>
      <c r="F143" s="301"/>
      <c r="G143" s="301"/>
      <c r="L143" s="309" t="s">
        <v>1661</v>
      </c>
      <c r="M143" s="313" t="s">
        <v>1663</v>
      </c>
    </row>
    <row r="144" spans="4:13" customFormat="1">
      <c r="D144" s="300"/>
      <c r="E144" s="301"/>
      <c r="F144" s="301"/>
      <c r="G144" s="301"/>
      <c r="L144" s="309" t="s">
        <v>1661</v>
      </c>
      <c r="M144" s="313" t="s">
        <v>1663</v>
      </c>
    </row>
    <row r="145" spans="4:13" customFormat="1">
      <c r="D145" s="300"/>
      <c r="E145" s="301"/>
      <c r="F145" s="301"/>
      <c r="G145" s="301"/>
      <c r="L145" s="309" t="s">
        <v>1661</v>
      </c>
      <c r="M145" s="313" t="s">
        <v>1663</v>
      </c>
    </row>
    <row r="146" spans="4:13" customFormat="1">
      <c r="D146" s="300"/>
      <c r="E146" s="301"/>
      <c r="F146" s="301"/>
      <c r="G146" s="301"/>
      <c r="L146" s="309" t="s">
        <v>1668</v>
      </c>
      <c r="M146" s="325" t="s">
        <v>1585</v>
      </c>
    </row>
    <row r="147" spans="4:13" customFormat="1">
      <c r="D147" s="300"/>
      <c r="E147" s="301"/>
      <c r="F147" s="301"/>
      <c r="G147" s="301"/>
      <c r="L147" s="309" t="s">
        <v>1668</v>
      </c>
      <c r="M147" s="325" t="s">
        <v>1585</v>
      </c>
    </row>
    <row r="148" spans="4:13" customFormat="1">
      <c r="D148" s="300"/>
      <c r="E148" s="301"/>
      <c r="F148" s="301"/>
      <c r="G148" s="301"/>
      <c r="L148" s="309" t="s">
        <v>1668</v>
      </c>
      <c r="M148" s="325" t="s">
        <v>1585</v>
      </c>
    </row>
    <row r="149" spans="4:13" customFormat="1">
      <c r="D149" s="300"/>
      <c r="E149" s="301"/>
      <c r="F149" s="301"/>
      <c r="G149" s="301"/>
      <c r="L149" s="309" t="s">
        <v>1668</v>
      </c>
      <c r="M149" s="325" t="s">
        <v>1585</v>
      </c>
    </row>
    <row r="150" spans="4:13" customFormat="1">
      <c r="D150" s="300"/>
      <c r="E150" s="301"/>
      <c r="F150" s="301"/>
      <c r="G150" s="301"/>
      <c r="L150" s="309" t="s">
        <v>1668</v>
      </c>
      <c r="M150" s="325" t="s">
        <v>1584</v>
      </c>
    </row>
    <row r="151" spans="4:13" customFormat="1">
      <c r="D151" s="300"/>
      <c r="E151" s="301"/>
      <c r="F151" s="301"/>
      <c r="G151" s="301"/>
      <c r="L151" s="309" t="s">
        <v>1668</v>
      </c>
      <c r="M151" s="325" t="s">
        <v>1583</v>
      </c>
    </row>
    <row r="152" spans="4:13" customFormat="1">
      <c r="D152" s="300"/>
      <c r="E152" s="301"/>
      <c r="F152" s="301"/>
      <c r="G152" s="301"/>
      <c r="L152" s="309" t="s">
        <v>1668</v>
      </c>
      <c r="M152" s="325" t="s">
        <v>1583</v>
      </c>
    </row>
    <row r="153" spans="4:13" customFormat="1">
      <c r="D153" s="300"/>
      <c r="E153" s="301"/>
      <c r="F153" s="301"/>
      <c r="G153" s="301"/>
      <c r="L153" s="309" t="s">
        <v>1677</v>
      </c>
      <c r="M153" s="313" t="s">
        <v>1583</v>
      </c>
    </row>
    <row r="154" spans="4:13" customFormat="1">
      <c r="D154" s="300"/>
      <c r="E154" s="301"/>
      <c r="F154" s="301"/>
      <c r="G154" s="301"/>
      <c r="L154" s="309" t="s">
        <v>1677</v>
      </c>
      <c r="M154" s="313" t="s">
        <v>1583</v>
      </c>
    </row>
    <row r="155" spans="4:13" customFormat="1">
      <c r="D155" s="300"/>
      <c r="E155" s="301"/>
      <c r="F155" s="301"/>
      <c r="G155" s="301"/>
      <c r="L155" s="309" t="s">
        <v>1677</v>
      </c>
      <c r="M155" s="313" t="s">
        <v>1583</v>
      </c>
    </row>
    <row r="156" spans="4:13" customFormat="1">
      <c r="D156" s="300"/>
      <c r="E156" s="301"/>
      <c r="F156" s="301"/>
      <c r="G156" s="301"/>
      <c r="L156" s="309" t="s">
        <v>1677</v>
      </c>
      <c r="M156" s="313" t="s">
        <v>1583</v>
      </c>
    </row>
    <row r="157" spans="4:13" customFormat="1">
      <c r="D157" s="300"/>
      <c r="E157" s="301"/>
      <c r="F157" s="301"/>
      <c r="G157" s="301"/>
      <c r="L157" s="309" t="s">
        <v>1677</v>
      </c>
      <c r="M157" s="313" t="s">
        <v>1583</v>
      </c>
    </row>
    <row r="158" spans="4:13" customFormat="1">
      <c r="D158" s="300"/>
      <c r="E158" s="301"/>
      <c r="F158" s="301"/>
      <c r="G158" s="301"/>
      <c r="L158" s="309" t="s">
        <v>1677</v>
      </c>
      <c r="M158" s="313" t="s">
        <v>1583</v>
      </c>
    </row>
    <row r="159" spans="4:13" customFormat="1">
      <c r="D159" s="300"/>
      <c r="E159" s="301"/>
      <c r="F159" s="301"/>
      <c r="G159" s="301"/>
      <c r="L159" s="309" t="s">
        <v>1677</v>
      </c>
      <c r="M159" s="313" t="s">
        <v>1583</v>
      </c>
    </row>
    <row r="160" spans="4:13" customFormat="1">
      <c r="D160" s="300"/>
      <c r="E160" s="301"/>
      <c r="F160" s="301"/>
      <c r="G160" s="301"/>
      <c r="L160" s="309" t="s">
        <v>1677</v>
      </c>
      <c r="M160" s="313" t="s">
        <v>1583</v>
      </c>
    </row>
    <row r="161" spans="4:13" customFormat="1">
      <c r="D161" s="300"/>
      <c r="E161" s="301"/>
      <c r="F161" s="301"/>
      <c r="G161" s="301"/>
      <c r="L161" s="309" t="s">
        <v>1677</v>
      </c>
      <c r="M161" s="313" t="s">
        <v>1583</v>
      </c>
    </row>
    <row r="162" spans="4:13" customFormat="1">
      <c r="D162" s="300"/>
      <c r="E162" s="301"/>
      <c r="F162" s="301"/>
      <c r="G162" s="301"/>
      <c r="L162" s="309" t="s">
        <v>1677</v>
      </c>
      <c r="M162" s="313" t="s">
        <v>1583</v>
      </c>
    </row>
    <row r="163" spans="4:13" customFormat="1">
      <c r="D163" s="300"/>
      <c r="E163" s="301"/>
      <c r="F163" s="301"/>
      <c r="G163" s="301"/>
      <c r="L163" s="309" t="s">
        <v>1682</v>
      </c>
      <c r="M163" s="313" t="s">
        <v>1584</v>
      </c>
    </row>
    <row r="164" spans="4:13" customFormat="1">
      <c r="D164" s="300"/>
      <c r="E164" s="301"/>
      <c r="F164" s="301"/>
      <c r="G164" s="301"/>
      <c r="L164" s="309" t="s">
        <v>1682</v>
      </c>
      <c r="M164" s="313" t="s">
        <v>1584</v>
      </c>
    </row>
    <row r="165" spans="4:13" customFormat="1">
      <c r="D165" s="300"/>
      <c r="E165" s="301"/>
      <c r="F165" s="301"/>
      <c r="G165" s="301"/>
      <c r="L165" s="309" t="s">
        <v>1682</v>
      </c>
      <c r="M165" s="313" t="s">
        <v>1584</v>
      </c>
    </row>
    <row r="166" spans="4:13" customFormat="1">
      <c r="D166" s="300"/>
      <c r="E166" s="301"/>
      <c r="F166" s="301"/>
      <c r="G166" s="301"/>
      <c r="L166" s="309" t="s">
        <v>1682</v>
      </c>
      <c r="M166" s="313" t="s">
        <v>1584</v>
      </c>
    </row>
    <row r="167" spans="4:13" customFormat="1">
      <c r="D167" s="300"/>
      <c r="E167" s="301"/>
      <c r="F167" s="301"/>
      <c r="G167" s="301"/>
      <c r="L167" s="309" t="s">
        <v>1682</v>
      </c>
      <c r="M167" s="313" t="s">
        <v>1584</v>
      </c>
    </row>
    <row r="168" spans="4:13" customFormat="1">
      <c r="D168" s="300"/>
      <c r="E168" s="301"/>
      <c r="F168" s="301"/>
      <c r="G168" s="301"/>
      <c r="L168" s="309" t="s">
        <v>1682</v>
      </c>
      <c r="M168" s="313" t="s">
        <v>1584</v>
      </c>
    </row>
    <row r="169" spans="4:13" customFormat="1">
      <c r="D169" s="300"/>
      <c r="E169" s="301"/>
      <c r="F169" s="301"/>
      <c r="G169" s="301"/>
      <c r="L169" s="309" t="s">
        <v>1682</v>
      </c>
      <c r="M169" s="313" t="s">
        <v>1584</v>
      </c>
    </row>
    <row r="170" spans="4:13" customFormat="1">
      <c r="D170" s="300"/>
      <c r="E170" s="301"/>
      <c r="F170" s="301"/>
      <c r="G170" s="301"/>
      <c r="L170" s="309" t="s">
        <v>1682</v>
      </c>
      <c r="M170" s="313" t="s">
        <v>1584</v>
      </c>
    </row>
    <row r="171" spans="4:13" customFormat="1">
      <c r="D171" s="300"/>
      <c r="E171" s="301"/>
      <c r="F171" s="301"/>
      <c r="G171" s="301"/>
      <c r="L171" s="309" t="s">
        <v>1682</v>
      </c>
      <c r="M171" s="313" t="s">
        <v>1584</v>
      </c>
    </row>
    <row r="172" spans="4:13" customFormat="1">
      <c r="D172" s="300"/>
      <c r="E172" s="301"/>
      <c r="F172" s="301"/>
      <c r="G172" s="301"/>
      <c r="L172" s="309" t="s">
        <v>1685</v>
      </c>
      <c r="M172" s="313" t="s">
        <v>1585</v>
      </c>
    </row>
    <row r="173" spans="4:13" customFormat="1">
      <c r="D173" s="300"/>
      <c r="E173" s="301"/>
      <c r="F173" s="301"/>
      <c r="G173" s="301"/>
      <c r="L173" s="309" t="s">
        <v>1685</v>
      </c>
      <c r="M173" s="313" t="s">
        <v>1585</v>
      </c>
    </row>
    <row r="174" spans="4:13" customFormat="1">
      <c r="D174" s="300"/>
      <c r="E174" s="301"/>
      <c r="F174" s="301"/>
      <c r="G174" s="301"/>
      <c r="L174" s="309" t="s">
        <v>1685</v>
      </c>
      <c r="M174" s="313" t="s">
        <v>1585</v>
      </c>
    </row>
    <row r="175" spans="4:13" customFormat="1">
      <c r="D175" s="300"/>
      <c r="E175" s="301"/>
      <c r="F175" s="301"/>
      <c r="G175" s="301"/>
      <c r="L175" s="309" t="s">
        <v>1685</v>
      </c>
      <c r="M175" s="313" t="s">
        <v>1585</v>
      </c>
    </row>
    <row r="176" spans="4:13" customFormat="1">
      <c r="D176" s="300"/>
      <c r="E176" s="301"/>
      <c r="F176" s="301"/>
      <c r="G176" s="301"/>
      <c r="L176" s="309" t="s">
        <v>1685</v>
      </c>
      <c r="M176" s="313" t="s">
        <v>1585</v>
      </c>
    </row>
    <row r="177" spans="4:13" customFormat="1">
      <c r="D177" s="300"/>
      <c r="E177" s="301"/>
      <c r="F177" s="301"/>
      <c r="G177" s="301"/>
      <c r="L177" s="309" t="s">
        <v>1685</v>
      </c>
      <c r="M177" s="313" t="s">
        <v>1585</v>
      </c>
    </row>
    <row r="178" spans="4:13" customFormat="1">
      <c r="D178" s="300"/>
      <c r="E178" s="301"/>
      <c r="F178" s="301"/>
      <c r="G178" s="301"/>
      <c r="L178" s="309" t="s">
        <v>1685</v>
      </c>
      <c r="M178" s="313" t="s">
        <v>1585</v>
      </c>
    </row>
    <row r="179" spans="4:13" customFormat="1">
      <c r="D179" s="300"/>
      <c r="E179" s="301"/>
      <c r="F179" s="301"/>
      <c r="G179" s="301"/>
      <c r="L179" s="309" t="s">
        <v>1685</v>
      </c>
      <c r="M179" s="313" t="s">
        <v>1585</v>
      </c>
    </row>
    <row r="180" spans="4:13" customFormat="1">
      <c r="D180" s="300"/>
      <c r="E180" s="301"/>
      <c r="F180" s="301"/>
      <c r="G180" s="301"/>
      <c r="L180" s="309" t="s">
        <v>1685</v>
      </c>
      <c r="M180" s="313" t="s">
        <v>1585</v>
      </c>
    </row>
    <row r="181" spans="4:13" customFormat="1">
      <c r="D181" s="300"/>
      <c r="E181" s="301"/>
      <c r="F181" s="301"/>
      <c r="G181" s="301"/>
      <c r="L181" s="309" t="s">
        <v>1685</v>
      </c>
      <c r="M181" s="313" t="s">
        <v>1585</v>
      </c>
    </row>
    <row r="182" spans="4:13" customFormat="1">
      <c r="D182" s="300"/>
      <c r="E182" s="301"/>
      <c r="F182" s="301"/>
      <c r="G182" s="301"/>
      <c r="L182" s="309" t="s">
        <v>1689</v>
      </c>
      <c r="M182" s="313" t="s">
        <v>1586</v>
      </c>
    </row>
    <row r="183" spans="4:13" customFormat="1">
      <c r="D183" s="300"/>
      <c r="E183" s="301"/>
      <c r="F183" s="301"/>
      <c r="G183" s="301"/>
      <c r="L183" s="309" t="s">
        <v>1689</v>
      </c>
      <c r="M183" s="313" t="s">
        <v>1586</v>
      </c>
    </row>
    <row r="184" spans="4:13" customFormat="1">
      <c r="D184" s="300"/>
      <c r="E184" s="301"/>
      <c r="F184" s="301"/>
      <c r="G184" s="301"/>
      <c r="L184" s="309" t="s">
        <v>1689</v>
      </c>
      <c r="M184" s="313" t="s">
        <v>1586</v>
      </c>
    </row>
    <row r="185" spans="4:13" customFormat="1">
      <c r="D185" s="300"/>
      <c r="E185" s="301"/>
      <c r="F185" s="301"/>
      <c r="G185" s="301"/>
      <c r="L185" s="309" t="s">
        <v>1689</v>
      </c>
      <c r="M185" s="313" t="s">
        <v>1586</v>
      </c>
    </row>
    <row r="186" spans="4:13" customFormat="1">
      <c r="D186" s="300"/>
      <c r="E186" s="301"/>
      <c r="F186" s="301"/>
      <c r="G186" s="301"/>
      <c r="L186" s="309" t="s">
        <v>1689</v>
      </c>
      <c r="M186" s="313" t="s">
        <v>1586</v>
      </c>
    </row>
    <row r="187" spans="4:13" customFormat="1">
      <c r="D187" s="300"/>
      <c r="E187" s="301"/>
      <c r="F187" s="301"/>
      <c r="G187" s="301"/>
      <c r="L187" s="309" t="s">
        <v>1689</v>
      </c>
      <c r="M187" s="313" t="s">
        <v>1586</v>
      </c>
    </row>
    <row r="188" spans="4:13" customFormat="1">
      <c r="D188" s="300"/>
      <c r="E188" s="301"/>
      <c r="F188" s="301"/>
      <c r="G188" s="301"/>
      <c r="L188" s="309" t="s">
        <v>1689</v>
      </c>
      <c r="M188" s="313" t="s">
        <v>1586</v>
      </c>
    </row>
    <row r="189" spans="4:13" customFormat="1">
      <c r="D189" s="300"/>
      <c r="E189" s="301"/>
      <c r="F189" s="301"/>
      <c r="G189" s="301"/>
      <c r="L189" s="309" t="s">
        <v>1689</v>
      </c>
      <c r="M189" s="313" t="s">
        <v>1586</v>
      </c>
    </row>
    <row r="190" spans="4:13" customFormat="1">
      <c r="D190" s="300"/>
      <c r="E190" s="301"/>
      <c r="F190" s="301"/>
      <c r="G190" s="301"/>
      <c r="L190" s="309" t="s">
        <v>1689</v>
      </c>
      <c r="M190" s="313" t="s">
        <v>1586</v>
      </c>
    </row>
    <row r="191" spans="4:13" customFormat="1">
      <c r="D191" s="300"/>
      <c r="E191" s="301"/>
      <c r="F191" s="301"/>
      <c r="G191" s="301"/>
      <c r="L191" s="309" t="s">
        <v>1694</v>
      </c>
      <c r="M191" s="325" t="s">
        <v>1583</v>
      </c>
    </row>
    <row r="192" spans="4:13" customFormat="1">
      <c r="D192" s="300"/>
      <c r="E192" s="301"/>
      <c r="F192" s="301"/>
      <c r="G192" s="301"/>
      <c r="L192" s="309" t="s">
        <v>1694</v>
      </c>
      <c r="M192" s="325" t="s">
        <v>1583</v>
      </c>
    </row>
    <row r="193" spans="4:13" customFormat="1">
      <c r="D193" s="300"/>
      <c r="E193" s="301"/>
      <c r="F193" s="301"/>
      <c r="G193" s="301"/>
      <c r="L193" s="309" t="s">
        <v>1694</v>
      </c>
      <c r="M193" s="325" t="s">
        <v>1586</v>
      </c>
    </row>
    <row r="194" spans="4:13" customFormat="1">
      <c r="D194" s="300"/>
      <c r="E194" s="301"/>
      <c r="F194" s="301"/>
      <c r="G194" s="301"/>
      <c r="L194" s="309" t="s">
        <v>1694</v>
      </c>
      <c r="M194" s="325" t="s">
        <v>1586</v>
      </c>
    </row>
    <row r="195" spans="4:13" customFormat="1">
      <c r="D195" s="300"/>
      <c r="E195" s="301"/>
      <c r="F195" s="301"/>
      <c r="G195" s="301"/>
      <c r="L195" s="309" t="s">
        <v>1694</v>
      </c>
      <c r="M195" s="325" t="s">
        <v>1663</v>
      </c>
    </row>
    <row r="196" spans="4:13" customFormat="1">
      <c r="D196" s="300"/>
      <c r="E196" s="301"/>
      <c r="F196" s="301"/>
      <c r="G196" s="301"/>
      <c r="L196" s="309" t="s">
        <v>1699</v>
      </c>
      <c r="M196" s="313" t="s">
        <v>1587</v>
      </c>
    </row>
    <row r="197" spans="4:13" customFormat="1">
      <c r="D197" s="300"/>
      <c r="E197" s="301"/>
      <c r="F197" s="301"/>
      <c r="G197" s="301"/>
      <c r="L197" s="309" t="s">
        <v>1699</v>
      </c>
      <c r="M197" s="313" t="s">
        <v>1587</v>
      </c>
    </row>
    <row r="198" spans="4:13" customFormat="1">
      <c r="D198" s="300"/>
      <c r="E198" s="301"/>
      <c r="F198" s="301"/>
      <c r="G198" s="301"/>
      <c r="L198" s="309" t="s">
        <v>1699</v>
      </c>
      <c r="M198" s="313" t="s">
        <v>1587</v>
      </c>
    </row>
    <row r="199" spans="4:13" customFormat="1">
      <c r="D199" s="300"/>
      <c r="E199" s="301"/>
      <c r="F199" s="301"/>
      <c r="G199" s="301"/>
      <c r="L199" s="309" t="s">
        <v>1699</v>
      </c>
      <c r="M199" s="313" t="s">
        <v>1587</v>
      </c>
    </row>
    <row r="200" spans="4:13" customFormat="1">
      <c r="D200" s="300"/>
      <c r="E200" s="301"/>
      <c r="F200" s="301"/>
      <c r="G200" s="301"/>
      <c r="L200" s="309" t="s">
        <v>1699</v>
      </c>
      <c r="M200" s="313" t="s">
        <v>1587</v>
      </c>
    </row>
    <row r="201" spans="4:13" customFormat="1">
      <c r="D201" s="300"/>
      <c r="E201" s="301"/>
      <c r="F201" s="301"/>
      <c r="G201" s="301"/>
      <c r="L201" s="309" t="s">
        <v>1699</v>
      </c>
      <c r="M201" s="313" t="s">
        <v>1587</v>
      </c>
    </row>
    <row r="202" spans="4:13" customFormat="1">
      <c r="D202" s="300"/>
      <c r="E202" s="301"/>
      <c r="F202" s="301"/>
      <c r="G202" s="301"/>
      <c r="L202" s="309" t="s">
        <v>1699</v>
      </c>
      <c r="M202" s="313" t="s">
        <v>1587</v>
      </c>
    </row>
    <row r="203" spans="4:13" customFormat="1">
      <c r="D203" s="300"/>
      <c r="E203" s="301"/>
      <c r="F203" s="301"/>
      <c r="G203" s="301"/>
      <c r="L203" s="309" t="s">
        <v>1699</v>
      </c>
      <c r="M203" s="313" t="s">
        <v>1587</v>
      </c>
    </row>
    <row r="204" spans="4:13" customFormat="1">
      <c r="D204" s="300"/>
      <c r="E204" s="301"/>
      <c r="F204" s="301"/>
      <c r="G204" s="301"/>
      <c r="L204" s="309" t="s">
        <v>1706</v>
      </c>
      <c r="M204" s="313" t="s">
        <v>1588</v>
      </c>
    </row>
    <row r="205" spans="4:13" customFormat="1">
      <c r="D205" s="300"/>
      <c r="E205" s="301"/>
      <c r="F205" s="301"/>
      <c r="G205" s="301"/>
      <c r="L205" s="309" t="s">
        <v>1706</v>
      </c>
      <c r="M205" s="313" t="s">
        <v>1588</v>
      </c>
    </row>
    <row r="206" spans="4:13" customFormat="1">
      <c r="D206" s="300"/>
      <c r="E206" s="301"/>
      <c r="F206" s="301"/>
      <c r="G206" s="301"/>
      <c r="L206" s="309" t="s">
        <v>1706</v>
      </c>
      <c r="M206" s="313" t="s">
        <v>1588</v>
      </c>
    </row>
    <row r="207" spans="4:13" customFormat="1">
      <c r="D207" s="300"/>
      <c r="E207" s="301"/>
      <c r="F207" s="301"/>
      <c r="G207" s="301"/>
      <c r="L207" s="309" t="s">
        <v>1706</v>
      </c>
      <c r="M207" s="313" t="s">
        <v>1588</v>
      </c>
    </row>
    <row r="208" spans="4:13" customFormat="1">
      <c r="D208" s="300"/>
      <c r="E208" s="301"/>
      <c r="F208" s="301"/>
      <c r="G208" s="301"/>
      <c r="L208" s="309" t="s">
        <v>1706</v>
      </c>
      <c r="M208" s="313" t="s">
        <v>1588</v>
      </c>
    </row>
    <row r="209" spans="4:13" customFormat="1">
      <c r="D209" s="300"/>
      <c r="E209" s="301"/>
      <c r="F209" s="301"/>
      <c r="G209" s="301"/>
      <c r="L209" s="309" t="s">
        <v>1706</v>
      </c>
      <c r="M209" s="313" t="s">
        <v>1588</v>
      </c>
    </row>
    <row r="210" spans="4:13" customFormat="1">
      <c r="D210" s="300"/>
      <c r="E210" s="301"/>
      <c r="F210" s="301"/>
      <c r="G210" s="301"/>
      <c r="L210" s="309" t="s">
        <v>1713</v>
      </c>
      <c r="M210" s="313" t="s">
        <v>1589</v>
      </c>
    </row>
    <row r="211" spans="4:13" customFormat="1">
      <c r="D211" s="300"/>
      <c r="E211" s="301"/>
      <c r="F211" s="301"/>
      <c r="G211" s="301"/>
      <c r="L211" s="309" t="s">
        <v>1713</v>
      </c>
      <c r="M211" s="313" t="s">
        <v>1589</v>
      </c>
    </row>
    <row r="212" spans="4:13" customFormat="1">
      <c r="D212" s="300"/>
      <c r="E212" s="301"/>
      <c r="F212" s="301"/>
      <c r="G212" s="301"/>
      <c r="L212" s="309" t="s">
        <v>1713</v>
      </c>
      <c r="M212" s="313" t="s">
        <v>1589</v>
      </c>
    </row>
    <row r="213" spans="4:13" customFormat="1">
      <c r="D213" s="300"/>
      <c r="E213" s="301"/>
      <c r="F213" s="301"/>
      <c r="G213" s="301"/>
      <c r="L213" s="309" t="s">
        <v>1713</v>
      </c>
      <c r="M213" s="313" t="s">
        <v>1589</v>
      </c>
    </row>
    <row r="214" spans="4:13" customFormat="1">
      <c r="D214" s="300"/>
      <c r="E214" s="301"/>
      <c r="F214" s="301"/>
      <c r="G214" s="301"/>
      <c r="L214" s="309" t="s">
        <v>1713</v>
      </c>
      <c r="M214" s="313" t="s">
        <v>1589</v>
      </c>
    </row>
    <row r="215" spans="4:13" customFormat="1">
      <c r="D215" s="300"/>
      <c r="E215" s="301"/>
      <c r="F215" s="301"/>
      <c r="G215" s="301"/>
      <c r="L215" s="309" t="s">
        <v>1713</v>
      </c>
      <c r="M215" s="313" t="s">
        <v>1589</v>
      </c>
    </row>
    <row r="216" spans="4:13" customFormat="1">
      <c r="D216" s="300"/>
      <c r="E216" s="301"/>
      <c r="F216" s="301"/>
      <c r="G216" s="301"/>
      <c r="L216" s="309" t="s">
        <v>1713</v>
      </c>
      <c r="M216" s="313" t="s">
        <v>1589</v>
      </c>
    </row>
    <row r="217" spans="4:13" customFormat="1">
      <c r="D217" s="300"/>
      <c r="E217" s="301"/>
      <c r="F217" s="301"/>
      <c r="G217" s="301"/>
      <c r="L217" s="309" t="s">
        <v>1713</v>
      </c>
      <c r="M217" s="313" t="s">
        <v>1589</v>
      </c>
    </row>
    <row r="218" spans="4:13" customFormat="1">
      <c r="D218" s="300"/>
      <c r="E218" s="301"/>
      <c r="F218" s="301"/>
      <c r="G218" s="301"/>
      <c r="L218" s="309" t="s">
        <v>1713</v>
      </c>
      <c r="M218" s="313" t="s">
        <v>1589</v>
      </c>
    </row>
    <row r="219" spans="4:13" customFormat="1">
      <c r="D219" s="300"/>
      <c r="E219" s="301"/>
      <c r="F219" s="301"/>
      <c r="G219" s="301"/>
      <c r="L219" s="309" t="s">
        <v>1713</v>
      </c>
      <c r="M219" s="313" t="s">
        <v>1589</v>
      </c>
    </row>
    <row r="220" spans="4:13" customFormat="1">
      <c r="D220" s="300"/>
      <c r="E220" s="301"/>
      <c r="F220" s="301"/>
      <c r="G220" s="301"/>
      <c r="L220" s="309" t="s">
        <v>1713</v>
      </c>
      <c r="M220" s="313" t="s">
        <v>1589</v>
      </c>
    </row>
    <row r="221" spans="4:13" customFormat="1">
      <c r="D221" s="300"/>
      <c r="E221" s="301"/>
      <c r="F221" s="301"/>
      <c r="G221" s="301"/>
      <c r="L221" s="309" t="s">
        <v>1713</v>
      </c>
      <c r="M221" s="313" t="s">
        <v>1589</v>
      </c>
    </row>
    <row r="222" spans="4:13" customFormat="1">
      <c r="D222" s="300"/>
      <c r="E222" s="301"/>
      <c r="F222" s="301"/>
      <c r="G222" s="301"/>
      <c r="L222" s="309" t="s">
        <v>1721</v>
      </c>
      <c r="M222" s="313" t="s">
        <v>1590</v>
      </c>
    </row>
    <row r="223" spans="4:13" customFormat="1">
      <c r="D223" s="300"/>
      <c r="E223" s="301"/>
      <c r="F223" s="301"/>
      <c r="G223" s="301"/>
      <c r="L223" s="309" t="s">
        <v>1721</v>
      </c>
      <c r="M223" s="313" t="s">
        <v>1590</v>
      </c>
    </row>
    <row r="224" spans="4:13" customFormat="1">
      <c r="D224" s="300"/>
      <c r="E224" s="301"/>
      <c r="F224" s="301"/>
      <c r="G224" s="301"/>
      <c r="L224" s="309" t="s">
        <v>1721</v>
      </c>
      <c r="M224" s="313" t="s">
        <v>1590</v>
      </c>
    </row>
    <row r="225" spans="4:13" customFormat="1">
      <c r="D225" s="300"/>
      <c r="E225" s="301"/>
      <c r="F225" s="301"/>
      <c r="G225" s="301"/>
      <c r="L225" s="309" t="s">
        <v>1721</v>
      </c>
      <c r="M225" s="313" t="s">
        <v>1590</v>
      </c>
    </row>
    <row r="226" spans="4:13" customFormat="1">
      <c r="D226" s="300"/>
      <c r="E226" s="301"/>
      <c r="F226" s="301"/>
      <c r="G226" s="301"/>
      <c r="L226" s="309" t="s">
        <v>1721</v>
      </c>
      <c r="M226" s="313" t="s">
        <v>1590</v>
      </c>
    </row>
    <row r="227" spans="4:13" customFormat="1">
      <c r="D227" s="300"/>
      <c r="E227" s="301"/>
      <c r="F227" s="301"/>
      <c r="G227" s="301"/>
      <c r="L227" s="309" t="s">
        <v>1721</v>
      </c>
      <c r="M227" s="313" t="s">
        <v>1590</v>
      </c>
    </row>
    <row r="228" spans="4:13" customFormat="1">
      <c r="D228" s="300"/>
      <c r="E228" s="301"/>
      <c r="F228" s="301"/>
      <c r="G228" s="301"/>
      <c r="L228" s="309" t="s">
        <v>1721</v>
      </c>
      <c r="M228" s="313" t="s">
        <v>1590</v>
      </c>
    </row>
    <row r="229" spans="4:13" customFormat="1">
      <c r="D229" s="300"/>
      <c r="E229" s="301"/>
      <c r="F229" s="301"/>
      <c r="G229" s="301"/>
      <c r="L229" s="309" t="s">
        <v>1721</v>
      </c>
      <c r="M229" s="313" t="s">
        <v>1590</v>
      </c>
    </row>
    <row r="230" spans="4:13" customFormat="1">
      <c r="D230" s="300"/>
      <c r="E230" s="301"/>
      <c r="F230" s="301"/>
      <c r="G230" s="301"/>
      <c r="L230" s="309" t="s">
        <v>1721</v>
      </c>
      <c r="M230" s="313" t="s">
        <v>1590</v>
      </c>
    </row>
    <row r="231" spans="4:13" customFormat="1">
      <c r="D231" s="300"/>
      <c r="E231" s="301"/>
      <c r="F231" s="301"/>
      <c r="G231" s="301"/>
      <c r="L231" s="309" t="s">
        <v>1721</v>
      </c>
      <c r="M231" s="313" t="s">
        <v>1590</v>
      </c>
    </row>
    <row r="232" spans="4:13" customFormat="1">
      <c r="D232" s="300"/>
      <c r="E232" s="301"/>
      <c r="F232" s="301"/>
      <c r="G232" s="301"/>
      <c r="L232" s="309" t="s">
        <v>1728</v>
      </c>
      <c r="M232" s="313" t="s">
        <v>1591</v>
      </c>
    </row>
    <row r="233" spans="4:13" customFormat="1">
      <c r="D233" s="300"/>
      <c r="E233" s="301"/>
      <c r="F233" s="301"/>
      <c r="G233" s="301"/>
      <c r="L233" s="309" t="s">
        <v>1728</v>
      </c>
      <c r="M233" s="313" t="s">
        <v>1591</v>
      </c>
    </row>
    <row r="234" spans="4:13" customFormat="1">
      <c r="D234" s="300"/>
      <c r="E234" s="301"/>
      <c r="F234" s="301"/>
      <c r="G234" s="301"/>
      <c r="L234" s="309" t="s">
        <v>1728</v>
      </c>
      <c r="M234" s="313" t="s">
        <v>1591</v>
      </c>
    </row>
    <row r="235" spans="4:13" customFormat="1">
      <c r="D235" s="300"/>
      <c r="E235" s="301"/>
      <c r="F235" s="301"/>
      <c r="G235" s="301"/>
      <c r="L235" s="309" t="s">
        <v>1728</v>
      </c>
      <c r="M235" s="313" t="s">
        <v>1591</v>
      </c>
    </row>
    <row r="236" spans="4:13" customFormat="1">
      <c r="D236" s="300"/>
      <c r="E236" s="301"/>
      <c r="F236" s="301"/>
      <c r="G236" s="301"/>
      <c r="L236" s="309" t="s">
        <v>1728</v>
      </c>
      <c r="M236" s="313" t="s">
        <v>1591</v>
      </c>
    </row>
    <row r="237" spans="4:13" customFormat="1">
      <c r="D237" s="300"/>
      <c r="E237" s="301"/>
      <c r="F237" s="301"/>
      <c r="G237" s="301"/>
      <c r="L237" s="309" t="s">
        <v>1728</v>
      </c>
      <c r="M237" s="313" t="s">
        <v>1591</v>
      </c>
    </row>
    <row r="238" spans="4:13" customFormat="1">
      <c r="D238" s="300"/>
      <c r="E238" s="301"/>
      <c r="F238" s="301"/>
      <c r="G238" s="301"/>
      <c r="L238" s="309" t="s">
        <v>1728</v>
      </c>
      <c r="M238" s="313" t="s">
        <v>1591</v>
      </c>
    </row>
    <row r="239" spans="4:13" customFormat="1">
      <c r="D239" s="300"/>
      <c r="E239" s="301"/>
      <c r="F239" s="301"/>
      <c r="G239" s="301"/>
      <c r="L239" s="309" t="s">
        <v>1728</v>
      </c>
      <c r="M239" s="313" t="s">
        <v>1591</v>
      </c>
    </row>
    <row r="240" spans="4:13" customFormat="1">
      <c r="D240" s="300"/>
      <c r="E240" s="301"/>
      <c r="F240" s="301"/>
      <c r="G240" s="301"/>
      <c r="L240" s="309" t="s">
        <v>1735</v>
      </c>
      <c r="M240" s="325" t="s">
        <v>1590</v>
      </c>
    </row>
    <row r="241" spans="4:13" customFormat="1">
      <c r="D241" s="300"/>
      <c r="E241" s="301"/>
      <c r="F241" s="301"/>
      <c r="G241" s="301"/>
      <c r="L241" s="309" t="s">
        <v>1735</v>
      </c>
      <c r="M241" s="325" t="s">
        <v>1588</v>
      </c>
    </row>
    <row r="242" spans="4:13" customFormat="1">
      <c r="D242" s="300"/>
      <c r="E242" s="301"/>
      <c r="F242" s="301"/>
      <c r="G242" s="301"/>
      <c r="L242" s="309" t="s">
        <v>1735</v>
      </c>
      <c r="M242" s="325" t="s">
        <v>1589</v>
      </c>
    </row>
    <row r="243" spans="4:13" customFormat="1">
      <c r="D243" s="300"/>
      <c r="E243" s="301"/>
      <c r="F243" s="301"/>
      <c r="G243" s="301"/>
      <c r="L243" s="309" t="s">
        <v>1735</v>
      </c>
      <c r="M243" s="325" t="s">
        <v>1589</v>
      </c>
    </row>
    <row r="244" spans="4:13" customFormat="1">
      <c r="D244" s="300"/>
      <c r="E244" s="301"/>
      <c r="F244" s="301"/>
      <c r="G244" s="301"/>
      <c r="L244" s="309" t="s">
        <v>1735</v>
      </c>
      <c r="M244" s="325" t="s">
        <v>1592</v>
      </c>
    </row>
    <row r="245" spans="4:13" customFormat="1">
      <c r="D245" s="300"/>
      <c r="E245" s="301"/>
      <c r="F245" s="301"/>
      <c r="G245" s="301"/>
      <c r="L245" s="309" t="s">
        <v>1735</v>
      </c>
      <c r="M245" s="325" t="s">
        <v>1592</v>
      </c>
    </row>
    <row r="246" spans="4:13" customFormat="1">
      <c r="D246" s="300"/>
      <c r="E246" s="301"/>
      <c r="F246" s="301"/>
      <c r="G246" s="301"/>
      <c r="L246" s="309" t="s">
        <v>1735</v>
      </c>
      <c r="M246" s="325" t="s">
        <v>1588</v>
      </c>
    </row>
    <row r="247" spans="4:13" customFormat="1">
      <c r="D247" s="300"/>
      <c r="E247" s="301"/>
      <c r="F247" s="301"/>
      <c r="G247" s="301"/>
      <c r="L247" s="309" t="s">
        <v>1744</v>
      </c>
      <c r="M247" s="313" t="s">
        <v>1592</v>
      </c>
    </row>
    <row r="248" spans="4:13" customFormat="1">
      <c r="D248" s="300"/>
      <c r="E248" s="301"/>
      <c r="F248" s="301"/>
      <c r="G248" s="301"/>
      <c r="L248" s="309" t="s">
        <v>1744</v>
      </c>
      <c r="M248" s="313" t="s">
        <v>1592</v>
      </c>
    </row>
    <row r="249" spans="4:13" customFormat="1">
      <c r="D249" s="300"/>
      <c r="E249" s="301"/>
      <c r="F249" s="301"/>
      <c r="G249" s="301"/>
      <c r="L249" s="309" t="s">
        <v>1744</v>
      </c>
      <c r="M249" s="313" t="s">
        <v>1592</v>
      </c>
    </row>
    <row r="250" spans="4:13" customFormat="1">
      <c r="D250" s="300"/>
      <c r="E250" s="301"/>
      <c r="F250" s="301"/>
      <c r="G250" s="301"/>
      <c r="L250" s="309" t="s">
        <v>1744</v>
      </c>
      <c r="M250" s="313" t="s">
        <v>1592</v>
      </c>
    </row>
    <row r="251" spans="4:13" customFormat="1">
      <c r="D251" s="300"/>
      <c r="E251" s="301"/>
      <c r="F251" s="301"/>
      <c r="G251" s="301"/>
      <c r="L251" s="309" t="s">
        <v>1744</v>
      </c>
      <c r="M251" s="313" t="s">
        <v>1592</v>
      </c>
    </row>
    <row r="252" spans="4:13" customFormat="1">
      <c r="D252" s="300"/>
      <c r="E252" s="301"/>
      <c r="F252" s="301"/>
      <c r="G252" s="301"/>
      <c r="L252" s="309" t="s">
        <v>1744</v>
      </c>
      <c r="M252" s="313" t="s">
        <v>1592</v>
      </c>
    </row>
    <row r="253" spans="4:13" customFormat="1">
      <c r="D253" s="300"/>
      <c r="E253" s="301"/>
      <c r="F253" s="301"/>
      <c r="G253" s="301"/>
      <c r="L253" s="309" t="s">
        <v>1744</v>
      </c>
      <c r="M253" s="313" t="s">
        <v>1592</v>
      </c>
    </row>
    <row r="254" spans="4:13" customFormat="1">
      <c r="D254" s="300"/>
      <c r="E254" s="301"/>
      <c r="F254" s="301"/>
      <c r="G254" s="301"/>
      <c r="L254" s="309" t="s">
        <v>1744</v>
      </c>
      <c r="M254" s="313" t="s">
        <v>1592</v>
      </c>
    </row>
    <row r="255" spans="4:13" customFormat="1">
      <c r="D255" s="300"/>
      <c r="E255" s="301"/>
      <c r="F255" s="301"/>
      <c r="G255" s="301"/>
      <c r="L255" s="309" t="s">
        <v>1744</v>
      </c>
      <c r="M255" s="313" t="s">
        <v>1592</v>
      </c>
    </row>
    <row r="256" spans="4:13" customFormat="1">
      <c r="D256" s="300"/>
      <c r="E256" s="301"/>
      <c r="F256" s="301"/>
      <c r="G256" s="301"/>
      <c r="L256" s="309" t="s">
        <v>1744</v>
      </c>
      <c r="M256" s="313" t="s">
        <v>1592</v>
      </c>
    </row>
    <row r="257" spans="1:13">
      <c r="A257"/>
      <c r="B257"/>
      <c r="I257"/>
      <c r="J257"/>
      <c r="L257" s="309" t="s">
        <v>1744</v>
      </c>
      <c r="M257" s="313" t="s">
        <v>1592</v>
      </c>
    </row>
    <row r="258" spans="1:13">
      <c r="A258"/>
      <c r="B258"/>
      <c r="I258"/>
      <c r="J258"/>
      <c r="L258" s="309" t="s">
        <v>1744</v>
      </c>
      <c r="M258" s="313" t="s">
        <v>1592</v>
      </c>
    </row>
    <row r="259" spans="1:13">
      <c r="A259"/>
      <c r="B259"/>
      <c r="I259"/>
      <c r="J259"/>
      <c r="L259" s="309" t="s">
        <v>1744</v>
      </c>
      <c r="M259" s="313" t="s">
        <v>1592</v>
      </c>
    </row>
    <row r="260" spans="1:13" ht="15" thickBot="1">
      <c r="A260"/>
      <c r="B260"/>
      <c r="I260"/>
      <c r="J260"/>
      <c r="L260" s="340" t="s">
        <v>1744</v>
      </c>
      <c r="M260" s="341" t="s">
        <v>1592</v>
      </c>
    </row>
    <row r="261" spans="1:13">
      <c r="A261"/>
      <c r="B261"/>
      <c r="I261"/>
      <c r="J261"/>
    </row>
    <row r="262" spans="1:13">
      <c r="A262"/>
      <c r="B262"/>
      <c r="I262"/>
      <c r="J262"/>
    </row>
    <row r="263" spans="1:13">
      <c r="A263"/>
      <c r="B263"/>
      <c r="I263"/>
      <c r="J263"/>
    </row>
    <row r="264" spans="1:13">
      <c r="A264"/>
      <c r="B264"/>
      <c r="I264"/>
      <c r="J264"/>
    </row>
    <row r="265" spans="1:13">
      <c r="A265"/>
      <c r="B265"/>
      <c r="I265"/>
      <c r="J265"/>
    </row>
    <row r="266" spans="1:13">
      <c r="A266"/>
      <c r="B266"/>
      <c r="I266"/>
      <c r="J266"/>
    </row>
  </sheetData>
  <autoFilter ref="I2:J2" xr:uid="{FB9C1B84-CF9D-4368-B6B2-F65E70FCCEB4}">
    <sortState xmlns:xlrd2="http://schemas.microsoft.com/office/spreadsheetml/2017/richdata2" ref="I3:J28">
      <sortCondition ref="I2"/>
    </sortState>
  </autoFilter>
  <mergeCells count="4">
    <mergeCell ref="D2:D8"/>
    <mergeCell ref="D9:D13"/>
    <mergeCell ref="D14:D20"/>
    <mergeCell ref="D21:D27"/>
  </mergeCells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547A-9B81-4991-9EDF-1039FE76E9DB}">
  <sheetPr codeName="Planilha7"/>
  <dimension ref="A1:J266"/>
  <sheetViews>
    <sheetView workbookViewId="0">
      <selection activeCell="I1" sqref="I1"/>
    </sheetView>
  </sheetViews>
  <sheetFormatPr defaultRowHeight="14.45"/>
  <cols>
    <col min="1" max="1" width="25.42578125" style="259" bestFit="1" customWidth="1"/>
    <col min="2" max="2" width="18.85546875" style="254" customWidth="1"/>
    <col min="3" max="3" width="18.85546875" style="3" hidden="1" customWidth="1"/>
    <col min="4" max="4" width="18.85546875" style="3" customWidth="1"/>
    <col min="6" max="6" width="8.85546875" customWidth="1"/>
    <col min="7" max="7" width="40.85546875" bestFit="1" customWidth="1"/>
    <col min="8" max="8" width="21.85546875" bestFit="1" customWidth="1"/>
    <col min="9" max="9" width="13.140625" bestFit="1" customWidth="1"/>
    <col min="10" max="10" width="13.5703125" bestFit="1" customWidth="1"/>
    <col min="16383" max="16383" width="8.85546875" bestFit="1" customWidth="1"/>
    <col min="16384" max="16384" width="8.85546875" customWidth="1"/>
  </cols>
  <sheetData>
    <row r="1" spans="1:10">
      <c r="A1" s="255" t="s">
        <v>1593</v>
      </c>
      <c r="B1" s="251" t="s">
        <v>2267</v>
      </c>
      <c r="C1" s="262" t="s">
        <v>2268</v>
      </c>
      <c r="D1" s="262" t="s">
        <v>2269</v>
      </c>
      <c r="G1" s="255" t="s">
        <v>2270</v>
      </c>
      <c r="H1" s="255" t="s">
        <v>1593</v>
      </c>
      <c r="I1" s="251" t="s">
        <v>2267</v>
      </c>
      <c r="J1" s="262" t="s">
        <v>2269</v>
      </c>
    </row>
    <row r="2" spans="1:10">
      <c r="A2" s="256" t="s">
        <v>1712</v>
      </c>
      <c r="B2" s="252" t="s">
        <v>2271</v>
      </c>
      <c r="C2" s="263" t="s">
        <v>2272</v>
      </c>
      <c r="D2" s="263" t="s">
        <v>2272</v>
      </c>
      <c r="G2" s="250" t="s">
        <v>898</v>
      </c>
      <c r="H2" s="250" t="s">
        <v>1712</v>
      </c>
      <c r="I2" s="250" t="s">
        <v>2271</v>
      </c>
      <c r="J2" s="263" t="s">
        <v>2273</v>
      </c>
    </row>
    <row r="3" spans="1:10">
      <c r="A3" s="256" t="s">
        <v>1635</v>
      </c>
      <c r="B3" s="252" t="s">
        <v>2271</v>
      </c>
      <c r="C3" s="263" t="s">
        <v>2272</v>
      </c>
      <c r="D3" s="263" t="s">
        <v>2272</v>
      </c>
      <c r="G3" s="250" t="s">
        <v>901</v>
      </c>
      <c r="H3" s="250" t="s">
        <v>1712</v>
      </c>
      <c r="I3" s="250" t="s">
        <v>2271</v>
      </c>
      <c r="J3" s="263" t="s">
        <v>2273</v>
      </c>
    </row>
    <row r="4" spans="1:10">
      <c r="A4" s="256" t="s">
        <v>1599</v>
      </c>
      <c r="B4" s="252" t="s">
        <v>2271</v>
      </c>
      <c r="C4" s="263" t="s">
        <v>2272</v>
      </c>
      <c r="D4" s="263" t="s">
        <v>2272</v>
      </c>
      <c r="G4" s="250" t="s">
        <v>316</v>
      </c>
      <c r="H4" s="250" t="s">
        <v>1635</v>
      </c>
      <c r="I4" s="250" t="s">
        <v>2271</v>
      </c>
      <c r="J4" s="263" t="s">
        <v>2272</v>
      </c>
    </row>
    <row r="5" spans="1:10">
      <c r="A5" s="256" t="s">
        <v>1658</v>
      </c>
      <c r="B5" s="252" t="s">
        <v>2271</v>
      </c>
      <c r="C5" s="263" t="s">
        <v>2272</v>
      </c>
      <c r="D5" s="263" t="s">
        <v>2272</v>
      </c>
      <c r="G5" s="250" t="s">
        <v>322</v>
      </c>
      <c r="H5" s="250" t="s">
        <v>1635</v>
      </c>
      <c r="I5" s="250" t="s">
        <v>2271</v>
      </c>
      <c r="J5" s="263" t="s">
        <v>2272</v>
      </c>
    </row>
    <row r="6" spans="1:10">
      <c r="A6" s="256" t="s">
        <v>1681</v>
      </c>
      <c r="B6" s="252" t="s">
        <v>2271</v>
      </c>
      <c r="C6" s="263" t="s">
        <v>2272</v>
      </c>
      <c r="D6" s="263" t="s">
        <v>2272</v>
      </c>
      <c r="G6" s="250" t="s">
        <v>58</v>
      </c>
      <c r="H6" s="250" t="s">
        <v>1599</v>
      </c>
      <c r="I6" s="250" t="s">
        <v>2271</v>
      </c>
      <c r="J6" s="263" t="s">
        <v>2272</v>
      </c>
    </row>
    <row r="7" spans="1:10">
      <c r="A7" s="256" t="s">
        <v>1626</v>
      </c>
      <c r="B7" s="252" t="s">
        <v>2271</v>
      </c>
      <c r="C7" s="263" t="s">
        <v>2272</v>
      </c>
      <c r="D7" s="263" t="s">
        <v>2272</v>
      </c>
      <c r="G7" s="250" t="s">
        <v>454</v>
      </c>
      <c r="H7" s="250" t="s">
        <v>1658</v>
      </c>
      <c r="I7" s="250" t="s">
        <v>2271</v>
      </c>
      <c r="J7" s="263" t="s">
        <v>2273</v>
      </c>
    </row>
    <row r="8" spans="1:10">
      <c r="A8" s="256" t="s">
        <v>1605</v>
      </c>
      <c r="B8" s="252" t="s">
        <v>2271</v>
      </c>
      <c r="C8" s="263" t="s">
        <v>2272</v>
      </c>
      <c r="D8" s="263" t="s">
        <v>2272</v>
      </c>
      <c r="G8" s="250" t="s">
        <v>456</v>
      </c>
      <c r="H8" s="250" t="s">
        <v>1658</v>
      </c>
      <c r="I8" s="250" t="s">
        <v>2271</v>
      </c>
      <c r="J8" s="263" t="s">
        <v>2272</v>
      </c>
    </row>
    <row r="9" spans="1:10">
      <c r="A9" s="256" t="s">
        <v>1722</v>
      </c>
      <c r="B9" s="252" t="s">
        <v>2271</v>
      </c>
      <c r="C9" s="263" t="s">
        <v>2272</v>
      </c>
      <c r="D9" s="263" t="s">
        <v>2272</v>
      </c>
      <c r="G9" s="250" t="s">
        <v>461</v>
      </c>
      <c r="H9" s="250" t="s">
        <v>1658</v>
      </c>
      <c r="I9" s="250" t="s">
        <v>2271</v>
      </c>
      <c r="J9" s="263" t="s">
        <v>2273</v>
      </c>
    </row>
    <row r="10" spans="1:10">
      <c r="A10" s="256" t="s">
        <v>1678</v>
      </c>
      <c r="B10" s="252" t="s">
        <v>2271</v>
      </c>
      <c r="C10" s="263" t="s">
        <v>2272</v>
      </c>
      <c r="D10" s="263" t="s">
        <v>2272</v>
      </c>
      <c r="G10" s="250" t="s">
        <v>464</v>
      </c>
      <c r="H10" s="250" t="s">
        <v>1658</v>
      </c>
      <c r="I10" s="250" t="s">
        <v>2271</v>
      </c>
      <c r="J10" s="263" t="s">
        <v>2272</v>
      </c>
    </row>
    <row r="11" spans="1:10">
      <c r="A11" s="256" t="s">
        <v>1641</v>
      </c>
      <c r="B11" s="252" t="s">
        <v>2271</v>
      </c>
      <c r="C11" s="263" t="s">
        <v>2272</v>
      </c>
      <c r="D11" s="263" t="s">
        <v>2272</v>
      </c>
      <c r="G11" s="250" t="s">
        <v>646</v>
      </c>
      <c r="H11" s="250" t="s">
        <v>1681</v>
      </c>
      <c r="I11" s="250" t="s">
        <v>2271</v>
      </c>
      <c r="J11" s="263" t="s">
        <v>2272</v>
      </c>
    </row>
    <row r="12" spans="1:10">
      <c r="A12" s="256" t="s">
        <v>1597</v>
      </c>
      <c r="B12" s="252" t="s">
        <v>2271</v>
      </c>
      <c r="C12" s="263" t="s">
        <v>2272</v>
      </c>
      <c r="D12" s="263" t="s">
        <v>2272</v>
      </c>
      <c r="G12" s="250" t="s">
        <v>652</v>
      </c>
      <c r="H12" s="250" t="s">
        <v>1681</v>
      </c>
      <c r="I12" s="250" t="s">
        <v>2271</v>
      </c>
      <c r="J12" s="263" t="s">
        <v>2272</v>
      </c>
    </row>
    <row r="13" spans="1:10">
      <c r="A13" s="256" t="s">
        <v>1690</v>
      </c>
      <c r="B13" s="252" t="s">
        <v>2271</v>
      </c>
      <c r="C13" s="263" t="s">
        <v>2272</v>
      </c>
      <c r="D13" s="263" t="s">
        <v>2272</v>
      </c>
      <c r="G13" s="250" t="s">
        <v>657</v>
      </c>
      <c r="H13" s="250" t="s">
        <v>1681</v>
      </c>
      <c r="I13" s="250" t="s">
        <v>2271</v>
      </c>
      <c r="J13" s="263" t="s">
        <v>2272</v>
      </c>
    </row>
    <row r="14" spans="1:10">
      <c r="A14" s="256" t="s">
        <v>1686</v>
      </c>
      <c r="B14" s="252" t="s">
        <v>2271</v>
      </c>
      <c r="C14" s="263" t="s">
        <v>2272</v>
      </c>
      <c r="D14" s="263" t="s">
        <v>2272</v>
      </c>
      <c r="G14" s="250" t="s">
        <v>662</v>
      </c>
      <c r="H14" s="250" t="s">
        <v>1681</v>
      </c>
      <c r="I14" s="250" t="s">
        <v>2271</v>
      </c>
      <c r="J14" s="263" t="s">
        <v>2272</v>
      </c>
    </row>
    <row r="15" spans="1:10">
      <c r="A15" s="256" t="s">
        <v>1707</v>
      </c>
      <c r="B15" s="252" t="s">
        <v>2271</v>
      </c>
      <c r="C15" s="263" t="s">
        <v>2272</v>
      </c>
      <c r="D15" s="263" t="s">
        <v>2272</v>
      </c>
      <c r="G15" s="250" t="s">
        <v>101</v>
      </c>
      <c r="H15" s="250" t="s">
        <v>1626</v>
      </c>
      <c r="I15" s="250" t="s">
        <v>2271</v>
      </c>
      <c r="J15" s="263" t="s">
        <v>2272</v>
      </c>
    </row>
    <row r="16" spans="1:10">
      <c r="A16" s="256" t="s">
        <v>1688</v>
      </c>
      <c r="B16" s="252" t="s">
        <v>2271</v>
      </c>
      <c r="C16" s="263" t="s">
        <v>2272</v>
      </c>
      <c r="D16" s="263" t="s">
        <v>2272</v>
      </c>
      <c r="G16" s="250" t="s">
        <v>108</v>
      </c>
      <c r="H16" s="250" t="s">
        <v>1626</v>
      </c>
      <c r="I16" s="250" t="s">
        <v>2271</v>
      </c>
      <c r="J16" s="263" t="s">
        <v>2272</v>
      </c>
    </row>
    <row r="17" spans="1:10">
      <c r="A17" s="256" t="s">
        <v>1610</v>
      </c>
      <c r="B17" s="252" t="s">
        <v>2271</v>
      </c>
      <c r="C17" s="263" t="s">
        <v>2272</v>
      </c>
      <c r="D17" s="263" t="s">
        <v>2272</v>
      </c>
      <c r="G17" s="250" t="s">
        <v>111</v>
      </c>
      <c r="H17" s="250" t="s">
        <v>1626</v>
      </c>
      <c r="I17" s="250" t="s">
        <v>2271</v>
      </c>
      <c r="J17" s="263" t="s">
        <v>2272</v>
      </c>
    </row>
    <row r="18" spans="1:10">
      <c r="A18" s="256" t="s">
        <v>1633</v>
      </c>
      <c r="B18" s="252" t="s">
        <v>2271</v>
      </c>
      <c r="C18" s="263" t="s">
        <v>2272</v>
      </c>
      <c r="D18" s="263" t="s">
        <v>2272</v>
      </c>
      <c r="G18" s="250" t="s">
        <v>114</v>
      </c>
      <c r="H18" s="250" t="s">
        <v>1626</v>
      </c>
      <c r="I18" s="250" t="s">
        <v>2271</v>
      </c>
      <c r="J18" s="263" t="s">
        <v>2272</v>
      </c>
    </row>
    <row r="19" spans="1:10">
      <c r="A19" s="256" t="s">
        <v>1738</v>
      </c>
      <c r="B19" s="252" t="s">
        <v>2271</v>
      </c>
      <c r="C19" s="263" t="s">
        <v>2272</v>
      </c>
      <c r="D19" s="263" t="s">
        <v>2272</v>
      </c>
      <c r="G19" s="250" t="s">
        <v>117</v>
      </c>
      <c r="H19" s="250" t="s">
        <v>1626</v>
      </c>
      <c r="I19" s="250" t="s">
        <v>2271</v>
      </c>
      <c r="J19" s="263" t="s">
        <v>2273</v>
      </c>
    </row>
    <row r="20" spans="1:10">
      <c r="A20" s="256" t="s">
        <v>1680</v>
      </c>
      <c r="B20" s="252" t="s">
        <v>2271</v>
      </c>
      <c r="C20" s="263" t="s">
        <v>2272</v>
      </c>
      <c r="D20" s="263" t="s">
        <v>2272</v>
      </c>
      <c r="G20" s="250" t="s">
        <v>137</v>
      </c>
      <c r="H20" s="250" t="s">
        <v>1605</v>
      </c>
      <c r="I20" s="250" t="s">
        <v>2271</v>
      </c>
      <c r="J20" s="263" t="s">
        <v>2272</v>
      </c>
    </row>
    <row r="21" spans="1:10">
      <c r="A21" s="256" t="s">
        <v>1691</v>
      </c>
      <c r="B21" s="252" t="s">
        <v>2271</v>
      </c>
      <c r="C21" s="263" t="s">
        <v>2272</v>
      </c>
      <c r="D21" s="263" t="s">
        <v>2272</v>
      </c>
      <c r="G21" s="250" t="s">
        <v>142</v>
      </c>
      <c r="H21" s="250" t="s">
        <v>1605</v>
      </c>
      <c r="I21" s="250" t="s">
        <v>2271</v>
      </c>
      <c r="J21" s="263" t="s">
        <v>2273</v>
      </c>
    </row>
    <row r="22" spans="1:10">
      <c r="A22" s="256" t="s">
        <v>1619</v>
      </c>
      <c r="B22" s="252" t="s">
        <v>2271</v>
      </c>
      <c r="C22" s="263" t="s">
        <v>2272</v>
      </c>
      <c r="D22" s="263" t="s">
        <v>2272</v>
      </c>
      <c r="G22" s="250" t="s">
        <v>1818</v>
      </c>
      <c r="H22" s="250" t="s">
        <v>1605</v>
      </c>
      <c r="I22" s="250" t="s">
        <v>2271</v>
      </c>
      <c r="J22" s="263" t="s">
        <v>2272</v>
      </c>
    </row>
    <row r="23" spans="1:10">
      <c r="A23" s="256" t="s">
        <v>1745</v>
      </c>
      <c r="B23" s="252" t="s">
        <v>2271</v>
      </c>
      <c r="C23" s="263" t="s">
        <v>2272</v>
      </c>
      <c r="D23" s="263" t="s">
        <v>2272</v>
      </c>
      <c r="G23" s="250" t="s">
        <v>148</v>
      </c>
      <c r="H23" s="250" t="s">
        <v>1605</v>
      </c>
      <c r="I23" s="250" t="s">
        <v>2271</v>
      </c>
      <c r="J23" s="263" t="s">
        <v>2272</v>
      </c>
    </row>
    <row r="24" spans="1:10">
      <c r="A24" s="256" t="s">
        <v>1748</v>
      </c>
      <c r="B24" s="252" t="s">
        <v>2271</v>
      </c>
      <c r="C24" s="263" t="s">
        <v>2272</v>
      </c>
      <c r="D24" s="263" t="s">
        <v>2272</v>
      </c>
      <c r="G24" s="250" t="s">
        <v>151</v>
      </c>
      <c r="H24" s="250" t="s">
        <v>1605</v>
      </c>
      <c r="I24" s="250" t="s">
        <v>2271</v>
      </c>
      <c r="J24" s="263" t="s">
        <v>2273</v>
      </c>
    </row>
    <row r="25" spans="1:10">
      <c r="A25" s="256" t="s">
        <v>1747</v>
      </c>
      <c r="B25" s="252" t="s">
        <v>2271</v>
      </c>
      <c r="C25" s="263" t="s">
        <v>2272</v>
      </c>
      <c r="D25" s="263" t="s">
        <v>2272</v>
      </c>
      <c r="G25" s="250" t="s">
        <v>154</v>
      </c>
      <c r="H25" s="250" t="s">
        <v>1605</v>
      </c>
      <c r="I25" s="250" t="s">
        <v>2271</v>
      </c>
      <c r="J25" s="263" t="s">
        <v>2272</v>
      </c>
    </row>
    <row r="26" spans="1:10">
      <c r="A26" s="256" t="s">
        <v>1746</v>
      </c>
      <c r="B26" s="252" t="s">
        <v>2271</v>
      </c>
      <c r="C26" s="263" t="s">
        <v>2272</v>
      </c>
      <c r="D26" s="263" t="s">
        <v>2272</v>
      </c>
      <c r="G26" s="250" t="s">
        <v>1821</v>
      </c>
      <c r="H26" s="250" t="s">
        <v>1722</v>
      </c>
      <c r="I26" s="250" t="s">
        <v>2271</v>
      </c>
      <c r="J26" s="263" t="s">
        <v>2272</v>
      </c>
    </row>
    <row r="27" spans="1:10">
      <c r="A27" s="256" t="s">
        <v>1612</v>
      </c>
      <c r="B27" s="252" t="s">
        <v>2271</v>
      </c>
      <c r="C27" s="263" t="s">
        <v>2272</v>
      </c>
      <c r="D27" s="263" t="s">
        <v>2272</v>
      </c>
      <c r="G27" s="250" t="s">
        <v>1156</v>
      </c>
      <c r="H27" s="250" t="s">
        <v>1678</v>
      </c>
      <c r="I27" s="250" t="s">
        <v>2271</v>
      </c>
      <c r="J27" s="263" t="s">
        <v>2272</v>
      </c>
    </row>
    <row r="28" spans="1:10">
      <c r="A28" s="256" t="s">
        <v>1639</v>
      </c>
      <c r="B28" s="252" t="s">
        <v>2271</v>
      </c>
      <c r="C28" s="263" t="s">
        <v>2272</v>
      </c>
      <c r="D28" s="263" t="s">
        <v>2274</v>
      </c>
      <c r="G28" s="250" t="s">
        <v>666</v>
      </c>
      <c r="H28" s="250" t="s">
        <v>1678</v>
      </c>
      <c r="I28" s="250" t="s">
        <v>2271</v>
      </c>
      <c r="J28" s="263" t="s">
        <v>2272</v>
      </c>
    </row>
    <row r="29" spans="1:10">
      <c r="A29" s="256" t="s">
        <v>1653</v>
      </c>
      <c r="B29" s="252" t="s">
        <v>2271</v>
      </c>
      <c r="C29" s="263" t="s">
        <v>2272</v>
      </c>
      <c r="D29" s="263" t="s">
        <v>2272</v>
      </c>
      <c r="G29" s="250" t="s">
        <v>673</v>
      </c>
      <c r="H29" s="250" t="s">
        <v>1678</v>
      </c>
      <c r="I29" s="250" t="s">
        <v>2271</v>
      </c>
      <c r="J29" s="263" t="s">
        <v>2273</v>
      </c>
    </row>
    <row r="30" spans="1:10">
      <c r="A30" s="256" t="s">
        <v>1717</v>
      </c>
      <c r="B30" s="252" t="s">
        <v>2271</v>
      </c>
      <c r="C30" s="263" t="s">
        <v>2272</v>
      </c>
      <c r="D30" s="263" t="s">
        <v>2272</v>
      </c>
      <c r="G30" s="250" t="s">
        <v>2275</v>
      </c>
      <c r="H30" s="250" t="s">
        <v>1678</v>
      </c>
      <c r="I30" s="250" t="s">
        <v>2271</v>
      </c>
      <c r="J30" s="263" t="s">
        <v>2273</v>
      </c>
    </row>
    <row r="31" spans="1:10">
      <c r="A31" s="256" t="s">
        <v>1700</v>
      </c>
      <c r="B31" s="252" t="s">
        <v>2271</v>
      </c>
      <c r="C31" s="263" t="s">
        <v>2272</v>
      </c>
      <c r="D31" s="263" t="s">
        <v>2272</v>
      </c>
      <c r="G31" s="250" t="s">
        <v>475</v>
      </c>
      <c r="H31" s="250" t="s">
        <v>1641</v>
      </c>
      <c r="I31" s="250" t="s">
        <v>2271</v>
      </c>
      <c r="J31" s="263" t="s">
        <v>2272</v>
      </c>
    </row>
    <row r="32" spans="1:10">
      <c r="A32" s="256" t="s">
        <v>1718</v>
      </c>
      <c r="B32" s="252" t="s">
        <v>2271</v>
      </c>
      <c r="C32" s="263" t="s">
        <v>2272</v>
      </c>
      <c r="D32" s="263" t="s">
        <v>2272</v>
      </c>
      <c r="G32" s="250" t="s">
        <v>65</v>
      </c>
      <c r="H32" s="250" t="s">
        <v>1597</v>
      </c>
      <c r="I32" s="250" t="s">
        <v>2271</v>
      </c>
      <c r="J32" s="263" t="s">
        <v>2272</v>
      </c>
    </row>
    <row r="33" spans="1:10">
      <c r="A33" s="256" t="s">
        <v>1716</v>
      </c>
      <c r="B33" s="252" t="s">
        <v>2271</v>
      </c>
      <c r="C33" s="263" t="s">
        <v>2272</v>
      </c>
      <c r="D33" s="263" t="s">
        <v>2272</v>
      </c>
      <c r="G33" s="250" t="s">
        <v>72</v>
      </c>
      <c r="H33" s="250" t="s">
        <v>1597</v>
      </c>
      <c r="I33" s="250" t="s">
        <v>2271</v>
      </c>
      <c r="J33" s="263" t="s">
        <v>2272</v>
      </c>
    </row>
    <row r="34" spans="1:10">
      <c r="A34" s="256" t="s">
        <v>1649</v>
      </c>
      <c r="B34" s="252" t="s">
        <v>2271</v>
      </c>
      <c r="C34" s="263" t="s">
        <v>2272</v>
      </c>
      <c r="D34" s="263" t="s">
        <v>2272</v>
      </c>
      <c r="G34" s="250" t="s">
        <v>1968</v>
      </c>
      <c r="H34" s="250" t="s">
        <v>1597</v>
      </c>
      <c r="I34" s="250" t="s">
        <v>2271</v>
      </c>
      <c r="J34" s="263" t="s">
        <v>552</v>
      </c>
    </row>
    <row r="35" spans="1:10">
      <c r="A35" s="256" t="s">
        <v>1623</v>
      </c>
      <c r="B35" s="252" t="s">
        <v>2271</v>
      </c>
      <c r="C35" s="263" t="s">
        <v>2272</v>
      </c>
      <c r="D35" s="263" t="s">
        <v>2272</v>
      </c>
      <c r="G35" s="250" t="s">
        <v>77</v>
      </c>
      <c r="H35" s="250" t="s">
        <v>1597</v>
      </c>
      <c r="I35" s="250" t="s">
        <v>2271</v>
      </c>
      <c r="J35" s="263" t="s">
        <v>2272</v>
      </c>
    </row>
    <row r="36" spans="1:10">
      <c r="A36" s="256" t="s">
        <v>2276</v>
      </c>
      <c r="B36" s="252" t="s">
        <v>2271</v>
      </c>
      <c r="C36" s="263" t="s">
        <v>2272</v>
      </c>
      <c r="D36" s="263" t="s">
        <v>2272</v>
      </c>
      <c r="G36" s="250" t="s">
        <v>82</v>
      </c>
      <c r="H36" s="250" t="s">
        <v>1597</v>
      </c>
      <c r="I36" s="250" t="s">
        <v>2271</v>
      </c>
      <c r="J36" s="263" t="s">
        <v>2272</v>
      </c>
    </row>
    <row r="37" spans="1:10">
      <c r="A37" s="256" t="s">
        <v>1727</v>
      </c>
      <c r="B37" s="252" t="s">
        <v>2271</v>
      </c>
      <c r="C37" s="263" t="s">
        <v>2272</v>
      </c>
      <c r="D37" s="263" t="s">
        <v>2272</v>
      </c>
      <c r="G37" s="250" t="s">
        <v>86</v>
      </c>
      <c r="H37" s="250" t="s">
        <v>1597</v>
      </c>
      <c r="I37" s="250" t="s">
        <v>2271</v>
      </c>
      <c r="J37" s="263" t="s">
        <v>2273</v>
      </c>
    </row>
    <row r="38" spans="1:10">
      <c r="A38" s="256" t="s">
        <v>1603</v>
      </c>
      <c r="B38" s="252" t="s">
        <v>2271</v>
      </c>
      <c r="C38" s="263" t="s">
        <v>2272</v>
      </c>
      <c r="D38" s="263" t="s">
        <v>2272</v>
      </c>
      <c r="G38" s="250" t="s">
        <v>92</v>
      </c>
      <c r="H38" s="250" t="s">
        <v>1597</v>
      </c>
      <c r="I38" s="250" t="s">
        <v>2271</v>
      </c>
      <c r="J38" s="263" t="s">
        <v>2272</v>
      </c>
    </row>
    <row r="39" spans="1:10">
      <c r="A39" s="256" t="s">
        <v>1601</v>
      </c>
      <c r="B39" s="252" t="s">
        <v>2271</v>
      </c>
      <c r="C39" s="263" t="s">
        <v>2272</v>
      </c>
      <c r="D39" s="263" t="s">
        <v>2272</v>
      </c>
      <c r="G39" s="250" t="s">
        <v>96</v>
      </c>
      <c r="H39" s="250" t="s">
        <v>1597</v>
      </c>
      <c r="I39" s="250" t="s">
        <v>2271</v>
      </c>
      <c r="J39" s="263" t="s">
        <v>2272</v>
      </c>
    </row>
    <row r="40" spans="1:10">
      <c r="A40" s="256" t="s">
        <v>1741</v>
      </c>
      <c r="B40" s="252" t="s">
        <v>2271</v>
      </c>
      <c r="C40" s="263" t="s">
        <v>2272</v>
      </c>
      <c r="D40" s="263" t="s">
        <v>2272</v>
      </c>
      <c r="G40" s="250" t="s">
        <v>763</v>
      </c>
      <c r="H40" s="250" t="s">
        <v>1690</v>
      </c>
      <c r="I40" s="250" t="s">
        <v>2271</v>
      </c>
      <c r="J40" s="263" t="s">
        <v>2272</v>
      </c>
    </row>
    <row r="41" spans="1:10">
      <c r="A41" s="256" t="s">
        <v>1607</v>
      </c>
      <c r="B41" s="252" t="s">
        <v>2271</v>
      </c>
      <c r="C41" s="263" t="s">
        <v>2272</v>
      </c>
      <c r="D41" s="263" t="s">
        <v>2272</v>
      </c>
      <c r="G41" s="250" t="s">
        <v>769</v>
      </c>
      <c r="H41" s="250" t="s">
        <v>1690</v>
      </c>
      <c r="I41" s="250" t="s">
        <v>2271</v>
      </c>
      <c r="J41" s="263" t="s">
        <v>2272</v>
      </c>
    </row>
    <row r="42" spans="1:10">
      <c r="A42" s="256" t="s">
        <v>1616</v>
      </c>
      <c r="B42" s="252" t="s">
        <v>2271</v>
      </c>
      <c r="C42" s="263" t="s">
        <v>2272</v>
      </c>
      <c r="D42" s="263" t="s">
        <v>2272</v>
      </c>
      <c r="G42" s="250" t="s">
        <v>728</v>
      </c>
      <c r="H42" s="250" t="s">
        <v>1686</v>
      </c>
      <c r="I42" s="250" t="s">
        <v>2271</v>
      </c>
      <c r="J42" s="263" t="s">
        <v>2272</v>
      </c>
    </row>
    <row r="43" spans="1:10">
      <c r="A43" s="256" t="s">
        <v>1608</v>
      </c>
      <c r="B43" s="252" t="s">
        <v>2271</v>
      </c>
      <c r="C43" s="263" t="s">
        <v>2272</v>
      </c>
      <c r="D43" s="263" t="s">
        <v>2272</v>
      </c>
      <c r="G43" s="250" t="s">
        <v>732</v>
      </c>
      <c r="H43" s="250" t="s">
        <v>1686</v>
      </c>
      <c r="I43" s="250" t="s">
        <v>2271</v>
      </c>
      <c r="J43" s="263" t="s">
        <v>2272</v>
      </c>
    </row>
    <row r="44" spans="1:10">
      <c r="A44" s="256" t="s">
        <v>1629</v>
      </c>
      <c r="B44" s="252" t="s">
        <v>2271</v>
      </c>
      <c r="C44" s="263" t="s">
        <v>2272</v>
      </c>
      <c r="D44" s="263" t="s">
        <v>2272</v>
      </c>
      <c r="G44" s="250" t="s">
        <v>736</v>
      </c>
      <c r="H44" s="250" t="s">
        <v>1686</v>
      </c>
      <c r="I44" s="250" t="s">
        <v>2271</v>
      </c>
      <c r="J44" s="263" t="s">
        <v>2272</v>
      </c>
    </row>
    <row r="45" spans="1:10">
      <c r="A45" s="256" t="s">
        <v>1729</v>
      </c>
      <c r="B45" s="252" t="s">
        <v>2271</v>
      </c>
      <c r="C45" s="263" t="s">
        <v>2272</v>
      </c>
      <c r="D45" s="263" t="s">
        <v>2272</v>
      </c>
      <c r="G45" s="250" t="s">
        <v>881</v>
      </c>
      <c r="H45" s="250" t="s">
        <v>1707</v>
      </c>
      <c r="I45" s="250" t="s">
        <v>2271</v>
      </c>
      <c r="J45" s="263" t="s">
        <v>2273</v>
      </c>
    </row>
    <row r="46" spans="1:10">
      <c r="A46" s="258" t="s">
        <v>1719</v>
      </c>
      <c r="B46" s="252" t="s">
        <v>2271</v>
      </c>
      <c r="C46" s="263" t="s">
        <v>2272</v>
      </c>
      <c r="D46" s="263" t="s">
        <v>2272</v>
      </c>
      <c r="G46" s="250" t="s">
        <v>740</v>
      </c>
      <c r="H46" s="250" t="s">
        <v>1688</v>
      </c>
      <c r="I46" s="250" t="s">
        <v>2271</v>
      </c>
      <c r="J46" s="263" t="s">
        <v>2272</v>
      </c>
    </row>
    <row r="47" spans="1:10">
      <c r="A47" s="256" t="s">
        <v>1709</v>
      </c>
      <c r="B47" s="252" t="s">
        <v>2271</v>
      </c>
      <c r="C47" s="263" t="s">
        <v>2272</v>
      </c>
      <c r="D47" s="263" t="s">
        <v>2272</v>
      </c>
      <c r="G47" s="250" t="s">
        <v>745</v>
      </c>
      <c r="H47" s="250" t="s">
        <v>1688</v>
      </c>
      <c r="I47" s="250" t="s">
        <v>2271</v>
      </c>
      <c r="J47" s="263" t="s">
        <v>2272</v>
      </c>
    </row>
    <row r="48" spans="1:10">
      <c r="A48" s="256" t="s">
        <v>1725</v>
      </c>
      <c r="B48" s="252" t="s">
        <v>2271</v>
      </c>
      <c r="C48" s="263" t="s">
        <v>2272</v>
      </c>
      <c r="D48" s="263" t="s">
        <v>2272</v>
      </c>
      <c r="G48" s="250" t="s">
        <v>157</v>
      </c>
      <c r="H48" s="250" t="s">
        <v>1610</v>
      </c>
      <c r="I48" s="250" t="s">
        <v>2271</v>
      </c>
      <c r="J48" s="263" t="s">
        <v>2272</v>
      </c>
    </row>
    <row r="49" spans="1:10">
      <c r="A49" s="256" t="s">
        <v>1742</v>
      </c>
      <c r="B49" s="252" t="s">
        <v>2271</v>
      </c>
      <c r="C49" s="263" t="s">
        <v>2272</v>
      </c>
      <c r="D49" s="263" t="s">
        <v>2272</v>
      </c>
      <c r="G49" s="250" t="s">
        <v>163</v>
      </c>
      <c r="H49" s="250" t="s">
        <v>1610</v>
      </c>
      <c r="I49" s="250" t="s">
        <v>2271</v>
      </c>
      <c r="J49" s="263" t="s">
        <v>2273</v>
      </c>
    </row>
    <row r="50" spans="1:10">
      <c r="A50" s="256" t="s">
        <v>1671</v>
      </c>
      <c r="B50" s="252" t="s">
        <v>2271</v>
      </c>
      <c r="C50" s="263" t="s">
        <v>2272</v>
      </c>
      <c r="D50" s="263" t="s">
        <v>2272</v>
      </c>
      <c r="G50" s="250" t="s">
        <v>167</v>
      </c>
      <c r="H50" s="250" t="s">
        <v>1610</v>
      </c>
      <c r="I50" s="250" t="s">
        <v>2271</v>
      </c>
      <c r="J50" s="263" t="s">
        <v>2273</v>
      </c>
    </row>
    <row r="51" spans="1:10">
      <c r="A51" s="256" t="s">
        <v>1673</v>
      </c>
      <c r="B51" s="252" t="s">
        <v>2271</v>
      </c>
      <c r="C51" s="263" t="s">
        <v>2272</v>
      </c>
      <c r="D51" s="263" t="s">
        <v>2272</v>
      </c>
      <c r="G51" s="250" t="s">
        <v>170</v>
      </c>
      <c r="H51" s="250" t="s">
        <v>1610</v>
      </c>
      <c r="I51" s="250" t="s">
        <v>2271</v>
      </c>
      <c r="J51" s="263" t="s">
        <v>2273</v>
      </c>
    </row>
    <row r="52" spans="1:10">
      <c r="A52" s="256" t="s">
        <v>1749</v>
      </c>
      <c r="B52" s="252" t="s">
        <v>2271</v>
      </c>
      <c r="C52" s="263" t="s">
        <v>2272</v>
      </c>
      <c r="D52" s="263" t="s">
        <v>2272</v>
      </c>
      <c r="G52" s="250" t="s">
        <v>173</v>
      </c>
      <c r="H52" s="250" t="s">
        <v>1610</v>
      </c>
      <c r="I52" s="250" t="s">
        <v>2271</v>
      </c>
      <c r="J52" s="263" t="s">
        <v>2272</v>
      </c>
    </row>
    <row r="53" spans="1:10">
      <c r="A53" s="256" t="s">
        <v>1702</v>
      </c>
      <c r="B53" s="252" t="s">
        <v>2271</v>
      </c>
      <c r="C53" s="263" t="s">
        <v>2272</v>
      </c>
      <c r="D53" s="263" t="s">
        <v>2272</v>
      </c>
      <c r="G53" s="250" t="s">
        <v>176</v>
      </c>
      <c r="H53" s="250" t="s">
        <v>1610</v>
      </c>
      <c r="I53" s="250" t="s">
        <v>2271</v>
      </c>
      <c r="J53" s="263" t="s">
        <v>2273</v>
      </c>
    </row>
    <row r="54" spans="1:10">
      <c r="A54" s="256" t="s">
        <v>1647</v>
      </c>
      <c r="B54" s="252" t="s">
        <v>2271</v>
      </c>
      <c r="C54" s="263" t="s">
        <v>2272</v>
      </c>
      <c r="D54" s="263" t="s">
        <v>2272</v>
      </c>
      <c r="G54" s="250" t="s">
        <v>178</v>
      </c>
      <c r="H54" s="250" t="s">
        <v>1610</v>
      </c>
      <c r="I54" s="250" t="s">
        <v>2271</v>
      </c>
      <c r="J54" s="263" t="s">
        <v>2272</v>
      </c>
    </row>
    <row r="55" spans="1:10">
      <c r="A55" s="256" t="s">
        <v>1736</v>
      </c>
      <c r="B55" s="252" t="s">
        <v>2271</v>
      </c>
      <c r="C55" s="263" t="s">
        <v>2272</v>
      </c>
      <c r="D55" s="263" t="s">
        <v>2277</v>
      </c>
      <c r="G55" s="250" t="s">
        <v>179</v>
      </c>
      <c r="H55" s="250" t="s">
        <v>1610</v>
      </c>
      <c r="I55" s="250" t="s">
        <v>2271</v>
      </c>
      <c r="J55" s="263" t="s">
        <v>2273</v>
      </c>
    </row>
    <row r="56" spans="1:10">
      <c r="A56" s="256" t="s">
        <v>1636</v>
      </c>
      <c r="B56" s="252" t="s">
        <v>2271</v>
      </c>
      <c r="C56" s="263" t="s">
        <v>2272</v>
      </c>
      <c r="D56" s="263" t="s">
        <v>2272</v>
      </c>
      <c r="G56" s="250" t="s">
        <v>181</v>
      </c>
      <c r="H56" s="250" t="s">
        <v>1610</v>
      </c>
      <c r="I56" s="250" t="s">
        <v>2271</v>
      </c>
      <c r="J56" s="263" t="s">
        <v>2273</v>
      </c>
    </row>
    <row r="57" spans="1:10">
      <c r="A57" s="256" t="s">
        <v>1687</v>
      </c>
      <c r="B57" s="252" t="s">
        <v>2271</v>
      </c>
      <c r="C57" s="263" t="s">
        <v>2272</v>
      </c>
      <c r="D57" s="263" t="s">
        <v>2272</v>
      </c>
      <c r="G57" s="250" t="s">
        <v>440</v>
      </c>
      <c r="H57" s="250" t="s">
        <v>1633</v>
      </c>
      <c r="I57" s="250" t="s">
        <v>2271</v>
      </c>
      <c r="J57" s="263" t="s">
        <v>2273</v>
      </c>
    </row>
    <row r="58" spans="1:10">
      <c r="A58" s="256" t="s">
        <v>1625</v>
      </c>
      <c r="B58" s="252" t="s">
        <v>2271</v>
      </c>
      <c r="C58" s="263" t="s">
        <v>2272</v>
      </c>
      <c r="D58" s="263" t="s">
        <v>2272</v>
      </c>
      <c r="G58" s="250" t="s">
        <v>445</v>
      </c>
      <c r="H58" s="250" t="s">
        <v>1633</v>
      </c>
      <c r="I58" s="250" t="s">
        <v>2271</v>
      </c>
      <c r="J58" s="263" t="s">
        <v>2273</v>
      </c>
    </row>
    <row r="59" spans="1:10">
      <c r="A59" s="256" t="s">
        <v>1669</v>
      </c>
      <c r="B59" s="252" t="s">
        <v>2271</v>
      </c>
      <c r="C59" s="263" t="s">
        <v>2272</v>
      </c>
      <c r="D59" s="263" t="s">
        <v>2272</v>
      </c>
      <c r="G59" s="250" t="s">
        <v>1049</v>
      </c>
      <c r="H59" s="250" t="s">
        <v>1738</v>
      </c>
      <c r="I59" s="250" t="s">
        <v>2271</v>
      </c>
      <c r="J59" s="263" t="s">
        <v>2272</v>
      </c>
    </row>
    <row r="60" spans="1:10">
      <c r="A60" s="256" t="s">
        <v>1667</v>
      </c>
      <c r="B60" s="252" t="s">
        <v>2278</v>
      </c>
      <c r="C60" s="263" t="s">
        <v>2272</v>
      </c>
      <c r="D60" s="263" t="s">
        <v>2279</v>
      </c>
      <c r="G60" s="250" t="s">
        <v>682</v>
      </c>
      <c r="H60" s="250" t="s">
        <v>1680</v>
      </c>
      <c r="I60" s="250" t="s">
        <v>2271</v>
      </c>
      <c r="J60" s="263" t="s">
        <v>2272</v>
      </c>
    </row>
    <row r="61" spans="1:10">
      <c r="A61" s="256" t="s">
        <v>1662</v>
      </c>
      <c r="B61" s="252" t="s">
        <v>2278</v>
      </c>
      <c r="C61" s="263" t="s">
        <v>2272</v>
      </c>
      <c r="D61" s="263" t="s">
        <v>2272</v>
      </c>
      <c r="G61" s="250" t="s">
        <v>687</v>
      </c>
      <c r="H61" s="250" t="s">
        <v>1680</v>
      </c>
      <c r="I61" s="250" t="s">
        <v>2271</v>
      </c>
      <c r="J61" s="263" t="s">
        <v>2272</v>
      </c>
    </row>
    <row r="62" spans="1:10">
      <c r="A62" s="256" t="s">
        <v>1731</v>
      </c>
      <c r="B62" s="252" t="s">
        <v>2278</v>
      </c>
      <c r="C62" s="263" t="s">
        <v>2272</v>
      </c>
      <c r="D62" s="263" t="s">
        <v>2279</v>
      </c>
      <c r="G62" s="250" t="s">
        <v>691</v>
      </c>
      <c r="H62" s="250" t="s">
        <v>1680</v>
      </c>
      <c r="I62" s="250" t="s">
        <v>2271</v>
      </c>
      <c r="J62" s="263" t="s">
        <v>2272</v>
      </c>
    </row>
    <row r="63" spans="1:10">
      <c r="A63" s="256" t="s">
        <v>1703</v>
      </c>
      <c r="B63" s="252" t="s">
        <v>2278</v>
      </c>
      <c r="C63" s="263" t="s">
        <v>2272</v>
      </c>
      <c r="D63" s="263" t="s">
        <v>2272</v>
      </c>
      <c r="G63" s="250" t="s">
        <v>771</v>
      </c>
      <c r="H63" s="250" t="s">
        <v>1691</v>
      </c>
      <c r="I63" s="250" t="s">
        <v>2271</v>
      </c>
      <c r="J63" s="263" t="s">
        <v>2272</v>
      </c>
    </row>
    <row r="64" spans="1:10">
      <c r="A64" s="256" t="s">
        <v>1627</v>
      </c>
      <c r="B64" s="252" t="s">
        <v>2278</v>
      </c>
      <c r="C64" s="263" t="s">
        <v>2272</v>
      </c>
      <c r="D64" s="263" t="s">
        <v>2279</v>
      </c>
      <c r="G64" s="250" t="s">
        <v>776</v>
      </c>
      <c r="H64" s="250" t="s">
        <v>1691</v>
      </c>
      <c r="I64" s="250" t="s">
        <v>2271</v>
      </c>
      <c r="J64" s="263" t="s">
        <v>2272</v>
      </c>
    </row>
    <row r="65" spans="1:10">
      <c r="A65" s="256" t="s">
        <v>1750</v>
      </c>
      <c r="B65" s="252" t="s">
        <v>2278</v>
      </c>
      <c r="C65" s="263" t="s">
        <v>2272</v>
      </c>
      <c r="D65" s="263" t="s">
        <v>2279</v>
      </c>
      <c r="G65" s="250" t="s">
        <v>183</v>
      </c>
      <c r="H65" s="250" t="s">
        <v>1619</v>
      </c>
      <c r="I65" s="250" t="s">
        <v>2271</v>
      </c>
      <c r="J65" s="263" t="s">
        <v>2272</v>
      </c>
    </row>
    <row r="66" spans="1:10">
      <c r="A66" s="256" t="s">
        <v>1683</v>
      </c>
      <c r="B66" s="252" t="s">
        <v>2278</v>
      </c>
      <c r="C66" s="263" t="s">
        <v>2272</v>
      </c>
      <c r="D66" s="263" t="s">
        <v>2279</v>
      </c>
      <c r="G66" s="250" t="s">
        <v>189</v>
      </c>
      <c r="H66" s="250" t="s">
        <v>1619</v>
      </c>
      <c r="I66" s="250" t="s">
        <v>2271</v>
      </c>
      <c r="J66" s="263" t="s">
        <v>2272</v>
      </c>
    </row>
    <row r="67" spans="1:10">
      <c r="A67" s="257" t="s">
        <v>1684</v>
      </c>
      <c r="B67" s="252" t="s">
        <v>2278</v>
      </c>
      <c r="C67" s="263" t="s">
        <v>2272</v>
      </c>
      <c r="D67" s="263" t="s">
        <v>2279</v>
      </c>
      <c r="G67" s="250" t="s">
        <v>1922</v>
      </c>
      <c r="H67" s="250" t="s">
        <v>1619</v>
      </c>
      <c r="I67" s="250" t="s">
        <v>2271</v>
      </c>
      <c r="J67" s="263" t="s">
        <v>2272</v>
      </c>
    </row>
    <row r="68" spans="1:10">
      <c r="A68" s="256" t="s">
        <v>1743</v>
      </c>
      <c r="B68" s="252" t="s">
        <v>2278</v>
      </c>
      <c r="C68" s="263" t="s">
        <v>2272</v>
      </c>
      <c r="D68" s="263" t="s">
        <v>2272</v>
      </c>
      <c r="G68" s="250" t="s">
        <v>192</v>
      </c>
      <c r="H68" s="250" t="s">
        <v>1619</v>
      </c>
      <c r="I68" s="250" t="s">
        <v>2271</v>
      </c>
      <c r="J68" s="263" t="s">
        <v>2272</v>
      </c>
    </row>
    <row r="69" spans="1:10">
      <c r="A69" s="256" t="s">
        <v>1650</v>
      </c>
      <c r="B69" s="252" t="s">
        <v>2278</v>
      </c>
      <c r="C69" s="263" t="s">
        <v>2272</v>
      </c>
      <c r="D69" s="263" t="s">
        <v>2279</v>
      </c>
      <c r="G69" s="250" t="s">
        <v>195</v>
      </c>
      <c r="H69" s="250" t="s">
        <v>1619</v>
      </c>
      <c r="I69" s="250" t="s">
        <v>2271</v>
      </c>
      <c r="J69" s="263" t="s">
        <v>2272</v>
      </c>
    </row>
    <row r="70" spans="1:10">
      <c r="A70" s="256" t="s">
        <v>1660</v>
      </c>
      <c r="B70" s="252" t="s">
        <v>2278</v>
      </c>
      <c r="C70" s="263" t="s">
        <v>2272</v>
      </c>
      <c r="D70" s="263" t="s">
        <v>2279</v>
      </c>
      <c r="G70" s="250" t="s">
        <v>197</v>
      </c>
      <c r="H70" s="250" t="s">
        <v>1619</v>
      </c>
      <c r="I70" s="250" t="s">
        <v>2271</v>
      </c>
      <c r="J70" s="263" t="s">
        <v>2272</v>
      </c>
    </row>
    <row r="71" spans="1:10">
      <c r="A71" s="256" t="s">
        <v>1665</v>
      </c>
      <c r="B71" s="252" t="s">
        <v>2278</v>
      </c>
      <c r="C71" s="263" t="s">
        <v>2280</v>
      </c>
      <c r="D71" s="263" t="s">
        <v>2279</v>
      </c>
      <c r="G71" s="250" t="s">
        <v>200</v>
      </c>
      <c r="H71" s="250" t="s">
        <v>1619</v>
      </c>
      <c r="I71" s="250" t="s">
        <v>2271</v>
      </c>
      <c r="J71" s="263" t="s">
        <v>2272</v>
      </c>
    </row>
    <row r="72" spans="1:10">
      <c r="A72" s="256" t="s">
        <v>1724</v>
      </c>
      <c r="B72" s="252" t="s">
        <v>2278</v>
      </c>
      <c r="C72" s="263" t="s">
        <v>2280</v>
      </c>
      <c r="D72" s="263" t="s">
        <v>2279</v>
      </c>
      <c r="G72" s="250" t="s">
        <v>203</v>
      </c>
      <c r="H72" s="250" t="s">
        <v>1619</v>
      </c>
      <c r="I72" s="250" t="s">
        <v>2271</v>
      </c>
      <c r="J72" s="263" t="s">
        <v>2272</v>
      </c>
    </row>
    <row r="73" spans="1:10">
      <c r="A73" s="256" t="s">
        <v>1726</v>
      </c>
      <c r="B73" s="252" t="s">
        <v>2278</v>
      </c>
      <c r="C73" s="263" t="s">
        <v>2280</v>
      </c>
      <c r="D73" s="263" t="s">
        <v>2272</v>
      </c>
      <c r="G73" s="250" t="s">
        <v>204</v>
      </c>
      <c r="H73" s="250" t="s">
        <v>1619</v>
      </c>
      <c r="I73" s="250" t="s">
        <v>2271</v>
      </c>
      <c r="J73" s="263" t="s">
        <v>2272</v>
      </c>
    </row>
    <row r="74" spans="1:10">
      <c r="A74" s="256" t="s">
        <v>1732</v>
      </c>
      <c r="B74" s="252" t="s">
        <v>2278</v>
      </c>
      <c r="C74" s="263" t="s">
        <v>2280</v>
      </c>
      <c r="D74" s="263" t="s">
        <v>2272</v>
      </c>
      <c r="G74" s="250" t="s">
        <v>206</v>
      </c>
      <c r="H74" s="250" t="s">
        <v>1619</v>
      </c>
      <c r="I74" s="250" t="s">
        <v>2271</v>
      </c>
      <c r="J74" s="263" t="s">
        <v>2272</v>
      </c>
    </row>
    <row r="75" spans="1:10">
      <c r="A75" s="256" t="s">
        <v>1710</v>
      </c>
      <c r="B75" s="252" t="s">
        <v>2278</v>
      </c>
      <c r="C75" s="263" t="s">
        <v>2280</v>
      </c>
      <c r="D75" s="263" t="s">
        <v>2272</v>
      </c>
      <c r="G75" s="250" t="s">
        <v>1083</v>
      </c>
      <c r="H75" s="250" t="s">
        <v>1745</v>
      </c>
      <c r="I75" s="250" t="s">
        <v>2271</v>
      </c>
      <c r="J75" s="263" t="s">
        <v>2273</v>
      </c>
    </row>
    <row r="76" spans="1:10">
      <c r="A76" s="256" t="s">
        <v>1692</v>
      </c>
      <c r="B76" s="252" t="s">
        <v>2278</v>
      </c>
      <c r="C76" s="263" t="s">
        <v>2280</v>
      </c>
      <c r="D76" s="263" t="s">
        <v>2272</v>
      </c>
      <c r="G76" s="250" t="s">
        <v>1086</v>
      </c>
      <c r="H76" s="250" t="s">
        <v>1745</v>
      </c>
      <c r="I76" s="250" t="s">
        <v>2271</v>
      </c>
      <c r="J76" s="263" t="s">
        <v>2272</v>
      </c>
    </row>
    <row r="77" spans="1:10">
      <c r="A77" s="256" t="s">
        <v>1704</v>
      </c>
      <c r="B77" s="252" t="s">
        <v>2278</v>
      </c>
      <c r="C77" s="263" t="s">
        <v>2280</v>
      </c>
      <c r="D77" s="263" t="s">
        <v>2279</v>
      </c>
      <c r="G77" s="250" t="s">
        <v>1102</v>
      </c>
      <c r="H77" s="250" t="s">
        <v>1745</v>
      </c>
      <c r="I77" s="250" t="s">
        <v>2271</v>
      </c>
      <c r="J77" s="263" t="s">
        <v>2273</v>
      </c>
    </row>
    <row r="78" spans="1:10">
      <c r="A78" s="256" t="s">
        <v>1696</v>
      </c>
      <c r="B78" s="252" t="s">
        <v>2278</v>
      </c>
      <c r="C78" s="263" t="s">
        <v>2280</v>
      </c>
      <c r="D78" s="263" t="s">
        <v>2272</v>
      </c>
      <c r="G78" s="250" t="s">
        <v>1072</v>
      </c>
      <c r="H78" s="250" t="s">
        <v>1748</v>
      </c>
      <c r="I78" s="250" t="s">
        <v>2271</v>
      </c>
      <c r="J78" s="263" t="s">
        <v>2273</v>
      </c>
    </row>
    <row r="79" spans="1:10">
      <c r="A79" s="256" t="s">
        <v>1693</v>
      </c>
      <c r="B79" s="252" t="s">
        <v>2278</v>
      </c>
      <c r="C79" s="263" t="s">
        <v>2280</v>
      </c>
      <c r="D79" s="263" t="s">
        <v>2272</v>
      </c>
      <c r="G79" s="250" t="s">
        <v>1079</v>
      </c>
      <c r="H79" s="250" t="s">
        <v>1748</v>
      </c>
      <c r="I79" s="250" t="s">
        <v>2271</v>
      </c>
      <c r="J79" s="263" t="s">
        <v>2272</v>
      </c>
    </row>
    <row r="80" spans="1:10">
      <c r="A80" s="256" t="s">
        <v>1705</v>
      </c>
      <c r="B80" s="252" t="s">
        <v>2278</v>
      </c>
      <c r="C80" s="263" t="s">
        <v>2280</v>
      </c>
      <c r="D80" s="263" t="s">
        <v>2272</v>
      </c>
      <c r="G80" s="250" t="s">
        <v>1091</v>
      </c>
      <c r="H80" s="250" t="s">
        <v>1747</v>
      </c>
      <c r="I80" s="250" t="s">
        <v>2271</v>
      </c>
      <c r="J80" s="263" t="s">
        <v>2273</v>
      </c>
    </row>
    <row r="81" spans="1:10">
      <c r="A81" s="256" t="s">
        <v>1711</v>
      </c>
      <c r="B81" s="252" t="s">
        <v>2278</v>
      </c>
      <c r="C81" s="263" t="s">
        <v>2280</v>
      </c>
      <c r="D81" s="263" t="s">
        <v>2272</v>
      </c>
      <c r="G81" s="250" t="s">
        <v>1094</v>
      </c>
      <c r="H81" s="250" t="s">
        <v>1747</v>
      </c>
      <c r="I81" s="250" t="s">
        <v>2271</v>
      </c>
      <c r="J81" s="263" t="s">
        <v>2272</v>
      </c>
    </row>
    <row r="82" spans="1:10">
      <c r="A82" s="256" t="s">
        <v>1656</v>
      </c>
      <c r="B82" s="252" t="s">
        <v>2278</v>
      </c>
      <c r="C82" s="263" t="s">
        <v>2280</v>
      </c>
      <c r="D82" s="263" t="s">
        <v>2279</v>
      </c>
      <c r="G82" s="250" t="s">
        <v>1088</v>
      </c>
      <c r="H82" s="250" t="s">
        <v>1746</v>
      </c>
      <c r="I82" s="250" t="s">
        <v>2271</v>
      </c>
      <c r="J82" s="263" t="s">
        <v>2273</v>
      </c>
    </row>
    <row r="83" spans="1:10">
      <c r="A83" s="256" t="s">
        <v>1651</v>
      </c>
      <c r="B83" s="252" t="s">
        <v>2278</v>
      </c>
      <c r="C83" s="263" t="s">
        <v>2280</v>
      </c>
      <c r="D83" s="263" t="s">
        <v>2279</v>
      </c>
      <c r="G83" s="250" t="s">
        <v>1098</v>
      </c>
      <c r="H83" s="250" t="s">
        <v>1746</v>
      </c>
      <c r="I83" s="250" t="s">
        <v>2271</v>
      </c>
      <c r="J83" s="263" t="s">
        <v>2273</v>
      </c>
    </row>
    <row r="84" spans="1:10">
      <c r="A84" s="256" t="s">
        <v>1659</v>
      </c>
      <c r="B84" s="252" t="s">
        <v>2278</v>
      </c>
      <c r="C84" s="263" t="s">
        <v>2280</v>
      </c>
      <c r="D84" s="263" t="s">
        <v>2279</v>
      </c>
      <c r="G84" s="250" t="s">
        <v>1101</v>
      </c>
      <c r="H84" s="250" t="s">
        <v>1746</v>
      </c>
      <c r="I84" s="250" t="s">
        <v>2271</v>
      </c>
      <c r="J84" s="263" t="s">
        <v>2273</v>
      </c>
    </row>
    <row r="85" spans="1:10">
      <c r="A85" s="256" t="s">
        <v>1643</v>
      </c>
      <c r="B85" s="252" t="s">
        <v>2278</v>
      </c>
      <c r="C85" s="263" t="s">
        <v>2280</v>
      </c>
      <c r="D85" s="263" t="s">
        <v>2272</v>
      </c>
      <c r="G85" s="250" t="s">
        <v>119</v>
      </c>
      <c r="H85" s="250" t="s">
        <v>1612</v>
      </c>
      <c r="I85" s="250" t="s">
        <v>2271</v>
      </c>
      <c r="J85" s="263" t="s">
        <v>2272</v>
      </c>
    </row>
    <row r="86" spans="1:10">
      <c r="A86" s="256" t="s">
        <v>1675</v>
      </c>
      <c r="B86" s="252" t="s">
        <v>2278</v>
      </c>
      <c r="C86" s="263" t="s">
        <v>2280</v>
      </c>
      <c r="D86" s="263" t="s">
        <v>2279</v>
      </c>
      <c r="G86" s="250" t="s">
        <v>125</v>
      </c>
      <c r="H86" s="250" t="s">
        <v>1612</v>
      </c>
      <c r="I86" s="250" t="s">
        <v>2271</v>
      </c>
      <c r="J86" s="263" t="s">
        <v>2272</v>
      </c>
    </row>
    <row r="87" spans="1:10">
      <c r="A87" s="256" t="s">
        <v>1666</v>
      </c>
      <c r="B87" s="252" t="s">
        <v>2278</v>
      </c>
      <c r="C87" s="263" t="s">
        <v>2280</v>
      </c>
      <c r="D87" s="263" t="s">
        <v>2279</v>
      </c>
      <c r="G87" s="250" t="s">
        <v>530</v>
      </c>
      <c r="H87" s="250" t="s">
        <v>1639</v>
      </c>
      <c r="I87" s="250" t="s">
        <v>2271</v>
      </c>
      <c r="J87" s="263" t="s">
        <v>2277</v>
      </c>
    </row>
    <row r="88" spans="1:10">
      <c r="A88" s="256" t="s">
        <v>1733</v>
      </c>
      <c r="B88" s="252" t="s">
        <v>2278</v>
      </c>
      <c r="C88" s="263" t="s">
        <v>2280</v>
      </c>
      <c r="D88" s="263" t="s">
        <v>2279</v>
      </c>
      <c r="G88" s="250" t="s">
        <v>535</v>
      </c>
      <c r="H88" s="250" t="s">
        <v>1639</v>
      </c>
      <c r="I88" s="250" t="s">
        <v>2271</v>
      </c>
      <c r="J88" s="263" t="s">
        <v>2272</v>
      </c>
    </row>
    <row r="89" spans="1:10">
      <c r="A89" s="256" t="s">
        <v>1632</v>
      </c>
      <c r="B89" s="252" t="s">
        <v>2278</v>
      </c>
      <c r="C89" s="263" t="s">
        <v>2280</v>
      </c>
      <c r="D89" s="263" t="s">
        <v>2279</v>
      </c>
      <c r="G89" s="250" t="s">
        <v>568</v>
      </c>
      <c r="H89" s="250" t="s">
        <v>1653</v>
      </c>
      <c r="I89" s="250" t="s">
        <v>2271</v>
      </c>
      <c r="J89" s="263" t="s">
        <v>2272</v>
      </c>
    </row>
    <row r="90" spans="1:10">
      <c r="A90" s="256" t="s">
        <v>1698</v>
      </c>
      <c r="B90" s="252" t="s">
        <v>2278</v>
      </c>
      <c r="C90" s="263" t="s">
        <v>2280</v>
      </c>
      <c r="D90" s="263" t="s">
        <v>2279</v>
      </c>
      <c r="G90" s="250" t="s">
        <v>574</v>
      </c>
      <c r="H90" s="250" t="s">
        <v>1653</v>
      </c>
      <c r="I90" s="250" t="s">
        <v>2271</v>
      </c>
      <c r="J90" s="263" t="s">
        <v>2272</v>
      </c>
    </row>
    <row r="91" spans="1:10">
      <c r="A91" s="256" t="s">
        <v>1655</v>
      </c>
      <c r="B91" s="252" t="s">
        <v>2278</v>
      </c>
      <c r="C91" s="263" t="s">
        <v>2280</v>
      </c>
      <c r="D91" s="263" t="s">
        <v>2279</v>
      </c>
      <c r="G91" s="250" t="s">
        <v>1949</v>
      </c>
      <c r="H91" s="250" t="s">
        <v>1717</v>
      </c>
      <c r="I91" s="250" t="s">
        <v>2271</v>
      </c>
      <c r="J91" s="263" t="s">
        <v>552</v>
      </c>
    </row>
    <row r="92" spans="1:10">
      <c r="A92" s="256" t="s">
        <v>1645</v>
      </c>
      <c r="B92" s="252" t="s">
        <v>2278</v>
      </c>
      <c r="C92" s="263" t="s">
        <v>2280</v>
      </c>
      <c r="D92" s="263" t="s">
        <v>2279</v>
      </c>
      <c r="G92" s="250" t="s">
        <v>842</v>
      </c>
      <c r="H92" s="250" t="s">
        <v>1700</v>
      </c>
      <c r="I92" s="250" t="s">
        <v>2271</v>
      </c>
      <c r="J92" s="263" t="s">
        <v>2273</v>
      </c>
    </row>
    <row r="93" spans="1:10">
      <c r="A93" s="256" t="s">
        <v>1714</v>
      </c>
      <c r="B93" s="252" t="s">
        <v>2278</v>
      </c>
      <c r="C93" s="263" t="s">
        <v>2280</v>
      </c>
      <c r="D93" s="263" t="s">
        <v>2279</v>
      </c>
      <c r="G93" s="250" t="s">
        <v>849</v>
      </c>
      <c r="H93" s="250" t="s">
        <v>1700</v>
      </c>
      <c r="I93" s="250" t="s">
        <v>2271</v>
      </c>
      <c r="J93" s="263" t="s">
        <v>2272</v>
      </c>
    </row>
    <row r="94" spans="1:10">
      <c r="A94" s="256" t="s">
        <v>1695</v>
      </c>
      <c r="B94" s="252" t="s">
        <v>2278</v>
      </c>
      <c r="C94" s="263" t="s">
        <v>2280</v>
      </c>
      <c r="D94" s="263" t="s">
        <v>2272</v>
      </c>
      <c r="G94" s="250" t="s">
        <v>929</v>
      </c>
      <c r="H94" s="250" t="s">
        <v>1718</v>
      </c>
      <c r="I94" s="250" t="s">
        <v>2271</v>
      </c>
      <c r="J94" s="263" t="s">
        <v>2272</v>
      </c>
    </row>
    <row r="95" spans="1:10">
      <c r="A95" s="256" t="s">
        <v>1697</v>
      </c>
      <c r="B95" s="252" t="s">
        <v>2278</v>
      </c>
      <c r="C95" s="263" t="s">
        <v>2280</v>
      </c>
      <c r="D95" s="263" t="s">
        <v>2272</v>
      </c>
      <c r="G95" s="250" t="s">
        <v>1955</v>
      </c>
      <c r="H95" s="250" t="s">
        <v>1718</v>
      </c>
      <c r="I95" s="250" t="s">
        <v>2271</v>
      </c>
      <c r="J95" s="263" t="s">
        <v>2273</v>
      </c>
    </row>
    <row r="96" spans="1:10">
      <c r="A96" s="256" t="s">
        <v>1734</v>
      </c>
      <c r="B96" s="252" t="s">
        <v>2278</v>
      </c>
      <c r="C96" s="263" t="s">
        <v>2280</v>
      </c>
      <c r="D96" s="263" t="s">
        <v>2272</v>
      </c>
      <c r="G96" s="250" t="s">
        <v>934</v>
      </c>
      <c r="H96" s="250" t="s">
        <v>1718</v>
      </c>
      <c r="I96" s="250" t="s">
        <v>2271</v>
      </c>
      <c r="J96" s="263" t="s">
        <v>552</v>
      </c>
    </row>
    <row r="97" spans="1:10">
      <c r="A97" s="256" t="s">
        <v>1637</v>
      </c>
      <c r="B97" s="252" t="s">
        <v>2278</v>
      </c>
      <c r="C97" s="263" t="s">
        <v>2280</v>
      </c>
      <c r="D97" s="263" t="s">
        <v>2272</v>
      </c>
      <c r="G97" s="250" t="s">
        <v>909</v>
      </c>
      <c r="H97" s="250" t="s">
        <v>1716</v>
      </c>
      <c r="I97" s="250" t="s">
        <v>2271</v>
      </c>
      <c r="J97" s="263" t="s">
        <v>2272</v>
      </c>
    </row>
    <row r="98" spans="1:10">
      <c r="A98" s="256" t="s">
        <v>1621</v>
      </c>
      <c r="B98" s="252" t="s">
        <v>2278</v>
      </c>
      <c r="C98" s="263" t="s">
        <v>2280</v>
      </c>
      <c r="D98" s="263" t="s">
        <v>2279</v>
      </c>
      <c r="G98" s="250" t="s">
        <v>915</v>
      </c>
      <c r="H98" s="250" t="s">
        <v>1716</v>
      </c>
      <c r="I98" s="250" t="s">
        <v>2271</v>
      </c>
      <c r="J98" s="263" t="s">
        <v>2272</v>
      </c>
    </row>
    <row r="99" spans="1:10">
      <c r="A99" s="256" t="s">
        <v>1720</v>
      </c>
      <c r="B99" s="252" t="s">
        <v>2278</v>
      </c>
      <c r="C99" s="263" t="s">
        <v>2280</v>
      </c>
      <c r="D99" s="263" t="s">
        <v>2272</v>
      </c>
      <c r="G99" s="250" t="s">
        <v>919</v>
      </c>
      <c r="H99" s="250" t="s">
        <v>1716</v>
      </c>
      <c r="I99" s="250" t="s">
        <v>2271</v>
      </c>
      <c r="J99" s="263" t="s">
        <v>2272</v>
      </c>
    </row>
    <row r="100" spans="1:10">
      <c r="G100" s="250" t="s">
        <v>923</v>
      </c>
      <c r="H100" s="250" t="s">
        <v>1716</v>
      </c>
      <c r="I100" s="250" t="s">
        <v>2271</v>
      </c>
      <c r="J100" s="263" t="s">
        <v>2272</v>
      </c>
    </row>
    <row r="101" spans="1:10">
      <c r="A101" s="253"/>
      <c r="G101" s="250" t="s">
        <v>394</v>
      </c>
      <c r="H101" s="250" t="s">
        <v>1649</v>
      </c>
      <c r="I101" s="250" t="s">
        <v>2271</v>
      </c>
      <c r="J101" s="263" t="s">
        <v>2272</v>
      </c>
    </row>
    <row r="102" spans="1:10">
      <c r="A102" s="253"/>
      <c r="G102" s="250" t="s">
        <v>287</v>
      </c>
      <c r="H102" s="250" t="s">
        <v>1623</v>
      </c>
      <c r="I102" s="250" t="s">
        <v>2271</v>
      </c>
      <c r="J102" s="263" t="s">
        <v>2272</v>
      </c>
    </row>
    <row r="103" spans="1:10">
      <c r="A103" s="253"/>
      <c r="G103" s="250" t="s">
        <v>294</v>
      </c>
      <c r="H103" s="250" t="s">
        <v>1623</v>
      </c>
      <c r="I103" s="250" t="s">
        <v>2271</v>
      </c>
      <c r="J103" s="263" t="s">
        <v>2273</v>
      </c>
    </row>
    <row r="104" spans="1:10">
      <c r="A104" s="253"/>
      <c r="G104" s="250" t="s">
        <v>208</v>
      </c>
      <c r="H104" s="250" t="s">
        <v>2276</v>
      </c>
      <c r="I104" s="250" t="s">
        <v>2271</v>
      </c>
      <c r="J104" s="263" t="s">
        <v>2272</v>
      </c>
    </row>
    <row r="105" spans="1:10">
      <c r="A105" s="253"/>
      <c r="G105" s="250" t="s">
        <v>214</v>
      </c>
      <c r="H105" s="250" t="s">
        <v>2276</v>
      </c>
      <c r="I105" s="250" t="s">
        <v>2271</v>
      </c>
      <c r="J105" s="263" t="s">
        <v>2272</v>
      </c>
    </row>
    <row r="106" spans="1:10">
      <c r="A106" s="253"/>
      <c r="G106" s="250" t="s">
        <v>963</v>
      </c>
      <c r="H106" s="250" t="s">
        <v>1727</v>
      </c>
      <c r="I106" s="250" t="s">
        <v>2271</v>
      </c>
      <c r="J106" s="263" t="s">
        <v>2272</v>
      </c>
    </row>
    <row r="107" spans="1:10">
      <c r="A107" s="253"/>
      <c r="G107" s="250" t="s">
        <v>20</v>
      </c>
      <c r="H107" s="250" t="s">
        <v>1603</v>
      </c>
      <c r="I107" s="250" t="s">
        <v>2271</v>
      </c>
      <c r="J107" s="263" t="s">
        <v>2272</v>
      </c>
    </row>
    <row r="108" spans="1:10">
      <c r="A108" s="253"/>
      <c r="G108" s="250" t="s">
        <v>26</v>
      </c>
      <c r="H108" s="250" t="s">
        <v>1603</v>
      </c>
      <c r="I108" s="250" t="s">
        <v>2271</v>
      </c>
      <c r="J108" s="263" t="s">
        <v>2272</v>
      </c>
    </row>
    <row r="109" spans="1:10">
      <c r="A109" s="253"/>
      <c r="G109" s="250" t="s">
        <v>53</v>
      </c>
      <c r="H109" s="250" t="s">
        <v>1603</v>
      </c>
      <c r="I109" s="250" t="s">
        <v>2271</v>
      </c>
      <c r="J109" s="263" t="s">
        <v>2272</v>
      </c>
    </row>
    <row r="110" spans="1:10">
      <c r="A110" s="253"/>
      <c r="G110" s="250" t="s">
        <v>13</v>
      </c>
      <c r="H110" s="250" t="s">
        <v>1601</v>
      </c>
      <c r="I110" s="250" t="s">
        <v>2271</v>
      </c>
      <c r="J110" s="263" t="s">
        <v>2272</v>
      </c>
    </row>
    <row r="111" spans="1:10">
      <c r="A111" s="253"/>
      <c r="G111" s="250" t="s">
        <v>31</v>
      </c>
      <c r="H111" s="250" t="s">
        <v>1601</v>
      </c>
      <c r="I111" s="250" t="s">
        <v>2271</v>
      </c>
      <c r="J111" s="263" t="s">
        <v>2273</v>
      </c>
    </row>
    <row r="112" spans="1:10">
      <c r="A112" s="253"/>
      <c r="G112" s="250" t="s">
        <v>36</v>
      </c>
      <c r="H112" s="250" t="s">
        <v>1601</v>
      </c>
      <c r="I112" s="250" t="s">
        <v>2271</v>
      </c>
      <c r="J112" s="263" t="s">
        <v>2273</v>
      </c>
    </row>
    <row r="113" spans="1:10">
      <c r="A113" s="253"/>
      <c r="G113" s="250" t="s">
        <v>40</v>
      </c>
      <c r="H113" s="250" t="s">
        <v>1601</v>
      </c>
      <c r="I113" s="250" t="s">
        <v>2271</v>
      </c>
      <c r="J113" s="263" t="s">
        <v>2272</v>
      </c>
    </row>
    <row r="114" spans="1:10">
      <c r="A114" s="253"/>
      <c r="G114" s="250" t="s">
        <v>45</v>
      </c>
      <c r="H114" s="250" t="s">
        <v>1601</v>
      </c>
      <c r="I114" s="250" t="s">
        <v>2271</v>
      </c>
      <c r="J114" s="263" t="s">
        <v>2273</v>
      </c>
    </row>
    <row r="115" spans="1:10">
      <c r="A115" s="253"/>
      <c r="G115" s="250" t="s">
        <v>49</v>
      </c>
      <c r="H115" s="250" t="s">
        <v>1601</v>
      </c>
      <c r="I115" s="250" t="s">
        <v>2271</v>
      </c>
      <c r="J115" s="263" t="s">
        <v>2273</v>
      </c>
    </row>
    <row r="116" spans="1:10">
      <c r="A116" s="253"/>
      <c r="G116" s="250" t="s">
        <v>1066</v>
      </c>
      <c r="H116" s="250" t="s">
        <v>1741</v>
      </c>
      <c r="I116" s="250" t="s">
        <v>2271</v>
      </c>
      <c r="J116" s="263" t="s">
        <v>2272</v>
      </c>
    </row>
    <row r="117" spans="1:10">
      <c r="A117" s="253"/>
      <c r="G117" s="250" t="s">
        <v>1133</v>
      </c>
      <c r="H117" s="250" t="s">
        <v>1607</v>
      </c>
      <c r="I117" s="250" t="s">
        <v>2271</v>
      </c>
      <c r="J117" s="263" t="s">
        <v>2272</v>
      </c>
    </row>
    <row r="118" spans="1:10">
      <c r="A118" s="253"/>
      <c r="G118" s="250" t="s">
        <v>127</v>
      </c>
      <c r="H118" s="250" t="s">
        <v>1607</v>
      </c>
      <c r="I118" s="250" t="s">
        <v>2271</v>
      </c>
      <c r="J118" s="263" t="s">
        <v>2272</v>
      </c>
    </row>
    <row r="119" spans="1:10">
      <c r="A119" s="253"/>
      <c r="G119" s="250" t="s">
        <v>134</v>
      </c>
      <c r="H119" s="250" t="s">
        <v>1607</v>
      </c>
      <c r="I119" s="250" t="s">
        <v>2271</v>
      </c>
      <c r="J119" s="263" t="s">
        <v>2272</v>
      </c>
    </row>
    <row r="120" spans="1:10">
      <c r="A120" s="253"/>
      <c r="G120" s="250" t="s">
        <v>224</v>
      </c>
      <c r="H120" s="250" t="s">
        <v>1616</v>
      </c>
      <c r="I120" s="250" t="s">
        <v>2271</v>
      </c>
      <c r="J120" s="263" t="s">
        <v>2273</v>
      </c>
    </row>
    <row r="121" spans="1:10">
      <c r="A121" s="253"/>
      <c r="G121" s="250" t="s">
        <v>231</v>
      </c>
      <c r="H121" s="250" t="s">
        <v>1616</v>
      </c>
      <c r="I121" s="250" t="s">
        <v>2271</v>
      </c>
      <c r="J121" s="263" t="s">
        <v>2272</v>
      </c>
    </row>
    <row r="122" spans="1:10">
      <c r="A122" s="253"/>
      <c r="G122" s="250" t="s">
        <v>235</v>
      </c>
      <c r="H122" s="250" t="s">
        <v>1616</v>
      </c>
      <c r="I122" s="250" t="s">
        <v>2271</v>
      </c>
      <c r="J122" s="263" t="s">
        <v>2273</v>
      </c>
    </row>
    <row r="123" spans="1:10">
      <c r="A123" s="253"/>
      <c r="G123" s="250" t="s">
        <v>237</v>
      </c>
      <c r="H123" s="250" t="s">
        <v>1616</v>
      </c>
      <c r="I123" s="250" t="s">
        <v>2271</v>
      </c>
      <c r="J123" s="263" t="s">
        <v>2273</v>
      </c>
    </row>
    <row r="124" spans="1:10">
      <c r="A124" s="253"/>
      <c r="G124" s="250" t="s">
        <v>240</v>
      </c>
      <c r="H124" s="250" t="s">
        <v>1616</v>
      </c>
      <c r="I124" s="250" t="s">
        <v>2271</v>
      </c>
      <c r="J124" s="263" t="s">
        <v>2272</v>
      </c>
    </row>
    <row r="125" spans="1:10">
      <c r="A125" s="253"/>
      <c r="G125" s="250" t="s">
        <v>243</v>
      </c>
      <c r="H125" s="250" t="s">
        <v>1616</v>
      </c>
      <c r="I125" s="250" t="s">
        <v>2271</v>
      </c>
      <c r="J125" s="263" t="s">
        <v>2273</v>
      </c>
    </row>
    <row r="126" spans="1:10">
      <c r="A126" s="253"/>
      <c r="G126" s="250" t="s">
        <v>246</v>
      </c>
      <c r="H126" s="250" t="s">
        <v>1616</v>
      </c>
      <c r="I126" s="250" t="s">
        <v>2271</v>
      </c>
      <c r="J126" s="263" t="s">
        <v>2273</v>
      </c>
    </row>
    <row r="127" spans="1:10">
      <c r="A127" s="253"/>
      <c r="G127" s="250" t="s">
        <v>249</v>
      </c>
      <c r="H127" s="250" t="s">
        <v>1616</v>
      </c>
      <c r="I127" s="250" t="s">
        <v>2271</v>
      </c>
      <c r="J127" s="263" t="s">
        <v>2273</v>
      </c>
    </row>
    <row r="128" spans="1:10">
      <c r="A128" s="253"/>
      <c r="G128" s="250" t="s">
        <v>252</v>
      </c>
      <c r="H128" s="250" t="s">
        <v>1608</v>
      </c>
      <c r="I128" s="250" t="s">
        <v>2271</v>
      </c>
      <c r="J128" s="263" t="s">
        <v>2272</v>
      </c>
    </row>
    <row r="129" spans="1:10">
      <c r="A129" s="253"/>
      <c r="G129" s="250" t="s">
        <v>257</v>
      </c>
      <c r="H129" s="250" t="s">
        <v>1608</v>
      </c>
      <c r="I129" s="250" t="s">
        <v>2271</v>
      </c>
      <c r="J129" s="263" t="s">
        <v>2272</v>
      </c>
    </row>
    <row r="130" spans="1:10">
      <c r="A130" s="253"/>
      <c r="G130" s="250" t="s">
        <v>260</v>
      </c>
      <c r="H130" s="250" t="s">
        <v>1608</v>
      </c>
      <c r="I130" s="250" t="s">
        <v>2271</v>
      </c>
      <c r="J130" s="263" t="s">
        <v>2273</v>
      </c>
    </row>
    <row r="131" spans="1:10">
      <c r="A131" s="253"/>
      <c r="G131" s="250" t="s">
        <v>264</v>
      </c>
      <c r="H131" s="250" t="s">
        <v>1608</v>
      </c>
      <c r="I131" s="250" t="s">
        <v>2271</v>
      </c>
      <c r="J131" s="263" t="s">
        <v>2272</v>
      </c>
    </row>
    <row r="132" spans="1:10">
      <c r="A132" s="253"/>
      <c r="G132" s="250" t="s">
        <v>266</v>
      </c>
      <c r="H132" s="250" t="s">
        <v>1608</v>
      </c>
      <c r="I132" s="250" t="s">
        <v>2271</v>
      </c>
      <c r="J132" s="263" t="s">
        <v>2273</v>
      </c>
    </row>
    <row r="133" spans="1:10">
      <c r="A133" s="253"/>
      <c r="G133" s="250" t="s">
        <v>507</v>
      </c>
      <c r="H133" s="250" t="s">
        <v>1629</v>
      </c>
      <c r="I133" s="250" t="s">
        <v>2271</v>
      </c>
      <c r="J133" s="263" t="s">
        <v>2273</v>
      </c>
    </row>
    <row r="134" spans="1:10">
      <c r="A134" s="253"/>
      <c r="G134" s="250" t="s">
        <v>514</v>
      </c>
      <c r="H134" s="250" t="s">
        <v>1629</v>
      </c>
      <c r="I134" s="250" t="s">
        <v>2271</v>
      </c>
      <c r="J134" s="263" t="s">
        <v>2273</v>
      </c>
    </row>
    <row r="135" spans="1:10">
      <c r="A135" s="253"/>
      <c r="G135" s="250" t="s">
        <v>521</v>
      </c>
      <c r="H135" s="250" t="s">
        <v>1629</v>
      </c>
      <c r="I135" s="250" t="s">
        <v>2271</v>
      </c>
      <c r="J135" s="263" t="s">
        <v>2273</v>
      </c>
    </row>
    <row r="136" spans="1:10">
      <c r="A136" s="253"/>
      <c r="G136" s="250" t="s">
        <v>526</v>
      </c>
      <c r="H136" s="250" t="s">
        <v>1629</v>
      </c>
      <c r="I136" s="250" t="s">
        <v>2271</v>
      </c>
      <c r="J136" s="263" t="s">
        <v>2273</v>
      </c>
    </row>
    <row r="137" spans="1:10">
      <c r="A137" s="253"/>
      <c r="G137" s="250" t="s">
        <v>998</v>
      </c>
      <c r="H137" s="250" t="s">
        <v>1729</v>
      </c>
      <c r="I137" s="250" t="s">
        <v>2271</v>
      </c>
      <c r="J137" s="263" t="s">
        <v>2272</v>
      </c>
    </row>
    <row r="138" spans="1:10">
      <c r="A138" s="253"/>
      <c r="G138" s="250" t="s">
        <v>935</v>
      </c>
      <c r="H138" s="250" t="s">
        <v>1719</v>
      </c>
      <c r="I138" s="250" t="s">
        <v>2271</v>
      </c>
      <c r="J138" s="263" t="s">
        <v>2273</v>
      </c>
    </row>
    <row r="139" spans="1:10">
      <c r="A139" s="253"/>
      <c r="G139" s="250" t="s">
        <v>941</v>
      </c>
      <c r="H139" s="250" t="s">
        <v>1719</v>
      </c>
      <c r="I139" s="250" t="s">
        <v>2271</v>
      </c>
      <c r="J139" s="263" t="s">
        <v>2273</v>
      </c>
    </row>
    <row r="140" spans="1:10">
      <c r="A140" s="253"/>
      <c r="G140" s="250" t="s">
        <v>887</v>
      </c>
      <c r="H140" s="250" t="s">
        <v>1709</v>
      </c>
      <c r="I140" s="250" t="s">
        <v>2271</v>
      </c>
      <c r="J140" s="263" t="s">
        <v>2272</v>
      </c>
    </row>
    <row r="141" spans="1:10">
      <c r="A141" s="253"/>
      <c r="G141" s="250" t="s">
        <v>969</v>
      </c>
      <c r="H141" s="250" t="s">
        <v>1725</v>
      </c>
      <c r="I141" s="250" t="s">
        <v>2271</v>
      </c>
      <c r="J141" s="263" t="s">
        <v>2272</v>
      </c>
    </row>
    <row r="142" spans="1:10">
      <c r="A142" s="253"/>
      <c r="G142" s="250" t="s">
        <v>1041</v>
      </c>
      <c r="H142" s="250" t="s">
        <v>1742</v>
      </c>
      <c r="I142" s="250" t="s">
        <v>2271</v>
      </c>
      <c r="J142" s="263" t="s">
        <v>2273</v>
      </c>
    </row>
    <row r="143" spans="1:10">
      <c r="A143" s="253"/>
      <c r="G143" s="250" t="s">
        <v>1046</v>
      </c>
      <c r="H143" s="250" t="s">
        <v>1742</v>
      </c>
      <c r="I143" s="250" t="s">
        <v>2271</v>
      </c>
      <c r="J143" s="263" t="s">
        <v>2273</v>
      </c>
    </row>
    <row r="144" spans="1:10">
      <c r="A144" s="253"/>
      <c r="G144" s="250" t="s">
        <v>607</v>
      </c>
      <c r="H144" s="250" t="s">
        <v>1671</v>
      </c>
      <c r="I144" s="250" t="s">
        <v>2271</v>
      </c>
      <c r="J144" s="263" t="s">
        <v>2272</v>
      </c>
    </row>
    <row r="145" spans="1:10">
      <c r="A145" s="253"/>
      <c r="G145" s="250" t="s">
        <v>614</v>
      </c>
      <c r="H145" s="250" t="s">
        <v>1671</v>
      </c>
      <c r="I145" s="250" t="s">
        <v>2271</v>
      </c>
      <c r="J145" s="263" t="s">
        <v>2272</v>
      </c>
    </row>
    <row r="146" spans="1:10">
      <c r="A146" s="253"/>
      <c r="G146" s="250" t="s">
        <v>618</v>
      </c>
      <c r="H146" s="250" t="s">
        <v>1671</v>
      </c>
      <c r="I146" s="250" t="s">
        <v>2271</v>
      </c>
      <c r="J146" s="263" t="s">
        <v>2272</v>
      </c>
    </row>
    <row r="147" spans="1:10">
      <c r="A147" s="253"/>
      <c r="G147" s="250" t="s">
        <v>621</v>
      </c>
      <c r="H147" s="250" t="s">
        <v>1671</v>
      </c>
      <c r="I147" s="250" t="s">
        <v>2271</v>
      </c>
      <c r="J147" s="263" t="s">
        <v>2272</v>
      </c>
    </row>
    <row r="148" spans="1:10">
      <c r="A148" s="253"/>
      <c r="G148" s="250" t="s">
        <v>624</v>
      </c>
      <c r="H148" s="250" t="s">
        <v>1673</v>
      </c>
      <c r="I148" s="250" t="s">
        <v>2271</v>
      </c>
      <c r="J148" s="263" t="s">
        <v>2273</v>
      </c>
    </row>
    <row r="149" spans="1:10">
      <c r="A149" s="253"/>
      <c r="G149" s="250" t="s">
        <v>630</v>
      </c>
      <c r="H149" s="250" t="s">
        <v>1673</v>
      </c>
      <c r="I149" s="250" t="s">
        <v>2271</v>
      </c>
      <c r="J149" s="263" t="s">
        <v>2272</v>
      </c>
    </row>
    <row r="150" spans="1:10">
      <c r="A150" s="253"/>
      <c r="G150" s="250" t="s">
        <v>1104</v>
      </c>
      <c r="H150" s="250" t="s">
        <v>1749</v>
      </c>
      <c r="I150" s="250" t="s">
        <v>2271</v>
      </c>
      <c r="J150" s="263" t="s">
        <v>2272</v>
      </c>
    </row>
    <row r="151" spans="1:10">
      <c r="A151" s="253"/>
      <c r="G151" s="250" t="s">
        <v>853</v>
      </c>
      <c r="H151" s="250" t="s">
        <v>1702</v>
      </c>
      <c r="I151" s="250" t="s">
        <v>2271</v>
      </c>
      <c r="J151" s="263" t="s">
        <v>2272</v>
      </c>
    </row>
    <row r="152" spans="1:10">
      <c r="A152" s="253"/>
      <c r="G152" s="250" t="s">
        <v>538</v>
      </c>
      <c r="H152" s="250" t="s">
        <v>1647</v>
      </c>
      <c r="I152" s="250" t="s">
        <v>2271</v>
      </c>
      <c r="J152" s="263" t="s">
        <v>2272</v>
      </c>
    </row>
    <row r="153" spans="1:10">
      <c r="A153" s="253"/>
      <c r="G153" s="250" t="s">
        <v>1056</v>
      </c>
      <c r="H153" s="250" t="s">
        <v>1736</v>
      </c>
      <c r="I153" s="250" t="s">
        <v>2271</v>
      </c>
      <c r="J153" s="263" t="s">
        <v>2277</v>
      </c>
    </row>
    <row r="154" spans="1:10">
      <c r="A154" s="253"/>
      <c r="G154" s="250" t="s">
        <v>1061</v>
      </c>
      <c r="H154" s="250" t="s">
        <v>1736</v>
      </c>
      <c r="I154" s="250" t="s">
        <v>2271</v>
      </c>
      <c r="J154" s="263" t="s">
        <v>2277</v>
      </c>
    </row>
    <row r="155" spans="1:10">
      <c r="A155" s="253"/>
      <c r="G155" s="250" t="s">
        <v>325</v>
      </c>
      <c r="H155" s="250" t="s">
        <v>1636</v>
      </c>
      <c r="I155" s="250" t="s">
        <v>2271</v>
      </c>
      <c r="J155" s="263" t="s">
        <v>2273</v>
      </c>
    </row>
    <row r="156" spans="1:10">
      <c r="A156" s="253"/>
      <c r="G156" s="250" t="s">
        <v>331</v>
      </c>
      <c r="H156" s="250" t="s">
        <v>1636</v>
      </c>
      <c r="I156" s="250" t="s">
        <v>2271</v>
      </c>
      <c r="J156" s="263" t="s">
        <v>2272</v>
      </c>
    </row>
    <row r="157" spans="1:10">
      <c r="A157" s="253"/>
      <c r="G157" s="250" t="s">
        <v>335</v>
      </c>
      <c r="H157" s="250" t="s">
        <v>1636</v>
      </c>
      <c r="I157" s="250" t="s">
        <v>2271</v>
      </c>
      <c r="J157" s="263" t="s">
        <v>2273</v>
      </c>
    </row>
    <row r="158" spans="1:10">
      <c r="A158" s="253"/>
      <c r="G158" s="250" t="s">
        <v>339</v>
      </c>
      <c r="H158" s="250" t="s">
        <v>1636</v>
      </c>
      <c r="I158" s="250" t="s">
        <v>2271</v>
      </c>
      <c r="J158" s="263" t="s">
        <v>2272</v>
      </c>
    </row>
    <row r="159" spans="1:10">
      <c r="A159" s="253"/>
      <c r="G159" s="250" t="s">
        <v>342</v>
      </c>
      <c r="H159" s="250" t="s">
        <v>1636</v>
      </c>
      <c r="I159" s="250" t="s">
        <v>2271</v>
      </c>
      <c r="J159" s="263" t="s">
        <v>2273</v>
      </c>
    </row>
    <row r="160" spans="1:10">
      <c r="A160" s="253"/>
      <c r="G160" s="250" t="s">
        <v>345</v>
      </c>
      <c r="H160" s="250" t="s">
        <v>1636</v>
      </c>
      <c r="I160" s="250" t="s">
        <v>2271</v>
      </c>
      <c r="J160" s="263" t="s">
        <v>2273</v>
      </c>
    </row>
    <row r="161" spans="1:10">
      <c r="A161" s="253"/>
      <c r="G161" s="250" t="s">
        <v>348</v>
      </c>
      <c r="H161" s="250" t="s">
        <v>1636</v>
      </c>
      <c r="I161" s="250" t="s">
        <v>2271</v>
      </c>
      <c r="J161" s="263" t="s">
        <v>2272</v>
      </c>
    </row>
    <row r="162" spans="1:10">
      <c r="A162" s="253"/>
      <c r="G162" s="250" t="s">
        <v>750</v>
      </c>
      <c r="H162" s="250" t="s">
        <v>1687</v>
      </c>
      <c r="I162" s="250" t="s">
        <v>2271</v>
      </c>
      <c r="J162" s="263" t="s">
        <v>2272</v>
      </c>
    </row>
    <row r="163" spans="1:10">
      <c r="A163" s="253"/>
      <c r="G163" s="250" t="s">
        <v>756</v>
      </c>
      <c r="H163" s="250" t="s">
        <v>1687</v>
      </c>
      <c r="I163" s="250" t="s">
        <v>2271</v>
      </c>
      <c r="J163" s="263" t="s">
        <v>2272</v>
      </c>
    </row>
    <row r="164" spans="1:10">
      <c r="A164" s="253"/>
      <c r="G164" s="250" t="s">
        <v>761</v>
      </c>
      <c r="H164" s="250" t="s">
        <v>1687</v>
      </c>
      <c r="I164" s="250" t="s">
        <v>2271</v>
      </c>
      <c r="J164" s="263" t="s">
        <v>2272</v>
      </c>
    </row>
    <row r="165" spans="1:10">
      <c r="A165" s="253"/>
      <c r="G165" s="250" t="s">
        <v>297</v>
      </c>
      <c r="H165" s="250" t="s">
        <v>1625</v>
      </c>
      <c r="I165" s="250" t="s">
        <v>2271</v>
      </c>
      <c r="J165" s="263" t="s">
        <v>2272</v>
      </c>
    </row>
    <row r="166" spans="1:10">
      <c r="A166" s="253"/>
      <c r="G166" s="250" t="s">
        <v>635</v>
      </c>
      <c r="H166" s="250" t="s">
        <v>1669</v>
      </c>
      <c r="I166" s="250" t="s">
        <v>2271</v>
      </c>
      <c r="J166" s="263" t="s">
        <v>2272</v>
      </c>
    </row>
    <row r="167" spans="1:10">
      <c r="A167" s="253"/>
      <c r="G167" s="250" t="s">
        <v>694</v>
      </c>
      <c r="H167" s="250" t="s">
        <v>1667</v>
      </c>
      <c r="I167" s="250" t="s">
        <v>2278</v>
      </c>
      <c r="J167" s="263" t="s">
        <v>2273</v>
      </c>
    </row>
    <row r="168" spans="1:10">
      <c r="A168" s="253"/>
      <c r="G168" s="250" t="s">
        <v>585</v>
      </c>
      <c r="H168" s="250" t="s">
        <v>1662</v>
      </c>
      <c r="I168" s="250" t="s">
        <v>2278</v>
      </c>
      <c r="J168" s="263" t="s">
        <v>2279</v>
      </c>
    </row>
    <row r="169" spans="1:10">
      <c r="A169" s="253"/>
      <c r="G169" s="250" t="s">
        <v>216</v>
      </c>
      <c r="H169" s="250" t="s">
        <v>2276</v>
      </c>
      <c r="I169" s="250" t="s">
        <v>2271</v>
      </c>
      <c r="J169" s="263" t="s">
        <v>2272</v>
      </c>
    </row>
    <row r="170" spans="1:10">
      <c r="A170" s="253"/>
      <c r="G170" s="250" t="s">
        <v>218</v>
      </c>
      <c r="H170" s="250" t="s">
        <v>2276</v>
      </c>
      <c r="I170" s="250" t="s">
        <v>2271</v>
      </c>
      <c r="J170" s="263" t="s">
        <v>2272</v>
      </c>
    </row>
    <row r="171" spans="1:10">
      <c r="A171" s="253"/>
      <c r="G171" s="250" t="s">
        <v>221</v>
      </c>
      <c r="H171" s="250" t="s">
        <v>2276</v>
      </c>
      <c r="I171" s="250" t="s">
        <v>2271</v>
      </c>
      <c r="J171" s="263" t="s">
        <v>2272</v>
      </c>
    </row>
    <row r="172" spans="1:10">
      <c r="A172" s="253"/>
      <c r="G172" s="250" t="s">
        <v>1004</v>
      </c>
      <c r="H172" s="250" t="s">
        <v>1731</v>
      </c>
      <c r="I172" s="250" t="s">
        <v>2278</v>
      </c>
      <c r="J172" s="263" t="s">
        <v>2279</v>
      </c>
    </row>
    <row r="173" spans="1:10">
      <c r="A173" s="253"/>
      <c r="G173" s="250" t="s">
        <v>857</v>
      </c>
      <c r="H173" s="250" t="s">
        <v>1703</v>
      </c>
      <c r="I173" s="250" t="s">
        <v>2278</v>
      </c>
      <c r="J173" s="263" t="s">
        <v>2279</v>
      </c>
    </row>
    <row r="174" spans="1:10">
      <c r="A174" s="253"/>
      <c r="G174" s="250" t="s">
        <v>303</v>
      </c>
      <c r="H174" s="250" t="s">
        <v>1627</v>
      </c>
      <c r="I174" s="250" t="s">
        <v>2278</v>
      </c>
      <c r="J174" s="263" t="s">
        <v>2273</v>
      </c>
    </row>
    <row r="175" spans="1:10">
      <c r="A175" s="253"/>
      <c r="G175" s="250" t="s">
        <v>310</v>
      </c>
      <c r="H175" s="250" t="s">
        <v>1627</v>
      </c>
      <c r="I175" s="250" t="s">
        <v>2278</v>
      </c>
      <c r="J175" s="263" t="s">
        <v>2273</v>
      </c>
    </row>
    <row r="176" spans="1:10">
      <c r="A176" s="253"/>
      <c r="G176" s="250" t="s">
        <v>313</v>
      </c>
      <c r="H176" s="250" t="s">
        <v>1627</v>
      </c>
      <c r="I176" s="250" t="s">
        <v>2278</v>
      </c>
      <c r="J176" s="263" t="s">
        <v>2273</v>
      </c>
    </row>
    <row r="177" spans="1:10">
      <c r="A177" s="253"/>
      <c r="G177" s="250" t="s">
        <v>1111</v>
      </c>
      <c r="H177" s="250" t="s">
        <v>1750</v>
      </c>
      <c r="I177" s="250" t="s">
        <v>2278</v>
      </c>
      <c r="J177" s="263" t="s">
        <v>2279</v>
      </c>
    </row>
    <row r="178" spans="1:10">
      <c r="A178" s="253"/>
      <c r="G178" s="250" t="s">
        <v>699</v>
      </c>
      <c r="H178" s="250" t="s">
        <v>1683</v>
      </c>
      <c r="I178" s="250" t="s">
        <v>2278</v>
      </c>
      <c r="J178" s="263" t="s">
        <v>2272</v>
      </c>
    </row>
    <row r="179" spans="1:10">
      <c r="A179" s="253"/>
      <c r="G179" s="250" t="s">
        <v>707</v>
      </c>
      <c r="H179" s="250" t="s">
        <v>1683</v>
      </c>
      <c r="I179" s="250" t="s">
        <v>2278</v>
      </c>
      <c r="J179" s="263" t="s">
        <v>2272</v>
      </c>
    </row>
    <row r="180" spans="1:10">
      <c r="A180" s="253"/>
      <c r="G180" s="250" t="s">
        <v>712</v>
      </c>
      <c r="H180" s="250" t="s">
        <v>1683</v>
      </c>
      <c r="I180" s="250" t="s">
        <v>2278</v>
      </c>
      <c r="J180" s="263" t="s">
        <v>2272</v>
      </c>
    </row>
    <row r="181" spans="1:10">
      <c r="A181" s="253"/>
      <c r="G181" s="250" t="s">
        <v>715</v>
      </c>
      <c r="H181" s="250" t="s">
        <v>1683</v>
      </c>
      <c r="I181" s="250" t="s">
        <v>2278</v>
      </c>
      <c r="J181" s="263" t="s">
        <v>2272</v>
      </c>
    </row>
    <row r="182" spans="1:10">
      <c r="A182" s="253"/>
      <c r="G182" s="250" t="s">
        <v>718</v>
      </c>
      <c r="H182" s="250" t="s">
        <v>1683</v>
      </c>
      <c r="I182" s="250" t="s">
        <v>2278</v>
      </c>
      <c r="J182" s="263" t="s">
        <v>2272</v>
      </c>
    </row>
    <row r="183" spans="1:10">
      <c r="A183" s="253"/>
      <c r="G183" s="250" t="s">
        <v>722</v>
      </c>
      <c r="H183" s="250" t="s">
        <v>1684</v>
      </c>
      <c r="I183" s="250" t="s">
        <v>2278</v>
      </c>
      <c r="J183" s="263" t="s">
        <v>2279</v>
      </c>
    </row>
    <row r="184" spans="1:10">
      <c r="A184" s="253"/>
      <c r="G184" s="250" t="s">
        <v>2126</v>
      </c>
      <c r="H184" s="250" t="s">
        <v>1684</v>
      </c>
      <c r="I184" s="250" t="s">
        <v>2278</v>
      </c>
      <c r="J184" s="263" t="s">
        <v>2279</v>
      </c>
    </row>
    <row r="185" spans="1:10">
      <c r="A185" s="253"/>
      <c r="G185" s="250" t="s">
        <v>1064</v>
      </c>
      <c r="H185" s="250" t="s">
        <v>1743</v>
      </c>
      <c r="I185" s="250" t="s">
        <v>2278</v>
      </c>
      <c r="J185" s="263" t="s">
        <v>2272</v>
      </c>
    </row>
    <row r="186" spans="1:10">
      <c r="A186" s="253"/>
      <c r="G186" s="250" t="s">
        <v>376</v>
      </c>
      <c r="H186" s="250" t="s">
        <v>1650</v>
      </c>
      <c r="I186" s="250" t="s">
        <v>2278</v>
      </c>
      <c r="J186" s="263" t="s">
        <v>2279</v>
      </c>
    </row>
    <row r="187" spans="1:10">
      <c r="A187" s="253"/>
      <c r="G187" s="250" t="s">
        <v>383</v>
      </c>
      <c r="H187" s="250" t="s">
        <v>1650</v>
      </c>
      <c r="I187" s="250" t="s">
        <v>2278</v>
      </c>
      <c r="J187" s="263" t="s">
        <v>2279</v>
      </c>
    </row>
    <row r="188" spans="1:10">
      <c r="A188" s="253"/>
      <c r="G188" s="250" t="s">
        <v>387</v>
      </c>
      <c r="H188" s="250" t="s">
        <v>1650</v>
      </c>
      <c r="I188" s="250" t="s">
        <v>2278</v>
      </c>
      <c r="J188" s="263" t="s">
        <v>2279</v>
      </c>
    </row>
    <row r="189" spans="1:10">
      <c r="A189" s="253"/>
      <c r="G189" s="250" t="s">
        <v>389</v>
      </c>
      <c r="H189" s="250" t="s">
        <v>1650</v>
      </c>
      <c r="I189" s="250" t="s">
        <v>2278</v>
      </c>
      <c r="J189" s="263" t="s">
        <v>2279</v>
      </c>
    </row>
    <row r="190" spans="1:10">
      <c r="A190" s="253"/>
      <c r="G190" s="250" t="s">
        <v>392</v>
      </c>
      <c r="H190" s="250" t="s">
        <v>1650</v>
      </c>
      <c r="I190" s="250" t="s">
        <v>2278</v>
      </c>
      <c r="J190" s="263" t="s">
        <v>2279</v>
      </c>
    </row>
    <row r="191" spans="1:10">
      <c r="A191" s="253"/>
      <c r="G191" s="250" t="s">
        <v>542</v>
      </c>
      <c r="H191" s="250" t="s">
        <v>1660</v>
      </c>
      <c r="I191" s="250" t="s">
        <v>2278</v>
      </c>
      <c r="J191" s="263" t="s">
        <v>2272</v>
      </c>
    </row>
    <row r="192" spans="1:10">
      <c r="A192" s="253"/>
      <c r="G192" s="250" t="s">
        <v>546</v>
      </c>
      <c r="H192" s="250" t="s">
        <v>1660</v>
      </c>
      <c r="I192" s="250" t="s">
        <v>2278</v>
      </c>
      <c r="J192" s="263" t="s">
        <v>2272</v>
      </c>
    </row>
    <row r="193" spans="1:10">
      <c r="A193" s="253"/>
      <c r="G193" s="250" t="s">
        <v>498</v>
      </c>
      <c r="H193" s="250" t="s">
        <v>1660</v>
      </c>
      <c r="I193" s="250" t="s">
        <v>2278</v>
      </c>
      <c r="J193" s="263" t="s">
        <v>2272</v>
      </c>
    </row>
    <row r="194" spans="1:10">
      <c r="A194" s="253"/>
      <c r="G194" s="250" t="s">
        <v>504</v>
      </c>
      <c r="H194" s="250" t="s">
        <v>1660</v>
      </c>
      <c r="I194" s="250" t="s">
        <v>2278</v>
      </c>
      <c r="J194" s="263" t="s">
        <v>2272</v>
      </c>
    </row>
    <row r="195" spans="1:10">
      <c r="A195" s="253"/>
      <c r="G195" s="250" t="s">
        <v>596</v>
      </c>
      <c r="H195" s="250" t="s">
        <v>1665</v>
      </c>
      <c r="I195" s="250" t="s">
        <v>2278</v>
      </c>
      <c r="J195" s="263" t="s">
        <v>2279</v>
      </c>
    </row>
    <row r="196" spans="1:10">
      <c r="A196" s="253"/>
      <c r="G196" s="250" t="s">
        <v>974</v>
      </c>
      <c r="H196" s="250" t="s">
        <v>1724</v>
      </c>
      <c r="I196" s="250" t="s">
        <v>2278</v>
      </c>
      <c r="J196" s="263" t="s">
        <v>2279</v>
      </c>
    </row>
    <row r="197" spans="1:10">
      <c r="A197" s="253"/>
      <c r="G197" s="250" t="s">
        <v>2038</v>
      </c>
      <c r="H197" s="250" t="s">
        <v>1724</v>
      </c>
      <c r="I197" s="250" t="s">
        <v>2278</v>
      </c>
      <c r="J197" s="263" t="s">
        <v>2279</v>
      </c>
    </row>
    <row r="198" spans="1:10">
      <c r="A198" s="253"/>
      <c r="G198" s="250" t="s">
        <v>981</v>
      </c>
      <c r="H198" s="250" t="s">
        <v>1724</v>
      </c>
      <c r="I198" s="250" t="s">
        <v>2278</v>
      </c>
      <c r="J198" s="263" t="s">
        <v>2279</v>
      </c>
    </row>
    <row r="199" spans="1:10">
      <c r="A199" s="253"/>
      <c r="G199" s="250" t="s">
        <v>985</v>
      </c>
      <c r="H199" s="250" t="s">
        <v>1726</v>
      </c>
      <c r="I199" s="250" t="s">
        <v>2278</v>
      </c>
      <c r="J199" s="263" t="s">
        <v>2279</v>
      </c>
    </row>
    <row r="200" spans="1:10">
      <c r="A200" s="253"/>
      <c r="G200" s="250" t="s">
        <v>990</v>
      </c>
      <c r="H200" s="250" t="s">
        <v>1726</v>
      </c>
      <c r="I200" s="250" t="s">
        <v>2278</v>
      </c>
      <c r="J200" s="263" t="s">
        <v>2279</v>
      </c>
    </row>
    <row r="201" spans="1:10">
      <c r="A201" s="253"/>
      <c r="G201" s="250" t="s">
        <v>993</v>
      </c>
      <c r="H201" s="250" t="s">
        <v>1726</v>
      </c>
      <c r="I201" s="250" t="s">
        <v>2278</v>
      </c>
      <c r="J201" s="263" t="s">
        <v>2279</v>
      </c>
    </row>
    <row r="202" spans="1:10">
      <c r="A202" s="253"/>
      <c r="G202" s="250" t="s">
        <v>996</v>
      </c>
      <c r="H202" s="250" t="s">
        <v>1726</v>
      </c>
      <c r="I202" s="250" t="s">
        <v>2278</v>
      </c>
      <c r="J202" s="263" t="s">
        <v>2279</v>
      </c>
    </row>
    <row r="203" spans="1:10">
      <c r="A203" s="253"/>
      <c r="G203" s="250" t="s">
        <v>1010</v>
      </c>
      <c r="H203" s="250" t="s">
        <v>1732</v>
      </c>
      <c r="I203" s="250" t="s">
        <v>2278</v>
      </c>
      <c r="J203" s="263" t="s">
        <v>2273</v>
      </c>
    </row>
    <row r="204" spans="1:10">
      <c r="A204" s="253"/>
      <c r="G204" s="250" t="s">
        <v>1016</v>
      </c>
      <c r="H204" s="250" t="s">
        <v>1732</v>
      </c>
      <c r="I204" s="250" t="s">
        <v>2278</v>
      </c>
      <c r="J204" s="263" t="s">
        <v>2279</v>
      </c>
    </row>
    <row r="205" spans="1:10">
      <c r="A205" s="253"/>
      <c r="G205" s="250" t="s">
        <v>892</v>
      </c>
      <c r="H205" s="250" t="s">
        <v>1710</v>
      </c>
      <c r="I205" s="250" t="s">
        <v>2278</v>
      </c>
      <c r="J205" s="263" t="s">
        <v>2273</v>
      </c>
    </row>
    <row r="206" spans="1:10">
      <c r="A206" s="253"/>
      <c r="G206" s="250" t="s">
        <v>779</v>
      </c>
      <c r="H206" s="250" t="s">
        <v>1692</v>
      </c>
      <c r="I206" s="250" t="s">
        <v>2278</v>
      </c>
      <c r="J206" s="263" t="s">
        <v>2273</v>
      </c>
    </row>
    <row r="207" spans="1:10">
      <c r="A207" s="253"/>
      <c r="G207" s="250" t="s">
        <v>863</v>
      </c>
      <c r="H207" s="250" t="s">
        <v>1704</v>
      </c>
      <c r="I207" s="250" t="s">
        <v>2278</v>
      </c>
      <c r="J207" s="263" t="s">
        <v>2279</v>
      </c>
    </row>
    <row r="208" spans="1:10">
      <c r="A208" s="253"/>
      <c r="G208" s="250" t="s">
        <v>868</v>
      </c>
      <c r="H208" s="250" t="s">
        <v>1704</v>
      </c>
      <c r="I208" s="250" t="s">
        <v>2278</v>
      </c>
      <c r="J208" s="263" t="s">
        <v>2279</v>
      </c>
    </row>
    <row r="209" spans="1:10">
      <c r="A209" s="253"/>
      <c r="G209" s="250" t="s">
        <v>795</v>
      </c>
      <c r="H209" s="250" t="s">
        <v>1696</v>
      </c>
      <c r="I209" s="250" t="s">
        <v>2278</v>
      </c>
      <c r="J209" s="263" t="s">
        <v>2279</v>
      </c>
    </row>
    <row r="210" spans="1:10">
      <c r="A210" s="253"/>
      <c r="G210" s="250" t="s">
        <v>802</v>
      </c>
      <c r="H210" s="250" t="s">
        <v>1696</v>
      </c>
      <c r="I210" s="250" t="s">
        <v>2278</v>
      </c>
      <c r="J210" s="263" t="s">
        <v>2279</v>
      </c>
    </row>
    <row r="211" spans="1:10">
      <c r="A211" s="253"/>
      <c r="G211" s="250" t="s">
        <v>784</v>
      </c>
      <c r="H211" s="250" t="s">
        <v>1693</v>
      </c>
      <c r="I211" s="250" t="s">
        <v>2278</v>
      </c>
      <c r="J211" s="263" t="s">
        <v>2279</v>
      </c>
    </row>
    <row r="212" spans="1:10">
      <c r="A212" s="253"/>
      <c r="G212" s="250" t="s">
        <v>791</v>
      </c>
      <c r="H212" s="250" t="s">
        <v>1693</v>
      </c>
      <c r="I212" s="250" t="s">
        <v>2278</v>
      </c>
      <c r="J212" s="263" t="s">
        <v>2279</v>
      </c>
    </row>
    <row r="213" spans="1:10">
      <c r="A213" s="253"/>
      <c r="G213" s="250" t="s">
        <v>870</v>
      </c>
      <c r="H213" s="250" t="s">
        <v>1705</v>
      </c>
      <c r="I213" s="250" t="s">
        <v>2278</v>
      </c>
      <c r="J213" s="263" t="s">
        <v>2279</v>
      </c>
    </row>
    <row r="214" spans="1:10">
      <c r="A214" s="253"/>
      <c r="G214" s="250" t="s">
        <v>876</v>
      </c>
      <c r="H214" s="250" t="s">
        <v>1705</v>
      </c>
      <c r="I214" s="250" t="s">
        <v>2278</v>
      </c>
      <c r="J214" s="263" t="s">
        <v>2279</v>
      </c>
    </row>
    <row r="215" spans="1:10">
      <c r="A215" s="253"/>
      <c r="G215" s="250" t="s">
        <v>903</v>
      </c>
      <c r="H215" s="250" t="s">
        <v>1711</v>
      </c>
      <c r="I215" s="250" t="s">
        <v>2278</v>
      </c>
      <c r="J215" s="263" t="s">
        <v>2279</v>
      </c>
    </row>
    <row r="216" spans="1:10">
      <c r="A216" s="253"/>
      <c r="G216" s="250" t="s">
        <v>466</v>
      </c>
      <c r="H216" s="250" t="s">
        <v>1656</v>
      </c>
      <c r="I216" s="250" t="s">
        <v>2278</v>
      </c>
      <c r="J216" s="263" t="s">
        <v>2279</v>
      </c>
    </row>
    <row r="217" spans="1:10">
      <c r="A217" s="253"/>
      <c r="G217" s="250" t="s">
        <v>471</v>
      </c>
      <c r="H217" s="250" t="s">
        <v>1656</v>
      </c>
      <c r="I217" s="250" t="s">
        <v>2278</v>
      </c>
      <c r="J217" s="263" t="s">
        <v>2279</v>
      </c>
    </row>
    <row r="218" spans="1:10">
      <c r="A218" s="253"/>
      <c r="G218" s="250" t="s">
        <v>425</v>
      </c>
      <c r="H218" s="250" t="s">
        <v>1656</v>
      </c>
      <c r="I218" s="250" t="s">
        <v>2278</v>
      </c>
      <c r="J218" s="263" t="s">
        <v>2279</v>
      </c>
    </row>
    <row r="219" spans="1:10">
      <c r="A219" s="253"/>
      <c r="G219" s="250" t="s">
        <v>371</v>
      </c>
      <c r="H219" s="250" t="s">
        <v>1651</v>
      </c>
      <c r="I219" s="250" t="s">
        <v>2278</v>
      </c>
      <c r="J219" s="263" t="s">
        <v>2272</v>
      </c>
    </row>
    <row r="220" spans="1:10">
      <c r="A220" s="253"/>
      <c r="G220" s="250" t="s">
        <v>430</v>
      </c>
      <c r="H220" s="250" t="s">
        <v>1659</v>
      </c>
      <c r="I220" s="250" t="s">
        <v>2278</v>
      </c>
      <c r="J220" s="263" t="s">
        <v>2279</v>
      </c>
    </row>
    <row r="221" spans="1:10">
      <c r="A221" s="253"/>
      <c r="G221" s="250" t="s">
        <v>433</v>
      </c>
      <c r="H221" s="250" t="s">
        <v>1659</v>
      </c>
      <c r="I221" s="250" t="s">
        <v>2278</v>
      </c>
      <c r="J221" s="263" t="s">
        <v>2279</v>
      </c>
    </row>
    <row r="222" spans="1:10">
      <c r="A222" s="253"/>
      <c r="G222" s="250" t="s">
        <v>410</v>
      </c>
      <c r="H222" s="250" t="s">
        <v>1659</v>
      </c>
      <c r="I222" s="250" t="s">
        <v>2278</v>
      </c>
      <c r="J222" s="263" t="s">
        <v>2279</v>
      </c>
    </row>
    <row r="223" spans="1:10">
      <c r="A223" s="253"/>
      <c r="G223" s="250" t="s">
        <v>435</v>
      </c>
      <c r="H223" s="250" t="s">
        <v>1659</v>
      </c>
      <c r="I223" s="250" t="s">
        <v>2278</v>
      </c>
      <c r="J223" s="263" t="s">
        <v>2279</v>
      </c>
    </row>
    <row r="224" spans="1:10">
      <c r="A224" s="253"/>
      <c r="G224" s="250" t="s">
        <v>416</v>
      </c>
      <c r="H224" s="250" t="s">
        <v>1659</v>
      </c>
      <c r="I224" s="250" t="s">
        <v>2278</v>
      </c>
      <c r="J224" s="263" t="s">
        <v>2279</v>
      </c>
    </row>
    <row r="225" spans="1:10">
      <c r="A225" s="253"/>
      <c r="G225" s="250" t="s">
        <v>419</v>
      </c>
      <c r="H225" s="250" t="s">
        <v>1659</v>
      </c>
      <c r="I225" s="250" t="s">
        <v>2278</v>
      </c>
      <c r="J225" s="263" t="s">
        <v>2279</v>
      </c>
    </row>
    <row r="226" spans="1:10">
      <c r="A226" s="253"/>
      <c r="G226" s="250" t="s">
        <v>422</v>
      </c>
      <c r="H226" s="250" t="s">
        <v>1659</v>
      </c>
      <c r="I226" s="250" t="s">
        <v>2278</v>
      </c>
      <c r="J226" s="263" t="s">
        <v>2279</v>
      </c>
    </row>
    <row r="227" spans="1:10">
      <c r="A227" s="253"/>
      <c r="G227" s="250" t="s">
        <v>438</v>
      </c>
      <c r="H227" s="250" t="s">
        <v>1659</v>
      </c>
      <c r="I227" s="250" t="s">
        <v>2278</v>
      </c>
      <c r="J227" s="263" t="s">
        <v>2279</v>
      </c>
    </row>
    <row r="228" spans="1:10">
      <c r="A228" s="253"/>
      <c r="G228" s="250" t="s">
        <v>2213</v>
      </c>
      <c r="H228" s="250" t="s">
        <v>1643</v>
      </c>
      <c r="I228" s="250" t="s">
        <v>2278</v>
      </c>
      <c r="J228" s="263" t="s">
        <v>2279</v>
      </c>
    </row>
    <row r="229" spans="1:10">
      <c r="A229" s="253"/>
      <c r="G229" s="250" t="s">
        <v>487</v>
      </c>
      <c r="H229" s="250" t="s">
        <v>1643</v>
      </c>
      <c r="I229" s="250" t="s">
        <v>2278</v>
      </c>
      <c r="J229" s="263" t="s">
        <v>2279</v>
      </c>
    </row>
    <row r="230" spans="1:10">
      <c r="A230" s="253"/>
      <c r="G230" s="250" t="s">
        <v>494</v>
      </c>
      <c r="H230" s="250" t="s">
        <v>1643</v>
      </c>
      <c r="I230" s="250" t="s">
        <v>2278</v>
      </c>
      <c r="J230" s="263" t="s">
        <v>2279</v>
      </c>
    </row>
    <row r="231" spans="1:10">
      <c r="A231" s="253"/>
      <c r="G231" s="250" t="s">
        <v>640</v>
      </c>
      <c r="H231" s="250" t="s">
        <v>1675</v>
      </c>
      <c r="I231" s="250" t="s">
        <v>2278</v>
      </c>
      <c r="J231" s="263" t="s">
        <v>2279</v>
      </c>
    </row>
    <row r="232" spans="1:10">
      <c r="A232" s="253"/>
      <c r="G232" s="250" t="s">
        <v>601</v>
      </c>
      <c r="H232" s="250" t="s">
        <v>1666</v>
      </c>
      <c r="I232" s="250" t="s">
        <v>2278</v>
      </c>
      <c r="J232" s="263" t="s">
        <v>2279</v>
      </c>
    </row>
    <row r="233" spans="1:10">
      <c r="A233" s="253"/>
      <c r="G233" s="250" t="s">
        <v>1017</v>
      </c>
      <c r="H233" s="250" t="s">
        <v>1733</v>
      </c>
      <c r="I233" s="250" t="s">
        <v>2278</v>
      </c>
      <c r="J233" s="263" t="s">
        <v>2279</v>
      </c>
    </row>
    <row r="234" spans="1:10">
      <c r="A234" s="253"/>
      <c r="G234" s="250" t="s">
        <v>401</v>
      </c>
      <c r="H234" s="250" t="s">
        <v>1632</v>
      </c>
      <c r="I234" s="250" t="s">
        <v>2278</v>
      </c>
      <c r="J234" s="263" t="s">
        <v>2279</v>
      </c>
    </row>
    <row r="235" spans="1:10">
      <c r="A235" s="253"/>
      <c r="G235" s="250" t="s">
        <v>407</v>
      </c>
      <c r="H235" s="250" t="s">
        <v>1632</v>
      </c>
      <c r="I235" s="250" t="s">
        <v>2278</v>
      </c>
      <c r="J235" s="263" t="s">
        <v>2279</v>
      </c>
    </row>
    <row r="236" spans="1:10">
      <c r="A236" s="253"/>
      <c r="G236" s="250" t="s">
        <v>805</v>
      </c>
      <c r="H236" s="250" t="s">
        <v>1698</v>
      </c>
      <c r="I236" s="250" t="s">
        <v>2278</v>
      </c>
      <c r="J236" s="263" t="s">
        <v>2279</v>
      </c>
    </row>
    <row r="237" spans="1:10">
      <c r="A237" s="253"/>
      <c r="G237" s="250" t="s">
        <v>810</v>
      </c>
      <c r="H237" s="250" t="s">
        <v>1698</v>
      </c>
      <c r="I237" s="250" t="s">
        <v>2278</v>
      </c>
      <c r="J237" s="263" t="s">
        <v>2279</v>
      </c>
    </row>
    <row r="238" spans="1:10">
      <c r="A238" s="253"/>
      <c r="G238" s="250" t="s">
        <v>815</v>
      </c>
      <c r="H238" s="250" t="s">
        <v>1698</v>
      </c>
      <c r="I238" s="250" t="s">
        <v>2278</v>
      </c>
      <c r="J238" s="263" t="s">
        <v>2273</v>
      </c>
    </row>
    <row r="239" spans="1:10">
      <c r="A239" s="253"/>
      <c r="G239" s="250" t="s">
        <v>579</v>
      </c>
      <c r="H239" s="250" t="s">
        <v>1655</v>
      </c>
      <c r="I239" s="250" t="s">
        <v>2278</v>
      </c>
      <c r="J239" s="263" t="s">
        <v>2279</v>
      </c>
    </row>
    <row r="240" spans="1:10">
      <c r="A240" s="253"/>
      <c r="G240" s="250" t="s">
        <v>549</v>
      </c>
      <c r="H240" s="250" t="s">
        <v>1645</v>
      </c>
      <c r="I240" s="250" t="s">
        <v>2278</v>
      </c>
      <c r="J240" s="263" t="s">
        <v>2279</v>
      </c>
    </row>
    <row r="241" spans="1:10">
      <c r="A241" s="253"/>
      <c r="G241" s="250" t="s">
        <v>556</v>
      </c>
      <c r="H241" s="250" t="s">
        <v>1645</v>
      </c>
      <c r="I241" s="250" t="s">
        <v>2278</v>
      </c>
      <c r="J241" s="263" t="s">
        <v>2279</v>
      </c>
    </row>
    <row r="242" spans="1:10">
      <c r="A242" s="253"/>
      <c r="G242" s="250" t="s">
        <v>559</v>
      </c>
      <c r="H242" s="250" t="s">
        <v>1645</v>
      </c>
      <c r="I242" s="250" t="s">
        <v>2278</v>
      </c>
      <c r="J242" s="263" t="s">
        <v>2279</v>
      </c>
    </row>
    <row r="243" spans="1:10">
      <c r="A243" s="253"/>
      <c r="G243" s="250" t="s">
        <v>562</v>
      </c>
      <c r="H243" s="250" t="s">
        <v>1645</v>
      </c>
      <c r="I243" s="250" t="s">
        <v>2278</v>
      </c>
      <c r="J243" s="263" t="s">
        <v>2279</v>
      </c>
    </row>
    <row r="244" spans="1:10">
      <c r="A244" s="253"/>
      <c r="G244" s="250" t="s">
        <v>565</v>
      </c>
      <c r="H244" s="250" t="s">
        <v>1645</v>
      </c>
      <c r="I244" s="250" t="s">
        <v>2278</v>
      </c>
      <c r="J244" s="263" t="s">
        <v>2279</v>
      </c>
    </row>
    <row r="245" spans="1:10">
      <c r="A245" s="253"/>
      <c r="G245" s="250" t="s">
        <v>946</v>
      </c>
      <c r="H245" s="250" t="s">
        <v>1714</v>
      </c>
      <c r="I245" s="250" t="s">
        <v>2278</v>
      </c>
      <c r="J245" s="263" t="s">
        <v>2279</v>
      </c>
    </row>
    <row r="246" spans="1:10">
      <c r="A246" s="253"/>
      <c r="G246" s="250" t="s">
        <v>819</v>
      </c>
      <c r="H246" s="250" t="s">
        <v>1695</v>
      </c>
      <c r="I246" s="250" t="s">
        <v>2278</v>
      </c>
      <c r="J246" s="263" t="s">
        <v>2279</v>
      </c>
    </row>
    <row r="247" spans="1:10">
      <c r="A247" s="253"/>
      <c r="G247" s="250" t="s">
        <v>825</v>
      </c>
      <c r="H247" s="250" t="s">
        <v>1697</v>
      </c>
      <c r="I247" s="250" t="s">
        <v>2278</v>
      </c>
      <c r="J247" s="263" t="s">
        <v>2279</v>
      </c>
    </row>
    <row r="248" spans="1:10">
      <c r="A248" s="253"/>
      <c r="G248" s="250" t="s">
        <v>832</v>
      </c>
      <c r="H248" s="250" t="s">
        <v>1697</v>
      </c>
      <c r="I248" s="250" t="s">
        <v>2278</v>
      </c>
      <c r="J248" s="263" t="s">
        <v>2279</v>
      </c>
    </row>
    <row r="249" spans="1:10">
      <c r="A249" s="253"/>
      <c r="G249" s="250" t="s">
        <v>837</v>
      </c>
      <c r="H249" s="250" t="s">
        <v>1697</v>
      </c>
      <c r="I249" s="250" t="s">
        <v>2278</v>
      </c>
      <c r="J249" s="263" t="s">
        <v>2279</v>
      </c>
    </row>
    <row r="250" spans="1:10">
      <c r="A250" s="253"/>
      <c r="G250" s="250" t="s">
        <v>1023</v>
      </c>
      <c r="H250" s="250" t="s">
        <v>1734</v>
      </c>
      <c r="I250" s="250" t="s">
        <v>2278</v>
      </c>
      <c r="J250" s="263" t="s">
        <v>2279</v>
      </c>
    </row>
    <row r="251" spans="1:10">
      <c r="A251" s="253"/>
      <c r="G251" s="250" t="s">
        <v>1029</v>
      </c>
      <c r="H251" s="250" t="s">
        <v>1734</v>
      </c>
      <c r="I251" s="250" t="s">
        <v>2278</v>
      </c>
      <c r="J251" s="263" t="s">
        <v>2279</v>
      </c>
    </row>
    <row r="252" spans="1:10">
      <c r="A252" s="253"/>
      <c r="G252" s="250" t="s">
        <v>1031</v>
      </c>
      <c r="H252" s="250" t="s">
        <v>1734</v>
      </c>
      <c r="I252" s="250" t="s">
        <v>2278</v>
      </c>
      <c r="J252" s="263" t="s">
        <v>2279</v>
      </c>
    </row>
    <row r="253" spans="1:10">
      <c r="A253" s="253"/>
      <c r="G253" s="250" t="s">
        <v>352</v>
      </c>
      <c r="H253" s="250" t="s">
        <v>1637</v>
      </c>
      <c r="I253" s="250" t="s">
        <v>2278</v>
      </c>
      <c r="J253" s="263" t="s">
        <v>2272</v>
      </c>
    </row>
    <row r="254" spans="1:10">
      <c r="A254" s="253"/>
      <c r="G254" s="250" t="s">
        <v>359</v>
      </c>
      <c r="H254" s="250" t="s">
        <v>1637</v>
      </c>
      <c r="I254" s="250" t="s">
        <v>2278</v>
      </c>
      <c r="J254" s="263" t="s">
        <v>2279</v>
      </c>
    </row>
    <row r="255" spans="1:10">
      <c r="A255" s="253"/>
      <c r="G255" s="250" t="s">
        <v>363</v>
      </c>
      <c r="H255" s="250" t="s">
        <v>1637</v>
      </c>
      <c r="I255" s="250" t="s">
        <v>2278</v>
      </c>
      <c r="J255" s="263" t="s">
        <v>2279</v>
      </c>
    </row>
    <row r="256" spans="1:10">
      <c r="A256" s="253"/>
      <c r="G256" s="250" t="s">
        <v>367</v>
      </c>
      <c r="H256" s="250" t="s">
        <v>1637</v>
      </c>
      <c r="I256" s="250" t="s">
        <v>2278</v>
      </c>
      <c r="J256" s="263" t="s">
        <v>2273</v>
      </c>
    </row>
    <row r="257" spans="1:10">
      <c r="A257" s="253"/>
      <c r="G257" s="250" t="s">
        <v>268</v>
      </c>
      <c r="H257" s="250" t="s">
        <v>1621</v>
      </c>
      <c r="I257" s="250" t="s">
        <v>2278</v>
      </c>
      <c r="J257" s="263" t="s">
        <v>2279</v>
      </c>
    </row>
    <row r="258" spans="1:10">
      <c r="A258" s="253"/>
      <c r="G258" s="250" t="s">
        <v>275</v>
      </c>
      <c r="H258" s="250" t="s">
        <v>1621</v>
      </c>
      <c r="I258" s="250" t="s">
        <v>2278</v>
      </c>
      <c r="J258" s="263" t="s">
        <v>2279</v>
      </c>
    </row>
    <row r="259" spans="1:10">
      <c r="A259" s="253"/>
      <c r="G259" s="250" t="s">
        <v>279</v>
      </c>
      <c r="H259" s="250" t="s">
        <v>1621</v>
      </c>
      <c r="I259" s="250" t="s">
        <v>2278</v>
      </c>
      <c r="J259" s="263" t="s">
        <v>2279</v>
      </c>
    </row>
    <row r="260" spans="1:10">
      <c r="A260" s="253"/>
      <c r="G260" s="250" t="s">
        <v>283</v>
      </c>
      <c r="H260" s="250" t="s">
        <v>1621</v>
      </c>
      <c r="I260" s="250" t="s">
        <v>2278</v>
      </c>
      <c r="J260" s="263" t="s">
        <v>2279</v>
      </c>
    </row>
    <row r="261" spans="1:10">
      <c r="A261" s="253"/>
      <c r="G261" s="250" t="s">
        <v>953</v>
      </c>
      <c r="H261" s="250" t="s">
        <v>1720</v>
      </c>
      <c r="I261" s="250" t="s">
        <v>2278</v>
      </c>
      <c r="J261" s="263" t="s">
        <v>2279</v>
      </c>
    </row>
    <row r="262" spans="1:10">
      <c r="A262" s="253"/>
    </row>
    <row r="263" spans="1:10">
      <c r="A263" s="253"/>
    </row>
    <row r="264" spans="1:10">
      <c r="A264" s="253"/>
    </row>
    <row r="265" spans="1:10">
      <c r="A265" s="253"/>
    </row>
    <row r="266" spans="1:10">
      <c r="A266" s="253"/>
    </row>
  </sheetData>
  <conditionalFormatting sqref="C2:D99">
    <cfRule type="cellIs" dxfId="8" priority="3" operator="equal">
      <formula>"Não"</formula>
    </cfRule>
    <cfRule type="cellIs" dxfId="7" priority="4" operator="equal">
      <formula>"Sim"</formula>
    </cfRule>
  </conditionalFormatting>
  <conditionalFormatting sqref="D2:D21 D23:D99">
    <cfRule type="cellIs" dxfId="6" priority="6" operator="equal">
      <formula>"Parcial"</formula>
    </cfRule>
  </conditionalFormatting>
  <conditionalFormatting sqref="D22">
    <cfRule type="containsText" dxfId="5" priority="1" operator="containsText" text="PARCIAL">
      <formula>NOT(ISERROR(SEARCH("PARCIAL",D22)))</formula>
    </cfRule>
    <cfRule type="cellIs" dxfId="4" priority="2" operator="equal">
      <formula>"Insatisfatório"</formula>
    </cfRule>
  </conditionalFormatting>
  <conditionalFormatting sqref="J1:J261">
    <cfRule type="containsText" dxfId="3" priority="5" operator="containsText" text="PARCIAL">
      <formula>NOT(ISERROR(SEARCH("PARCIAL",J1)))</formula>
    </cfRule>
  </conditionalFormatting>
  <conditionalFormatting sqref="J2:J261">
    <cfRule type="cellIs" dxfId="2" priority="8" operator="equal">
      <formula>"Insatisfatório"</formula>
    </cfRule>
    <cfRule type="cellIs" dxfId="1" priority="9" operator="equal">
      <formula>"Não"</formula>
    </cfRule>
    <cfRule type="cellIs" dxfId="0" priority="10" operator="equal">
      <formula>"Sim"</formula>
    </cfRule>
  </conditionalFormatting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0C7D-9112-4CA1-9A9B-DC313E66970B}">
  <sheetPr codeName="Planilha5">
    <tabColor theme="0" tint="-0.34998626667073579"/>
  </sheetPr>
  <dimension ref="A1:BC261"/>
  <sheetViews>
    <sheetView showGridLines="0" zoomScale="70" zoomScaleNormal="70" workbookViewId="0">
      <pane ySplit="4" topLeftCell="A240" activePane="bottomLeft" state="frozen"/>
      <selection pane="bottomLeft" activeCell="R77" sqref="R77"/>
      <selection activeCell="A16" sqref="A16:D22"/>
    </sheetView>
  </sheetViews>
  <sheetFormatPr defaultColWidth="11.42578125" defaultRowHeight="17.45" customHeight="1"/>
  <cols>
    <col min="1" max="1" width="3.5703125" style="56" customWidth="1"/>
    <col min="2" max="2" width="4.5703125" style="205" bestFit="1" customWidth="1"/>
    <col min="3" max="3" width="16.5703125" style="206" hidden="1" customWidth="1"/>
    <col min="4" max="5" width="13.42578125" style="129" customWidth="1"/>
    <col min="6" max="6" width="74.5703125" style="207" hidden="1" customWidth="1"/>
    <col min="7" max="7" width="73.5703125" style="74" bestFit="1" customWidth="1"/>
    <col min="8" max="8" width="58.5703125" style="205" hidden="1" customWidth="1"/>
    <col min="9" max="9" width="13.42578125" style="129" customWidth="1"/>
    <col min="10" max="10" width="8" style="163" bestFit="1" customWidth="1"/>
    <col min="11" max="11" width="8" style="163" customWidth="1"/>
    <col min="12" max="12" width="7.42578125" style="163" bestFit="1" customWidth="1"/>
    <col min="13" max="13" width="7.42578125" style="163" customWidth="1"/>
    <col min="14" max="14" width="14.5703125" style="74" bestFit="1" customWidth="1"/>
    <col min="15" max="15" width="2.5703125" style="74" customWidth="1"/>
    <col min="16" max="16" width="14.42578125" style="129" hidden="1" customWidth="1"/>
    <col min="17" max="17" width="2.5703125" style="129" customWidth="1"/>
    <col min="18" max="18" width="23.5703125" style="74" bestFit="1" customWidth="1"/>
    <col min="19" max="19" width="17" style="166" customWidth="1"/>
    <col min="20" max="20" width="23.5703125" style="74" bestFit="1" customWidth="1"/>
    <col min="21" max="21" width="1.5703125" style="74" customWidth="1"/>
    <col min="22" max="22" width="23.5703125" style="74" hidden="1" customWidth="1"/>
    <col min="23" max="23" width="2.5703125" style="129" customWidth="1"/>
    <col min="24" max="24" width="17" style="166" bestFit="1" customWidth="1"/>
    <col min="25" max="25" width="23.5703125" style="74" bestFit="1" customWidth="1"/>
    <col min="26" max="26" width="13.42578125" style="129" customWidth="1"/>
    <col min="27" max="27" width="8" style="163" customWidth="1"/>
    <col min="28" max="28" width="7.42578125" style="163" customWidth="1"/>
    <col min="29" max="29" width="25.42578125" style="61" hidden="1" customWidth="1"/>
    <col min="30" max="30" width="2.5703125" style="129" hidden="1" customWidth="1"/>
    <col min="31" max="31" width="0" style="74" hidden="1" customWidth="1"/>
    <col min="32" max="16384" width="11.42578125" style="74"/>
  </cols>
  <sheetData>
    <row r="1" spans="1:55" s="61" customFormat="1" ht="83.1" customHeight="1">
      <c r="A1" s="56"/>
      <c r="B1" s="57"/>
      <c r="C1" s="58"/>
      <c r="D1" s="59"/>
      <c r="E1" s="59"/>
      <c r="F1" s="60"/>
      <c r="G1" s="60"/>
      <c r="I1" s="59"/>
      <c r="S1" s="62"/>
      <c r="X1" s="62"/>
      <c r="Z1" s="59"/>
    </row>
    <row r="2" spans="1:55" s="61" customFormat="1" ht="17.45" customHeight="1" thickBot="1">
      <c r="A2" s="56"/>
      <c r="B2" s="57"/>
      <c r="C2" s="58"/>
      <c r="D2" s="59"/>
      <c r="E2" s="59"/>
      <c r="F2" s="63" t="s">
        <v>2281</v>
      </c>
      <c r="G2" s="64"/>
      <c r="I2" s="59"/>
      <c r="S2" s="62"/>
      <c r="X2" s="62"/>
      <c r="Z2" s="59"/>
    </row>
    <row r="3" spans="1:55" ht="17.45" customHeight="1" thickBot="1">
      <c r="B3" s="65" t="s">
        <v>1752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7"/>
      <c r="O3" s="68"/>
      <c r="P3" s="69"/>
      <c r="Q3" s="70"/>
      <c r="R3" s="71" t="s">
        <v>1753</v>
      </c>
      <c r="S3" s="62"/>
      <c r="T3" s="72"/>
      <c r="U3" s="73"/>
      <c r="V3" s="62"/>
      <c r="W3" s="70"/>
      <c r="X3" s="62"/>
      <c r="Y3" s="71" t="s">
        <v>1753</v>
      </c>
      <c r="Z3" s="66"/>
      <c r="AA3" s="66"/>
      <c r="AB3" s="66"/>
      <c r="AC3" s="62"/>
      <c r="AD3" s="70"/>
    </row>
    <row r="4" spans="1:55" s="86" customFormat="1" ht="25.5" thickBot="1">
      <c r="A4" s="56"/>
      <c r="B4" s="75" t="s">
        <v>2282</v>
      </c>
      <c r="C4" s="76" t="s">
        <v>1755</v>
      </c>
      <c r="D4" s="77" t="s">
        <v>1761</v>
      </c>
      <c r="E4" s="77"/>
      <c r="F4" s="78" t="s">
        <v>1757</v>
      </c>
      <c r="G4" s="78" t="s">
        <v>1758</v>
      </c>
      <c r="H4" s="78" t="s">
        <v>1759</v>
      </c>
      <c r="I4" s="77" t="s">
        <v>1761</v>
      </c>
      <c r="J4" s="77" t="s">
        <v>1760</v>
      </c>
      <c r="K4" s="77"/>
      <c r="L4" s="77" t="s">
        <v>1566</v>
      </c>
      <c r="M4" s="79"/>
      <c r="N4" s="80" t="s">
        <v>2283</v>
      </c>
      <c r="O4" s="70"/>
      <c r="P4" s="81" t="s">
        <v>2284</v>
      </c>
      <c r="Q4" s="70"/>
      <c r="R4" s="82" t="s">
        <v>1593</v>
      </c>
      <c r="S4" s="85"/>
      <c r="T4" s="83" t="s">
        <v>1568</v>
      </c>
      <c r="U4" s="70"/>
      <c r="V4" s="84" t="s">
        <v>1770</v>
      </c>
      <c r="W4" s="70"/>
      <c r="X4" s="85" t="s">
        <v>1767</v>
      </c>
      <c r="Y4" s="82" t="s">
        <v>1593</v>
      </c>
      <c r="Z4" s="77" t="s">
        <v>1761</v>
      </c>
      <c r="AA4" s="77"/>
      <c r="AB4" s="79"/>
      <c r="AC4" s="87" t="s">
        <v>1770</v>
      </c>
      <c r="AD4" s="70"/>
      <c r="AE4" s="86">
        <f>COUNTA(AC:AC)-1</f>
        <v>85</v>
      </c>
    </row>
    <row r="5" spans="1:55" ht="17.100000000000001" customHeight="1">
      <c r="A5" s="74"/>
      <c r="B5" s="219" t="e">
        <f t="shared" ref="B5:B68" si="0">B4+1</f>
        <v>#VALUE!</v>
      </c>
      <c r="C5" s="221">
        <v>43889</v>
      </c>
      <c r="D5" s="98" t="s">
        <v>2218</v>
      </c>
      <c r="E5" s="98">
        <v>7601108</v>
      </c>
      <c r="F5" s="223" t="s">
        <v>2217</v>
      </c>
      <c r="G5" s="227" t="s">
        <v>58</v>
      </c>
      <c r="H5" s="230" t="s">
        <v>1789</v>
      </c>
      <c r="I5" s="98" t="s">
        <v>2218</v>
      </c>
      <c r="J5" s="287">
        <v>1</v>
      </c>
      <c r="K5" s="287" t="s">
        <v>1810</v>
      </c>
      <c r="L5" s="90">
        <v>1</v>
      </c>
      <c r="M5" s="218" t="s">
        <v>1596</v>
      </c>
      <c r="N5" s="237" t="str">
        <f t="shared" ref="N5:N68" si="1">J5&amp;L5</f>
        <v>11</v>
      </c>
      <c r="O5" s="107"/>
      <c r="P5" s="108" t="s">
        <v>2218</v>
      </c>
      <c r="Q5" s="107"/>
      <c r="R5" s="109" t="s">
        <v>1599</v>
      </c>
      <c r="S5" s="302" t="s">
        <v>1570</v>
      </c>
      <c r="T5" s="92" t="s">
        <v>1570</v>
      </c>
      <c r="U5" s="110"/>
      <c r="V5" s="94" t="s">
        <v>1599</v>
      </c>
      <c r="W5" s="107"/>
      <c r="X5" s="111">
        <v>7601108</v>
      </c>
      <c r="Y5" s="109" t="s">
        <v>1599</v>
      </c>
      <c r="Z5" s="98" t="s">
        <v>2218</v>
      </c>
      <c r="AA5" s="287" t="s">
        <v>1810</v>
      </c>
      <c r="AB5" s="218" t="s">
        <v>1596</v>
      </c>
      <c r="AC5" s="95"/>
      <c r="AD5" s="107"/>
      <c r="AH5" s="88" t="s">
        <v>1778</v>
      </c>
      <c r="AI5" s="88" t="s">
        <v>1779</v>
      </c>
    </row>
    <row r="6" spans="1:55" ht="17.45" customHeight="1">
      <c r="A6" s="74"/>
      <c r="B6" s="96" t="e">
        <f t="shared" si="0"/>
        <v>#VALUE!</v>
      </c>
      <c r="C6" s="97">
        <v>40749</v>
      </c>
      <c r="D6" s="98" t="s">
        <v>1965</v>
      </c>
      <c r="E6" s="98">
        <v>7600453</v>
      </c>
      <c r="F6" s="99" t="s">
        <v>1963</v>
      </c>
      <c r="G6" s="100" t="s">
        <v>65</v>
      </c>
      <c r="H6" s="101" t="s">
        <v>1846</v>
      </c>
      <c r="I6" s="98" t="s">
        <v>1965</v>
      </c>
      <c r="J6" s="102">
        <v>1</v>
      </c>
      <c r="K6" s="103" t="s">
        <v>1810</v>
      </c>
      <c r="L6" s="105">
        <v>1</v>
      </c>
      <c r="M6" s="218" t="s">
        <v>1596</v>
      </c>
      <c r="N6" s="217" t="str">
        <f t="shared" si="1"/>
        <v>11</v>
      </c>
      <c r="O6" s="107"/>
      <c r="P6" s="108" t="s">
        <v>1964</v>
      </c>
      <c r="Q6" s="107"/>
      <c r="R6" s="109" t="s">
        <v>1597</v>
      </c>
      <c r="S6" s="302" t="s">
        <v>1570</v>
      </c>
      <c r="T6" s="92" t="s">
        <v>1570</v>
      </c>
      <c r="U6" s="110"/>
      <c r="V6" s="94" t="s">
        <v>1597</v>
      </c>
      <c r="W6" s="107"/>
      <c r="X6" s="111">
        <v>7600391</v>
      </c>
      <c r="Y6" s="109" t="s">
        <v>1597</v>
      </c>
      <c r="Z6" s="98" t="s">
        <v>1965</v>
      </c>
      <c r="AA6" s="103" t="s">
        <v>1810</v>
      </c>
      <c r="AB6" s="218" t="s">
        <v>1596</v>
      </c>
      <c r="AC6" s="95"/>
      <c r="AD6" s="107"/>
      <c r="AH6" s="88" t="s">
        <v>1778</v>
      </c>
      <c r="AI6" s="88" t="s">
        <v>1779</v>
      </c>
    </row>
    <row r="7" spans="1:55" ht="17.45" customHeight="1">
      <c r="A7" s="88"/>
      <c r="B7" s="220" t="e">
        <f t="shared" si="0"/>
        <v>#VALUE!</v>
      </c>
      <c r="C7" s="156">
        <v>38558</v>
      </c>
      <c r="D7" s="89" t="s">
        <v>1964</v>
      </c>
      <c r="E7" s="89">
        <v>7600391</v>
      </c>
      <c r="F7" s="226" t="s">
        <v>1963</v>
      </c>
      <c r="G7" s="229" t="s">
        <v>72</v>
      </c>
      <c r="H7" s="157" t="s">
        <v>1846</v>
      </c>
      <c r="I7" s="89" t="s">
        <v>1964</v>
      </c>
      <c r="J7" s="233">
        <v>1</v>
      </c>
      <c r="K7" s="236" t="s">
        <v>1810</v>
      </c>
      <c r="L7" s="105">
        <v>1</v>
      </c>
      <c r="M7" s="218" t="s">
        <v>1596</v>
      </c>
      <c r="N7" s="294" t="str">
        <f t="shared" si="1"/>
        <v>11</v>
      </c>
      <c r="O7" s="91"/>
      <c r="P7" s="161" t="s">
        <v>1964</v>
      </c>
      <c r="Q7" s="91"/>
      <c r="R7" s="162" t="s">
        <v>1597</v>
      </c>
      <c r="S7" s="302" t="s">
        <v>1570</v>
      </c>
      <c r="T7" s="92" t="s">
        <v>1570</v>
      </c>
      <c r="U7" s="93"/>
      <c r="V7" s="94" t="s">
        <v>1597</v>
      </c>
      <c r="W7" s="91"/>
      <c r="X7" s="213">
        <v>7600391</v>
      </c>
      <c r="Y7" s="109" t="s">
        <v>1597</v>
      </c>
      <c r="Z7" s="89" t="s">
        <v>1964</v>
      </c>
      <c r="AA7" s="236" t="s">
        <v>1810</v>
      </c>
      <c r="AB7" s="218" t="s">
        <v>1596</v>
      </c>
      <c r="AC7" s="116"/>
      <c r="AD7" s="91"/>
      <c r="AE7" s="88"/>
      <c r="AF7" s="88"/>
      <c r="AG7" s="88"/>
      <c r="AH7" s="88" t="s">
        <v>1778</v>
      </c>
      <c r="AI7" s="88" t="s">
        <v>1779</v>
      </c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</row>
    <row r="8" spans="1:55" ht="17.45" customHeight="1">
      <c r="A8" s="74"/>
      <c r="B8" s="96" t="e">
        <f>#REF!+1</f>
        <v>#REF!</v>
      </c>
      <c r="C8" s="112">
        <v>38946</v>
      </c>
      <c r="D8" s="98" t="s">
        <v>1977</v>
      </c>
      <c r="E8" s="98">
        <v>7601222</v>
      </c>
      <c r="F8" s="113" t="s">
        <v>1963</v>
      </c>
      <c r="G8" s="100" t="s">
        <v>77</v>
      </c>
      <c r="H8" s="101" t="s">
        <v>1846</v>
      </c>
      <c r="I8" s="98" t="s">
        <v>1977</v>
      </c>
      <c r="J8" s="102">
        <v>1</v>
      </c>
      <c r="K8" s="103" t="s">
        <v>1810</v>
      </c>
      <c r="L8" s="105">
        <v>1</v>
      </c>
      <c r="M8" s="218" t="s">
        <v>1596</v>
      </c>
      <c r="N8" s="217" t="str">
        <f t="shared" si="1"/>
        <v>11</v>
      </c>
      <c r="O8" s="107"/>
      <c r="P8" s="114" t="s">
        <v>1964</v>
      </c>
      <c r="Q8" s="107"/>
      <c r="R8" s="115" t="s">
        <v>1597</v>
      </c>
      <c r="S8" s="302" t="s">
        <v>1570</v>
      </c>
      <c r="T8" s="92" t="s">
        <v>1570</v>
      </c>
      <c r="U8" s="110"/>
      <c r="V8" s="94" t="s">
        <v>1597</v>
      </c>
      <c r="W8" s="107"/>
      <c r="X8" s="211">
        <v>7600391</v>
      </c>
      <c r="Y8" s="109" t="s">
        <v>1597</v>
      </c>
      <c r="Z8" s="98" t="s">
        <v>1977</v>
      </c>
      <c r="AA8" s="103" t="s">
        <v>1810</v>
      </c>
      <c r="AB8" s="218" t="s">
        <v>1596</v>
      </c>
      <c r="AC8" s="116"/>
      <c r="AD8" s="107"/>
      <c r="AH8" s="88" t="s">
        <v>1778</v>
      </c>
      <c r="AI8" s="88" t="s">
        <v>1779</v>
      </c>
    </row>
    <row r="9" spans="1:55" ht="17.45" customHeight="1">
      <c r="A9" s="74"/>
      <c r="B9" s="96" t="e">
        <f t="shared" si="0"/>
        <v>#REF!</v>
      </c>
      <c r="C9" s="112">
        <v>40560</v>
      </c>
      <c r="D9" s="98" t="s">
        <v>1971</v>
      </c>
      <c r="E9" s="98">
        <v>7600569</v>
      </c>
      <c r="F9" s="113" t="s">
        <v>1963</v>
      </c>
      <c r="G9" s="100" t="s">
        <v>82</v>
      </c>
      <c r="H9" s="101" t="s">
        <v>1846</v>
      </c>
      <c r="I9" s="98" t="s">
        <v>1971</v>
      </c>
      <c r="J9" s="102">
        <v>1</v>
      </c>
      <c r="K9" s="103" t="s">
        <v>1810</v>
      </c>
      <c r="L9" s="105">
        <v>1</v>
      </c>
      <c r="M9" s="218" t="s">
        <v>1596</v>
      </c>
      <c r="N9" s="217" t="str">
        <f t="shared" si="1"/>
        <v>11</v>
      </c>
      <c r="O9" s="107"/>
      <c r="P9" s="114" t="s">
        <v>1964</v>
      </c>
      <c r="Q9" s="107"/>
      <c r="R9" s="115" t="s">
        <v>1597</v>
      </c>
      <c r="S9" s="302" t="s">
        <v>1570</v>
      </c>
      <c r="T9" s="92" t="s">
        <v>1570</v>
      </c>
      <c r="U9" s="110"/>
      <c r="V9" s="94" t="s">
        <v>1597</v>
      </c>
      <c r="W9" s="107"/>
      <c r="X9" s="211">
        <v>7600391</v>
      </c>
      <c r="Y9" s="109" t="s">
        <v>1597</v>
      </c>
      <c r="Z9" s="98" t="s">
        <v>1971</v>
      </c>
      <c r="AA9" s="103" t="s">
        <v>1810</v>
      </c>
      <c r="AB9" s="218" t="s">
        <v>1596</v>
      </c>
      <c r="AC9" s="116"/>
      <c r="AD9" s="107"/>
      <c r="AH9" s="88" t="s">
        <v>1778</v>
      </c>
      <c r="AI9" s="88" t="s">
        <v>1779</v>
      </c>
    </row>
    <row r="10" spans="1:55" ht="17.45" customHeight="1">
      <c r="A10" s="74"/>
      <c r="B10" s="96" t="e">
        <f t="shared" si="0"/>
        <v>#REF!</v>
      </c>
      <c r="C10" s="112">
        <v>39450</v>
      </c>
      <c r="D10" s="98" t="s">
        <v>1967</v>
      </c>
      <c r="E10" s="98">
        <v>7600474</v>
      </c>
      <c r="F10" s="113" t="s">
        <v>1963</v>
      </c>
      <c r="G10" s="100" t="s">
        <v>86</v>
      </c>
      <c r="H10" s="101" t="s">
        <v>1846</v>
      </c>
      <c r="I10" s="98" t="s">
        <v>1967</v>
      </c>
      <c r="J10" s="102">
        <v>1</v>
      </c>
      <c r="K10" s="103" t="s">
        <v>1810</v>
      </c>
      <c r="L10" s="105">
        <v>1</v>
      </c>
      <c r="M10" s="218" t="s">
        <v>1596</v>
      </c>
      <c r="N10" s="217" t="str">
        <f t="shared" si="1"/>
        <v>11</v>
      </c>
      <c r="O10" s="107"/>
      <c r="P10" s="114" t="s">
        <v>1964</v>
      </c>
      <c r="Q10" s="107"/>
      <c r="R10" s="115" t="s">
        <v>1597</v>
      </c>
      <c r="S10" s="302" t="s">
        <v>1570</v>
      </c>
      <c r="T10" s="92" t="s">
        <v>1570</v>
      </c>
      <c r="U10" s="110"/>
      <c r="V10" s="94" t="s">
        <v>1597</v>
      </c>
      <c r="W10" s="107"/>
      <c r="X10" s="211">
        <v>7600391</v>
      </c>
      <c r="Y10" s="109" t="s">
        <v>1597</v>
      </c>
      <c r="Z10" s="98" t="s">
        <v>1967</v>
      </c>
      <c r="AA10" s="103" t="s">
        <v>1810</v>
      </c>
      <c r="AB10" s="218" t="s">
        <v>1596</v>
      </c>
      <c r="AC10" s="116"/>
      <c r="AD10" s="107"/>
      <c r="AH10" s="88" t="s">
        <v>1778</v>
      </c>
      <c r="AI10" s="88" t="s">
        <v>1779</v>
      </c>
    </row>
    <row r="11" spans="1:55" ht="17.45" customHeight="1">
      <c r="A11" s="74"/>
      <c r="B11" s="96" t="e">
        <f t="shared" si="0"/>
        <v>#REF!</v>
      </c>
      <c r="C11" s="112">
        <v>42332</v>
      </c>
      <c r="D11" s="98" t="s">
        <v>1973</v>
      </c>
      <c r="E11" s="118">
        <v>7601220</v>
      </c>
      <c r="F11" s="119" t="s">
        <v>1963</v>
      </c>
      <c r="G11" s="120" t="s">
        <v>92</v>
      </c>
      <c r="H11" s="121" t="s">
        <v>1846</v>
      </c>
      <c r="I11" s="98" t="s">
        <v>1973</v>
      </c>
      <c r="J11" s="122">
        <v>1</v>
      </c>
      <c r="K11" s="123" t="s">
        <v>1810</v>
      </c>
      <c r="L11" s="105">
        <v>1</v>
      </c>
      <c r="M11" s="218" t="s">
        <v>1596</v>
      </c>
      <c r="N11" s="217" t="str">
        <f t="shared" si="1"/>
        <v>11</v>
      </c>
      <c r="O11" s="107"/>
      <c r="P11" s="114" t="s">
        <v>1964</v>
      </c>
      <c r="Q11" s="107"/>
      <c r="R11" s="115" t="s">
        <v>1597</v>
      </c>
      <c r="S11" s="302" t="s">
        <v>1570</v>
      </c>
      <c r="T11" s="92" t="s">
        <v>1570</v>
      </c>
      <c r="U11" s="110"/>
      <c r="V11" s="94" t="s">
        <v>1597</v>
      </c>
      <c r="W11" s="107"/>
      <c r="X11" s="211">
        <v>7600391</v>
      </c>
      <c r="Y11" s="109" t="s">
        <v>1597</v>
      </c>
      <c r="Z11" s="98" t="s">
        <v>1973</v>
      </c>
      <c r="AA11" s="123" t="s">
        <v>1810</v>
      </c>
      <c r="AB11" s="218" t="s">
        <v>1596</v>
      </c>
      <c r="AC11" s="116"/>
      <c r="AD11" s="107"/>
      <c r="AH11" s="88" t="s">
        <v>1778</v>
      </c>
      <c r="AI11" s="88" t="s">
        <v>1779</v>
      </c>
    </row>
    <row r="12" spans="1:55" ht="17.45" customHeight="1">
      <c r="A12" s="74"/>
      <c r="B12" s="96" t="e">
        <f t="shared" si="0"/>
        <v>#REF!</v>
      </c>
      <c r="C12" s="112">
        <v>38909</v>
      </c>
      <c r="D12" s="98" t="s">
        <v>1975</v>
      </c>
      <c r="E12" s="118">
        <v>7601221</v>
      </c>
      <c r="F12" s="119" t="s">
        <v>1963</v>
      </c>
      <c r="G12" s="120" t="s">
        <v>96</v>
      </c>
      <c r="H12" s="121" t="s">
        <v>1846</v>
      </c>
      <c r="I12" s="98" t="s">
        <v>1975</v>
      </c>
      <c r="J12" s="122">
        <v>1</v>
      </c>
      <c r="K12" s="123" t="s">
        <v>1810</v>
      </c>
      <c r="L12" s="105">
        <v>1</v>
      </c>
      <c r="M12" s="218" t="s">
        <v>1596</v>
      </c>
      <c r="N12" s="217" t="str">
        <f t="shared" si="1"/>
        <v>11</v>
      </c>
      <c r="O12" s="107"/>
      <c r="P12" s="114" t="s">
        <v>1964</v>
      </c>
      <c r="Q12" s="107"/>
      <c r="R12" s="115" t="s">
        <v>1597</v>
      </c>
      <c r="S12" s="302" t="s">
        <v>1570</v>
      </c>
      <c r="T12" s="92" t="s">
        <v>1570</v>
      </c>
      <c r="U12" s="110"/>
      <c r="V12" s="94" t="s">
        <v>1597</v>
      </c>
      <c r="W12" s="107"/>
      <c r="X12" s="211">
        <v>7600391</v>
      </c>
      <c r="Y12" s="109" t="s">
        <v>1597</v>
      </c>
      <c r="Z12" s="98" t="s">
        <v>1975</v>
      </c>
      <c r="AA12" s="123" t="s">
        <v>1810</v>
      </c>
      <c r="AB12" s="218" t="s">
        <v>1596</v>
      </c>
      <c r="AC12" s="116"/>
      <c r="AD12" s="107"/>
      <c r="AH12" s="88" t="s">
        <v>1778</v>
      </c>
      <c r="AI12" s="88" t="s">
        <v>1779</v>
      </c>
    </row>
    <row r="13" spans="1:55" ht="17.45" customHeight="1">
      <c r="A13" s="74"/>
      <c r="B13" s="96" t="e">
        <f t="shared" si="0"/>
        <v>#REF!</v>
      </c>
      <c r="C13" s="112">
        <v>38051</v>
      </c>
      <c r="D13" s="98" t="s">
        <v>1989</v>
      </c>
      <c r="E13" s="98">
        <v>7600358</v>
      </c>
      <c r="F13" s="113" t="s">
        <v>1986</v>
      </c>
      <c r="G13" s="100" t="s">
        <v>20</v>
      </c>
      <c r="H13" s="101" t="s">
        <v>1979</v>
      </c>
      <c r="I13" s="98" t="s">
        <v>1989</v>
      </c>
      <c r="J13" s="102">
        <v>1</v>
      </c>
      <c r="K13" s="103" t="s">
        <v>1810</v>
      </c>
      <c r="L13" s="124">
        <v>2</v>
      </c>
      <c r="M13" s="218" t="s">
        <v>1600</v>
      </c>
      <c r="N13" s="106" t="str">
        <f t="shared" si="1"/>
        <v>12</v>
      </c>
      <c r="O13" s="107"/>
      <c r="P13" s="114" t="s">
        <v>1987</v>
      </c>
      <c r="Q13" s="107"/>
      <c r="R13" s="115" t="s">
        <v>1603</v>
      </c>
      <c r="S13" s="302" t="s">
        <v>1571</v>
      </c>
      <c r="T13" s="92" t="s">
        <v>1571</v>
      </c>
      <c r="U13" s="110"/>
      <c r="V13" s="94" t="s">
        <v>1603</v>
      </c>
      <c r="W13" s="107"/>
      <c r="X13" s="117">
        <v>7600358</v>
      </c>
      <c r="Y13" s="109" t="s">
        <v>1603</v>
      </c>
      <c r="Z13" s="98" t="s">
        <v>1989</v>
      </c>
      <c r="AA13" s="103" t="s">
        <v>1810</v>
      </c>
      <c r="AB13" s="218" t="s">
        <v>1600</v>
      </c>
      <c r="AC13" s="116"/>
      <c r="AD13" s="107"/>
      <c r="AH13" s="88" t="s">
        <v>1778</v>
      </c>
      <c r="AI13" s="88" t="s">
        <v>1779</v>
      </c>
    </row>
    <row r="14" spans="1:55" ht="17.45" customHeight="1">
      <c r="B14" s="96" t="e">
        <f t="shared" si="0"/>
        <v>#REF!</v>
      </c>
      <c r="C14" s="112">
        <v>38053</v>
      </c>
      <c r="D14" s="98" t="s">
        <v>1993</v>
      </c>
      <c r="E14" s="98">
        <v>7600361</v>
      </c>
      <c r="F14" s="113" t="s">
        <v>1986</v>
      </c>
      <c r="G14" s="100" t="s">
        <v>26</v>
      </c>
      <c r="H14" s="101" t="s">
        <v>1979</v>
      </c>
      <c r="I14" s="98" t="s">
        <v>1993</v>
      </c>
      <c r="J14" s="102">
        <v>1</v>
      </c>
      <c r="K14" s="103" t="s">
        <v>1810</v>
      </c>
      <c r="L14" s="124">
        <v>2</v>
      </c>
      <c r="M14" s="218" t="s">
        <v>1600</v>
      </c>
      <c r="N14" s="106" t="str">
        <f t="shared" si="1"/>
        <v>12</v>
      </c>
      <c r="O14" s="107"/>
      <c r="P14" s="114" t="s">
        <v>1987</v>
      </c>
      <c r="Q14" s="107"/>
      <c r="R14" s="115" t="s">
        <v>1603</v>
      </c>
      <c r="S14" s="302" t="s">
        <v>1571</v>
      </c>
      <c r="T14" s="92" t="s">
        <v>1571</v>
      </c>
      <c r="U14" s="110"/>
      <c r="V14" s="94" t="s">
        <v>1603</v>
      </c>
      <c r="W14" s="107"/>
      <c r="X14" s="117">
        <v>7600358</v>
      </c>
      <c r="Y14" s="109" t="s">
        <v>1603</v>
      </c>
      <c r="Z14" s="98" t="s">
        <v>1993</v>
      </c>
      <c r="AA14" s="103" t="s">
        <v>1810</v>
      </c>
      <c r="AB14" s="218" t="s">
        <v>1600</v>
      </c>
      <c r="AC14" s="116"/>
      <c r="AH14" s="88" t="s">
        <v>1778</v>
      </c>
      <c r="AI14" s="88" t="s">
        <v>1779</v>
      </c>
    </row>
    <row r="15" spans="1:55" ht="17.100000000000001" customHeight="1">
      <c r="B15" s="96" t="e">
        <f t="shared" si="0"/>
        <v>#REF!</v>
      </c>
      <c r="C15" s="112">
        <v>38053</v>
      </c>
      <c r="D15" s="98" t="s">
        <v>1991</v>
      </c>
      <c r="E15" s="98">
        <v>7600360</v>
      </c>
      <c r="F15" s="113" t="s">
        <v>1986</v>
      </c>
      <c r="G15" s="100" t="s">
        <v>53</v>
      </c>
      <c r="H15" s="101" t="s">
        <v>1979</v>
      </c>
      <c r="I15" s="98" t="s">
        <v>1991</v>
      </c>
      <c r="J15" s="102">
        <v>1</v>
      </c>
      <c r="K15" s="103" t="s">
        <v>1810</v>
      </c>
      <c r="L15" s="124">
        <v>2</v>
      </c>
      <c r="M15" s="218" t="s">
        <v>1600</v>
      </c>
      <c r="N15" s="106" t="str">
        <f t="shared" si="1"/>
        <v>12</v>
      </c>
      <c r="O15" s="107"/>
      <c r="P15" s="114" t="s">
        <v>1987</v>
      </c>
      <c r="Q15" s="107"/>
      <c r="R15" s="115" t="s">
        <v>1603</v>
      </c>
      <c r="S15" s="302" t="s">
        <v>1571</v>
      </c>
      <c r="T15" s="92" t="s">
        <v>1571</v>
      </c>
      <c r="U15" s="110"/>
      <c r="V15" s="94" t="s">
        <v>1603</v>
      </c>
      <c r="W15" s="107"/>
      <c r="X15" s="117">
        <v>7600358</v>
      </c>
      <c r="Y15" s="109" t="s">
        <v>1603</v>
      </c>
      <c r="Z15" s="98" t="s">
        <v>1991</v>
      </c>
      <c r="AA15" s="103" t="s">
        <v>1810</v>
      </c>
      <c r="AB15" s="218" t="s">
        <v>1600</v>
      </c>
      <c r="AC15" s="116"/>
      <c r="AH15" s="88" t="s">
        <v>1778</v>
      </c>
      <c r="AI15" s="88" t="s">
        <v>1779</v>
      </c>
    </row>
    <row r="16" spans="1:55" ht="17.45" customHeight="1">
      <c r="B16" s="96" t="e">
        <f t="shared" si="0"/>
        <v>#REF!</v>
      </c>
      <c r="C16" s="112">
        <v>42473</v>
      </c>
      <c r="D16" s="98" t="s">
        <v>1997</v>
      </c>
      <c r="E16" s="98">
        <v>7600913</v>
      </c>
      <c r="F16" s="113" t="s">
        <v>1986</v>
      </c>
      <c r="G16" s="100" t="s">
        <v>13</v>
      </c>
      <c r="H16" s="101" t="s">
        <v>1979</v>
      </c>
      <c r="I16" s="98" t="s">
        <v>1997</v>
      </c>
      <c r="J16" s="102">
        <v>1</v>
      </c>
      <c r="K16" s="103" t="s">
        <v>1810</v>
      </c>
      <c r="L16" s="124">
        <v>2</v>
      </c>
      <c r="M16" s="218" t="s">
        <v>1600</v>
      </c>
      <c r="N16" s="106" t="str">
        <f t="shared" si="1"/>
        <v>12</v>
      </c>
      <c r="O16" s="107"/>
      <c r="P16" s="114" t="s">
        <v>1987</v>
      </c>
      <c r="Q16" s="107"/>
      <c r="R16" s="115" t="s">
        <v>1601</v>
      </c>
      <c r="S16" s="302" t="s">
        <v>1571</v>
      </c>
      <c r="T16" s="92" t="s">
        <v>1571</v>
      </c>
      <c r="U16" s="110"/>
      <c r="V16" s="94" t="s">
        <v>1601</v>
      </c>
      <c r="W16" s="107"/>
      <c r="X16" s="117">
        <v>7600100</v>
      </c>
      <c r="Y16" s="109" t="s">
        <v>1601</v>
      </c>
      <c r="Z16" s="98" t="s">
        <v>1997</v>
      </c>
      <c r="AA16" s="103" t="s">
        <v>1810</v>
      </c>
      <c r="AB16" s="218" t="s">
        <v>1600</v>
      </c>
      <c r="AC16" s="116"/>
      <c r="AH16" s="88" t="s">
        <v>1778</v>
      </c>
      <c r="AI16" s="88" t="s">
        <v>1779</v>
      </c>
    </row>
    <row r="17" spans="2:35" ht="17.45" customHeight="1">
      <c r="B17" s="96" t="e">
        <f t="shared" si="0"/>
        <v>#REF!</v>
      </c>
      <c r="C17" s="112">
        <v>36224</v>
      </c>
      <c r="D17" s="98" t="s">
        <v>1987</v>
      </c>
      <c r="E17" s="98">
        <v>7600100</v>
      </c>
      <c r="F17" s="113" t="s">
        <v>1986</v>
      </c>
      <c r="G17" s="100" t="s">
        <v>31</v>
      </c>
      <c r="H17" s="101" t="s">
        <v>1979</v>
      </c>
      <c r="I17" s="98" t="s">
        <v>1987</v>
      </c>
      <c r="J17" s="102">
        <v>1</v>
      </c>
      <c r="K17" s="103" t="s">
        <v>1810</v>
      </c>
      <c r="L17" s="124">
        <v>2</v>
      </c>
      <c r="M17" s="218" t="s">
        <v>1600</v>
      </c>
      <c r="N17" s="106" t="str">
        <f t="shared" si="1"/>
        <v>12</v>
      </c>
      <c r="O17" s="107"/>
      <c r="P17" s="114" t="s">
        <v>1987</v>
      </c>
      <c r="Q17" s="107"/>
      <c r="R17" s="115" t="s">
        <v>1601</v>
      </c>
      <c r="S17" s="302" t="s">
        <v>1571</v>
      </c>
      <c r="T17" s="92" t="s">
        <v>1571</v>
      </c>
      <c r="U17" s="110"/>
      <c r="V17" s="94" t="s">
        <v>1601</v>
      </c>
      <c r="W17" s="107"/>
      <c r="X17" s="117">
        <v>7600100</v>
      </c>
      <c r="Y17" s="109" t="s">
        <v>1601</v>
      </c>
      <c r="Z17" s="98" t="s">
        <v>1987</v>
      </c>
      <c r="AA17" s="103" t="s">
        <v>1810</v>
      </c>
      <c r="AB17" s="218" t="s">
        <v>1600</v>
      </c>
      <c r="AC17" s="116"/>
      <c r="AD17" s="107"/>
      <c r="AH17" s="88" t="s">
        <v>1778</v>
      </c>
      <c r="AI17" s="88" t="s">
        <v>1779</v>
      </c>
    </row>
    <row r="18" spans="2:35" ht="17.45" customHeight="1">
      <c r="B18" s="96" t="e">
        <f t="shared" si="0"/>
        <v>#REF!</v>
      </c>
      <c r="C18" s="112">
        <v>36228</v>
      </c>
      <c r="D18" s="98" t="s">
        <v>1998</v>
      </c>
      <c r="E18" s="98">
        <v>7601214</v>
      </c>
      <c r="F18" s="113" t="s">
        <v>1986</v>
      </c>
      <c r="G18" s="100" t="s">
        <v>36</v>
      </c>
      <c r="H18" s="101" t="s">
        <v>1979</v>
      </c>
      <c r="I18" s="98" t="s">
        <v>1998</v>
      </c>
      <c r="J18" s="102">
        <v>1</v>
      </c>
      <c r="K18" s="103" t="s">
        <v>1810</v>
      </c>
      <c r="L18" s="124">
        <v>2</v>
      </c>
      <c r="M18" s="218" t="s">
        <v>1600</v>
      </c>
      <c r="N18" s="106" t="str">
        <f t="shared" si="1"/>
        <v>12</v>
      </c>
      <c r="O18" s="107"/>
      <c r="P18" s="114" t="s">
        <v>1987</v>
      </c>
      <c r="Q18" s="107"/>
      <c r="R18" s="115" t="s">
        <v>1601</v>
      </c>
      <c r="S18" s="302" t="s">
        <v>1571</v>
      </c>
      <c r="T18" s="92" t="s">
        <v>1571</v>
      </c>
      <c r="U18" s="110"/>
      <c r="V18" s="94" t="s">
        <v>1601</v>
      </c>
      <c r="W18" s="107"/>
      <c r="X18" s="117">
        <v>7600100</v>
      </c>
      <c r="Y18" s="109" t="s">
        <v>1601</v>
      </c>
      <c r="Z18" s="98" t="s">
        <v>1998</v>
      </c>
      <c r="AA18" s="103" t="s">
        <v>1810</v>
      </c>
      <c r="AB18" s="218" t="s">
        <v>1600</v>
      </c>
      <c r="AC18" s="116"/>
      <c r="AH18" s="88" t="s">
        <v>1778</v>
      </c>
      <c r="AI18" s="88" t="s">
        <v>1779</v>
      </c>
    </row>
    <row r="19" spans="2:35" ht="17.45" customHeight="1">
      <c r="B19" s="96" t="e">
        <f t="shared" si="0"/>
        <v>#REF!</v>
      </c>
      <c r="C19" s="112">
        <v>36542</v>
      </c>
      <c r="D19" s="98" t="s">
        <v>1995</v>
      </c>
      <c r="E19" s="98">
        <v>7600728</v>
      </c>
      <c r="F19" s="113" t="s">
        <v>1986</v>
      </c>
      <c r="G19" s="100" t="s">
        <v>40</v>
      </c>
      <c r="H19" s="101" t="s">
        <v>1979</v>
      </c>
      <c r="I19" s="98" t="s">
        <v>1995</v>
      </c>
      <c r="J19" s="102">
        <v>1</v>
      </c>
      <c r="K19" s="103" t="s">
        <v>1810</v>
      </c>
      <c r="L19" s="124">
        <v>2</v>
      </c>
      <c r="M19" s="218" t="s">
        <v>1600</v>
      </c>
      <c r="N19" s="106" t="str">
        <f t="shared" si="1"/>
        <v>12</v>
      </c>
      <c r="O19" s="107"/>
      <c r="P19" s="114" t="s">
        <v>1987</v>
      </c>
      <c r="Q19" s="107"/>
      <c r="R19" s="115" t="s">
        <v>1601</v>
      </c>
      <c r="S19" s="302" t="s">
        <v>1571</v>
      </c>
      <c r="T19" s="92" t="s">
        <v>1571</v>
      </c>
      <c r="U19" s="110"/>
      <c r="V19" s="94" t="s">
        <v>1601</v>
      </c>
      <c r="W19" s="107"/>
      <c r="X19" s="117">
        <v>7600100</v>
      </c>
      <c r="Y19" s="109" t="s">
        <v>1601</v>
      </c>
      <c r="Z19" s="98" t="s">
        <v>1995</v>
      </c>
      <c r="AA19" s="103" t="s">
        <v>1810</v>
      </c>
      <c r="AB19" s="218" t="s">
        <v>1600</v>
      </c>
      <c r="AC19" s="116"/>
      <c r="AH19" s="88" t="s">
        <v>1778</v>
      </c>
      <c r="AI19" s="88" t="s">
        <v>1779</v>
      </c>
    </row>
    <row r="20" spans="2:35" ht="17.45" customHeight="1">
      <c r="B20" s="96" t="e">
        <f t="shared" si="0"/>
        <v>#REF!</v>
      </c>
      <c r="C20" s="112">
        <v>40738</v>
      </c>
      <c r="D20" s="98" t="s">
        <v>1994</v>
      </c>
      <c r="E20" s="98">
        <v>7600595</v>
      </c>
      <c r="F20" s="113" t="s">
        <v>1986</v>
      </c>
      <c r="G20" s="100" t="s">
        <v>45</v>
      </c>
      <c r="H20" s="101" t="s">
        <v>1979</v>
      </c>
      <c r="I20" s="98" t="s">
        <v>1994</v>
      </c>
      <c r="J20" s="102">
        <v>1</v>
      </c>
      <c r="K20" s="103" t="s">
        <v>1810</v>
      </c>
      <c r="L20" s="124">
        <v>2</v>
      </c>
      <c r="M20" s="218" t="s">
        <v>1600</v>
      </c>
      <c r="N20" s="106" t="str">
        <f t="shared" si="1"/>
        <v>12</v>
      </c>
      <c r="O20" s="107"/>
      <c r="P20" s="114" t="s">
        <v>1987</v>
      </c>
      <c r="Q20" s="107"/>
      <c r="R20" s="115" t="s">
        <v>1601</v>
      </c>
      <c r="S20" s="302" t="s">
        <v>1571</v>
      </c>
      <c r="T20" s="92" t="s">
        <v>1571</v>
      </c>
      <c r="U20" s="110"/>
      <c r="V20" s="94" t="s">
        <v>1601</v>
      </c>
      <c r="W20" s="107"/>
      <c r="X20" s="117">
        <v>7600100</v>
      </c>
      <c r="Y20" s="109" t="s">
        <v>1601</v>
      </c>
      <c r="Z20" s="98" t="s">
        <v>1994</v>
      </c>
      <c r="AA20" s="103" t="s">
        <v>1810</v>
      </c>
      <c r="AB20" s="218" t="s">
        <v>1600</v>
      </c>
      <c r="AC20" s="116"/>
      <c r="AH20" s="88" t="s">
        <v>1778</v>
      </c>
      <c r="AI20" s="88" t="s">
        <v>1779</v>
      </c>
    </row>
    <row r="21" spans="2:35" ht="17.45" customHeight="1">
      <c r="B21" s="96" t="e">
        <f t="shared" si="0"/>
        <v>#REF!</v>
      </c>
      <c r="C21" s="112">
        <v>37600</v>
      </c>
      <c r="D21" s="98" t="s">
        <v>1988</v>
      </c>
      <c r="E21" s="98">
        <v>7600331</v>
      </c>
      <c r="F21" s="113" t="s">
        <v>1986</v>
      </c>
      <c r="G21" s="100" t="s">
        <v>49</v>
      </c>
      <c r="H21" s="101" t="s">
        <v>1979</v>
      </c>
      <c r="I21" s="98" t="s">
        <v>1988</v>
      </c>
      <c r="J21" s="102">
        <v>1</v>
      </c>
      <c r="K21" s="103" t="s">
        <v>1810</v>
      </c>
      <c r="L21" s="124">
        <v>2</v>
      </c>
      <c r="M21" s="218" t="s">
        <v>1600</v>
      </c>
      <c r="N21" s="106" t="str">
        <f t="shared" si="1"/>
        <v>12</v>
      </c>
      <c r="O21" s="107"/>
      <c r="P21" s="114" t="s">
        <v>1987</v>
      </c>
      <c r="Q21" s="107"/>
      <c r="R21" s="115" t="s">
        <v>1601</v>
      </c>
      <c r="S21" s="302" t="s">
        <v>1571</v>
      </c>
      <c r="T21" s="92" t="s">
        <v>1571</v>
      </c>
      <c r="U21" s="110"/>
      <c r="V21" s="94" t="s">
        <v>1601</v>
      </c>
      <c r="W21" s="107"/>
      <c r="X21" s="117">
        <v>7600100</v>
      </c>
      <c r="Y21" s="109" t="s">
        <v>1601</v>
      </c>
      <c r="Z21" s="98" t="s">
        <v>1988</v>
      </c>
      <c r="AA21" s="103" t="s">
        <v>1810</v>
      </c>
      <c r="AB21" s="218" t="s">
        <v>1600</v>
      </c>
      <c r="AC21" s="95"/>
      <c r="AD21" s="107"/>
      <c r="AH21" s="88" t="s">
        <v>1778</v>
      </c>
      <c r="AI21" s="88" t="s">
        <v>1779</v>
      </c>
    </row>
    <row r="22" spans="2:35" ht="17.45" customHeight="1">
      <c r="B22" s="96" t="e">
        <f t="shared" si="0"/>
        <v>#REF!</v>
      </c>
      <c r="C22" s="112">
        <v>37256</v>
      </c>
      <c r="D22" s="98" t="s">
        <v>1817</v>
      </c>
      <c r="E22" s="98">
        <v>7601216</v>
      </c>
      <c r="F22" s="113" t="s">
        <v>1808</v>
      </c>
      <c r="G22" s="100" t="s">
        <v>137</v>
      </c>
      <c r="H22" s="101" t="s">
        <v>1828</v>
      </c>
      <c r="I22" s="98" t="s">
        <v>1817</v>
      </c>
      <c r="J22" s="102">
        <v>1</v>
      </c>
      <c r="K22" s="103" t="s">
        <v>1810</v>
      </c>
      <c r="L22" s="124">
        <v>3</v>
      </c>
      <c r="M22" s="218" t="s">
        <v>1604</v>
      </c>
      <c r="N22" s="106" t="str">
        <f t="shared" si="1"/>
        <v>13</v>
      </c>
      <c r="O22" s="107"/>
      <c r="P22" s="114" t="s">
        <v>1809</v>
      </c>
      <c r="Q22" s="107"/>
      <c r="R22" s="115" t="s">
        <v>1605</v>
      </c>
      <c r="S22" s="302" t="s">
        <v>1572</v>
      </c>
      <c r="T22" s="92" t="s">
        <v>1572</v>
      </c>
      <c r="U22" s="110"/>
      <c r="V22" s="94" t="s">
        <v>1605</v>
      </c>
      <c r="W22" s="107"/>
      <c r="X22" s="117">
        <v>7600742</v>
      </c>
      <c r="Y22" s="109" t="s">
        <v>1605</v>
      </c>
      <c r="Z22" s="98" t="s">
        <v>1817</v>
      </c>
      <c r="AA22" s="103" t="s">
        <v>1810</v>
      </c>
      <c r="AB22" s="218" t="s">
        <v>1604</v>
      </c>
      <c r="AC22" s="127" t="s">
        <v>1633</v>
      </c>
      <c r="AH22" s="88" t="s">
        <v>1778</v>
      </c>
      <c r="AI22" s="88" t="s">
        <v>1779</v>
      </c>
    </row>
    <row r="23" spans="2:35" ht="17.45" customHeight="1">
      <c r="B23" s="96" t="e">
        <f t="shared" si="0"/>
        <v>#REF!</v>
      </c>
      <c r="C23" s="112">
        <v>44866</v>
      </c>
      <c r="D23" s="98" t="s">
        <v>1816</v>
      </c>
      <c r="E23" s="98">
        <v>7601210</v>
      </c>
      <c r="F23" s="113" t="s">
        <v>1808</v>
      </c>
      <c r="G23" s="100" t="s">
        <v>142</v>
      </c>
      <c r="H23" s="101" t="s">
        <v>1828</v>
      </c>
      <c r="I23" s="98" t="s">
        <v>1816</v>
      </c>
      <c r="J23" s="126">
        <v>1</v>
      </c>
      <c r="K23" s="124" t="s">
        <v>1810</v>
      </c>
      <c r="L23" s="124">
        <v>3</v>
      </c>
      <c r="M23" s="218" t="s">
        <v>1604</v>
      </c>
      <c r="N23" s="106" t="str">
        <f t="shared" si="1"/>
        <v>13</v>
      </c>
      <c r="O23" s="107"/>
      <c r="P23" s="114" t="s">
        <v>1809</v>
      </c>
      <c r="Q23" s="107"/>
      <c r="R23" s="115" t="s">
        <v>1605</v>
      </c>
      <c r="S23" s="302" t="s">
        <v>1572</v>
      </c>
      <c r="T23" s="92" t="s">
        <v>1572</v>
      </c>
      <c r="U23" s="110"/>
      <c r="V23" s="94" t="s">
        <v>1605</v>
      </c>
      <c r="W23" s="107"/>
      <c r="X23" s="117">
        <v>7600742</v>
      </c>
      <c r="Y23" s="109" t="s">
        <v>1605</v>
      </c>
      <c r="Z23" s="98" t="s">
        <v>1816</v>
      </c>
      <c r="AA23" s="124" t="s">
        <v>1810</v>
      </c>
      <c r="AB23" s="218" t="s">
        <v>1604</v>
      </c>
      <c r="AC23" s="127" t="s">
        <v>1610</v>
      </c>
      <c r="AH23" s="88" t="s">
        <v>1778</v>
      </c>
      <c r="AI23" s="88" t="s">
        <v>1779</v>
      </c>
    </row>
    <row r="24" spans="2:35" ht="17.45" customHeight="1">
      <c r="B24" s="96" t="e">
        <f t="shared" si="0"/>
        <v>#REF!</v>
      </c>
      <c r="C24" s="112">
        <v>45202</v>
      </c>
      <c r="D24" s="98" t="s">
        <v>1819</v>
      </c>
      <c r="E24" s="98">
        <v>7601224</v>
      </c>
      <c r="F24" s="113" t="s">
        <v>1808</v>
      </c>
      <c r="G24" s="128" t="s">
        <v>1818</v>
      </c>
      <c r="H24" s="101" t="s">
        <v>1828</v>
      </c>
      <c r="I24" s="98" t="s">
        <v>1819</v>
      </c>
      <c r="J24" s="102">
        <v>1</v>
      </c>
      <c r="K24" s="103" t="s">
        <v>1810</v>
      </c>
      <c r="L24" s="124">
        <v>3</v>
      </c>
      <c r="M24" s="218" t="s">
        <v>1604</v>
      </c>
      <c r="N24" s="106" t="str">
        <f t="shared" si="1"/>
        <v>13</v>
      </c>
      <c r="O24" s="107"/>
      <c r="P24" s="114" t="s">
        <v>1809</v>
      </c>
      <c r="Q24" s="107"/>
      <c r="R24" s="115" t="s">
        <v>1605</v>
      </c>
      <c r="S24" s="302" t="s">
        <v>1572</v>
      </c>
      <c r="T24" s="92" t="s">
        <v>1572</v>
      </c>
      <c r="U24" s="110"/>
      <c r="V24" s="94" t="s">
        <v>1605</v>
      </c>
      <c r="W24" s="107"/>
      <c r="X24" s="117">
        <v>7600742</v>
      </c>
      <c r="Y24" s="109" t="s">
        <v>1605</v>
      </c>
      <c r="Z24" s="98" t="s">
        <v>1819</v>
      </c>
      <c r="AA24" s="103" t="s">
        <v>1810</v>
      </c>
      <c r="AB24" s="218" t="s">
        <v>1604</v>
      </c>
      <c r="AC24" s="127" t="s">
        <v>1834</v>
      </c>
      <c r="AH24" s="88" t="s">
        <v>1778</v>
      </c>
      <c r="AI24" s="88" t="s">
        <v>1779</v>
      </c>
    </row>
    <row r="25" spans="2:35" ht="17.45" customHeight="1">
      <c r="B25" s="96" t="e">
        <f t="shared" si="0"/>
        <v>#REF!</v>
      </c>
      <c r="C25" s="112">
        <v>41628</v>
      </c>
      <c r="D25" s="98" t="s">
        <v>1813</v>
      </c>
      <c r="E25" s="98">
        <v>7600777</v>
      </c>
      <c r="F25" s="113" t="s">
        <v>1808</v>
      </c>
      <c r="G25" s="100" t="s">
        <v>148</v>
      </c>
      <c r="H25" s="101" t="s">
        <v>1828</v>
      </c>
      <c r="I25" s="98" t="s">
        <v>1813</v>
      </c>
      <c r="J25" s="126">
        <v>1</v>
      </c>
      <c r="K25" s="124" t="s">
        <v>1810</v>
      </c>
      <c r="L25" s="124">
        <v>3</v>
      </c>
      <c r="M25" s="218" t="s">
        <v>1604</v>
      </c>
      <c r="N25" s="106" t="str">
        <f t="shared" si="1"/>
        <v>13</v>
      </c>
      <c r="O25" s="107"/>
      <c r="P25" s="114" t="s">
        <v>1809</v>
      </c>
      <c r="Q25" s="107"/>
      <c r="R25" s="115" t="s">
        <v>1605</v>
      </c>
      <c r="S25" s="302" t="s">
        <v>1572</v>
      </c>
      <c r="T25" s="92" t="s">
        <v>1572</v>
      </c>
      <c r="U25" s="110"/>
      <c r="V25" s="94" t="s">
        <v>1605</v>
      </c>
      <c r="W25" s="107"/>
      <c r="X25" s="117">
        <v>7600742</v>
      </c>
      <c r="Y25" s="109" t="s">
        <v>1605</v>
      </c>
      <c r="Z25" s="98" t="s">
        <v>1813</v>
      </c>
      <c r="AA25" s="124" t="s">
        <v>1810</v>
      </c>
      <c r="AB25" s="218" t="s">
        <v>1604</v>
      </c>
      <c r="AC25" s="127" t="s">
        <v>1714</v>
      </c>
      <c r="AH25" s="88" t="s">
        <v>1778</v>
      </c>
      <c r="AI25" s="88" t="s">
        <v>1779</v>
      </c>
    </row>
    <row r="26" spans="2:35" ht="17.45" customHeight="1">
      <c r="B26" s="96" t="e">
        <f t="shared" si="0"/>
        <v>#REF!</v>
      </c>
      <c r="C26" s="112">
        <v>41486</v>
      </c>
      <c r="D26" s="98" t="s">
        <v>1809</v>
      </c>
      <c r="E26" s="98">
        <v>7600742</v>
      </c>
      <c r="F26" s="113" t="s">
        <v>1808</v>
      </c>
      <c r="G26" s="100" t="s">
        <v>151</v>
      </c>
      <c r="H26" s="101" t="s">
        <v>1828</v>
      </c>
      <c r="I26" s="98" t="s">
        <v>1809</v>
      </c>
      <c r="J26" s="126">
        <v>1</v>
      </c>
      <c r="K26" s="124" t="s">
        <v>1810</v>
      </c>
      <c r="L26" s="124">
        <v>3</v>
      </c>
      <c r="M26" s="218" t="s">
        <v>1604</v>
      </c>
      <c r="N26" s="106" t="str">
        <f t="shared" si="1"/>
        <v>13</v>
      </c>
      <c r="O26" s="107"/>
      <c r="P26" s="114" t="s">
        <v>1809</v>
      </c>
      <c r="Q26" s="107"/>
      <c r="R26" s="115" t="s">
        <v>1605</v>
      </c>
      <c r="S26" s="302" t="s">
        <v>1572</v>
      </c>
      <c r="T26" s="92" t="s">
        <v>1572</v>
      </c>
      <c r="U26" s="110"/>
      <c r="V26" s="94" t="s">
        <v>1605</v>
      </c>
      <c r="W26" s="107"/>
      <c r="X26" s="117">
        <v>7600742</v>
      </c>
      <c r="Y26" s="109" t="s">
        <v>1605</v>
      </c>
      <c r="Z26" s="98" t="s">
        <v>1809</v>
      </c>
      <c r="AA26" s="124" t="s">
        <v>1810</v>
      </c>
      <c r="AB26" s="218" t="s">
        <v>1604</v>
      </c>
      <c r="AC26" s="127" t="s">
        <v>1688</v>
      </c>
      <c r="AH26" s="88" t="s">
        <v>1778</v>
      </c>
      <c r="AI26" s="88" t="s">
        <v>1779</v>
      </c>
    </row>
    <row r="27" spans="2:35" ht="17.45" customHeight="1">
      <c r="B27" s="96" t="e">
        <f t="shared" si="0"/>
        <v>#REF!</v>
      </c>
      <c r="C27" s="112">
        <v>42502</v>
      </c>
      <c r="D27" s="98" t="s">
        <v>1814</v>
      </c>
      <c r="E27" s="98">
        <v>7600873</v>
      </c>
      <c r="F27" s="113" t="s">
        <v>1808</v>
      </c>
      <c r="G27" s="100" t="s">
        <v>154</v>
      </c>
      <c r="H27" s="101" t="s">
        <v>1828</v>
      </c>
      <c r="I27" s="98" t="s">
        <v>1814</v>
      </c>
      <c r="J27" s="126">
        <v>1</v>
      </c>
      <c r="K27" s="124" t="s">
        <v>1810</v>
      </c>
      <c r="L27" s="124">
        <v>3</v>
      </c>
      <c r="M27" s="218" t="s">
        <v>1604</v>
      </c>
      <c r="N27" s="106" t="str">
        <f t="shared" si="1"/>
        <v>13</v>
      </c>
      <c r="O27" s="107"/>
      <c r="P27" s="114" t="s">
        <v>1809</v>
      </c>
      <c r="Q27" s="107"/>
      <c r="R27" s="115" t="s">
        <v>1605</v>
      </c>
      <c r="S27" s="302" t="s">
        <v>1572</v>
      </c>
      <c r="T27" s="92" t="s">
        <v>1572</v>
      </c>
      <c r="U27" s="110"/>
      <c r="V27" s="94" t="s">
        <v>1605</v>
      </c>
      <c r="W27" s="107"/>
      <c r="X27" s="117">
        <v>7600742</v>
      </c>
      <c r="Y27" s="109" t="s">
        <v>1605</v>
      </c>
      <c r="Z27" s="98" t="s">
        <v>1814</v>
      </c>
      <c r="AA27" s="124" t="s">
        <v>1810</v>
      </c>
      <c r="AB27" s="218" t="s">
        <v>1604</v>
      </c>
      <c r="AC27" s="127" t="s">
        <v>1649</v>
      </c>
      <c r="AH27" s="88" t="s">
        <v>1778</v>
      </c>
      <c r="AI27" s="88" t="s">
        <v>1779</v>
      </c>
    </row>
    <row r="28" spans="2:35" ht="17.45" customHeight="1">
      <c r="B28" s="133" t="e">
        <f t="shared" si="0"/>
        <v>#REF!</v>
      </c>
      <c r="C28" s="240">
        <v>45744</v>
      </c>
      <c r="D28" s="134" t="s">
        <v>2005</v>
      </c>
      <c r="E28" s="134">
        <v>7601142</v>
      </c>
      <c r="F28" s="241" t="s">
        <v>2001</v>
      </c>
      <c r="G28" s="243" t="s">
        <v>1133</v>
      </c>
      <c r="H28" s="135" t="s">
        <v>1992</v>
      </c>
      <c r="I28" s="134" t="s">
        <v>2005</v>
      </c>
      <c r="J28" s="136">
        <v>1</v>
      </c>
      <c r="K28" s="137" t="s">
        <v>1810</v>
      </c>
      <c r="L28" s="138">
        <v>3</v>
      </c>
      <c r="M28" s="218" t="s">
        <v>1604</v>
      </c>
      <c r="N28" s="140" t="str">
        <f t="shared" si="1"/>
        <v>13</v>
      </c>
      <c r="O28" s="141"/>
      <c r="P28" s="142" t="s">
        <v>2003</v>
      </c>
      <c r="Q28" s="141"/>
      <c r="R28" s="143" t="s">
        <v>1607</v>
      </c>
      <c r="S28" s="302" t="s">
        <v>1572</v>
      </c>
      <c r="T28" s="92" t="s">
        <v>1572</v>
      </c>
      <c r="U28" s="144"/>
      <c r="V28" s="94" t="s">
        <v>1607</v>
      </c>
      <c r="W28" s="141"/>
      <c r="X28" s="212">
        <v>7600991</v>
      </c>
      <c r="Y28" s="109" t="s">
        <v>1607</v>
      </c>
      <c r="Z28" s="134" t="s">
        <v>2005</v>
      </c>
      <c r="AA28" s="137" t="s">
        <v>1810</v>
      </c>
      <c r="AB28" s="218" t="s">
        <v>1604</v>
      </c>
      <c r="AC28" s="116"/>
      <c r="AH28" s="88" t="s">
        <v>1778</v>
      </c>
      <c r="AI28" s="88" t="s">
        <v>1779</v>
      </c>
    </row>
    <row r="29" spans="2:35" ht="17.45" customHeight="1">
      <c r="B29" s="96" t="e">
        <f t="shared" si="0"/>
        <v>#REF!</v>
      </c>
      <c r="C29" s="112">
        <v>44158</v>
      </c>
      <c r="D29" s="98" t="s">
        <v>2003</v>
      </c>
      <c r="E29" s="98">
        <v>7600991</v>
      </c>
      <c r="F29" s="113" t="s">
        <v>2001</v>
      </c>
      <c r="G29" s="100" t="s">
        <v>127</v>
      </c>
      <c r="H29" s="101" t="s">
        <v>1992</v>
      </c>
      <c r="I29" s="98" t="s">
        <v>2003</v>
      </c>
      <c r="J29" s="102">
        <v>1</v>
      </c>
      <c r="K29" s="103" t="s">
        <v>1810</v>
      </c>
      <c r="L29" s="124">
        <v>3</v>
      </c>
      <c r="M29" s="218" t="s">
        <v>1604</v>
      </c>
      <c r="N29" s="106" t="str">
        <f t="shared" si="1"/>
        <v>13</v>
      </c>
      <c r="O29" s="107"/>
      <c r="P29" s="114" t="s">
        <v>2003</v>
      </c>
      <c r="Q29" s="107"/>
      <c r="R29" s="115" t="s">
        <v>1607</v>
      </c>
      <c r="S29" s="302" t="s">
        <v>1572</v>
      </c>
      <c r="T29" s="92" t="s">
        <v>1572</v>
      </c>
      <c r="U29" s="110"/>
      <c r="V29" s="94" t="s">
        <v>1607</v>
      </c>
      <c r="W29" s="107"/>
      <c r="X29" s="117">
        <v>7600991</v>
      </c>
      <c r="Y29" s="109" t="s">
        <v>1607</v>
      </c>
      <c r="Z29" s="98" t="s">
        <v>2003</v>
      </c>
      <c r="AA29" s="103" t="s">
        <v>1810</v>
      </c>
      <c r="AB29" s="218" t="s">
        <v>1604</v>
      </c>
      <c r="AC29" s="116"/>
      <c r="AH29" s="88" t="s">
        <v>1778</v>
      </c>
      <c r="AI29" s="88" t="s">
        <v>1779</v>
      </c>
    </row>
    <row r="30" spans="2:35" ht="17.45" customHeight="1">
      <c r="B30" s="96" t="e">
        <f t="shared" si="0"/>
        <v>#REF!</v>
      </c>
      <c r="C30" s="112">
        <v>38708</v>
      </c>
      <c r="D30" s="98" t="s">
        <v>2004</v>
      </c>
      <c r="E30" s="98">
        <v>7601047</v>
      </c>
      <c r="F30" s="113" t="s">
        <v>2001</v>
      </c>
      <c r="G30" s="100" t="s">
        <v>134</v>
      </c>
      <c r="H30" s="101" t="s">
        <v>1992</v>
      </c>
      <c r="I30" s="98" t="s">
        <v>2004</v>
      </c>
      <c r="J30" s="102">
        <v>1</v>
      </c>
      <c r="K30" s="103" t="s">
        <v>1810</v>
      </c>
      <c r="L30" s="124">
        <v>3</v>
      </c>
      <c r="M30" s="218" t="s">
        <v>1604</v>
      </c>
      <c r="N30" s="106" t="str">
        <f t="shared" si="1"/>
        <v>13</v>
      </c>
      <c r="O30" s="107"/>
      <c r="P30" s="114" t="s">
        <v>2003</v>
      </c>
      <c r="Q30" s="107"/>
      <c r="R30" s="115" t="s">
        <v>1607</v>
      </c>
      <c r="S30" s="302" t="s">
        <v>1572</v>
      </c>
      <c r="T30" s="92" t="s">
        <v>1572</v>
      </c>
      <c r="U30" s="110"/>
      <c r="V30" s="94" t="s">
        <v>1607</v>
      </c>
      <c r="W30" s="107"/>
      <c r="X30" s="117">
        <v>7600991</v>
      </c>
      <c r="Y30" s="109" t="s">
        <v>1607</v>
      </c>
      <c r="Z30" s="98" t="s">
        <v>2004</v>
      </c>
      <c r="AA30" s="103" t="s">
        <v>1810</v>
      </c>
      <c r="AB30" s="218" t="s">
        <v>1604</v>
      </c>
      <c r="AC30" s="116"/>
      <c r="AH30" s="88" t="s">
        <v>1778</v>
      </c>
      <c r="AI30" s="88" t="s">
        <v>1779</v>
      </c>
    </row>
    <row r="31" spans="2:35" ht="17.45" customHeight="1">
      <c r="B31" s="96" t="e">
        <f t="shared" si="0"/>
        <v>#REF!</v>
      </c>
      <c r="C31" s="112">
        <v>38295</v>
      </c>
      <c r="D31" s="98" t="s">
        <v>2022</v>
      </c>
      <c r="E31" s="98">
        <v>7600373</v>
      </c>
      <c r="F31" s="113" t="s">
        <v>2019</v>
      </c>
      <c r="G31" s="100" t="s">
        <v>252</v>
      </c>
      <c r="H31" s="101" t="s">
        <v>2010</v>
      </c>
      <c r="I31" s="98" t="s">
        <v>2022</v>
      </c>
      <c r="J31" s="102">
        <v>1</v>
      </c>
      <c r="K31" s="103" t="s">
        <v>1810</v>
      </c>
      <c r="L31" s="124">
        <v>3</v>
      </c>
      <c r="M31" s="218" t="s">
        <v>1604</v>
      </c>
      <c r="N31" s="106" t="str">
        <f t="shared" si="1"/>
        <v>13</v>
      </c>
      <c r="O31" s="107"/>
      <c r="P31" s="114" t="s">
        <v>2020</v>
      </c>
      <c r="Q31" s="107"/>
      <c r="R31" s="115" t="s">
        <v>1608</v>
      </c>
      <c r="S31" s="302" t="s">
        <v>1572</v>
      </c>
      <c r="T31" s="92" t="s">
        <v>1572</v>
      </c>
      <c r="U31" s="110"/>
      <c r="V31" s="94" t="s">
        <v>1608</v>
      </c>
      <c r="W31" s="107"/>
      <c r="X31" s="117">
        <v>7600023</v>
      </c>
      <c r="Y31" s="109" t="s">
        <v>1608</v>
      </c>
      <c r="Z31" s="98" t="s">
        <v>2022</v>
      </c>
      <c r="AA31" s="103" t="s">
        <v>1810</v>
      </c>
      <c r="AB31" s="218" t="s">
        <v>1604</v>
      </c>
      <c r="AC31" s="116"/>
      <c r="AH31" s="88" t="s">
        <v>1778</v>
      </c>
      <c r="AI31" s="88" t="s">
        <v>1779</v>
      </c>
    </row>
    <row r="32" spans="2:35" ht="17.45" customHeight="1">
      <c r="B32" s="96" t="e">
        <f t="shared" si="0"/>
        <v>#REF!</v>
      </c>
      <c r="C32" s="112">
        <v>41249</v>
      </c>
      <c r="D32" s="98" t="s">
        <v>2024</v>
      </c>
      <c r="E32" s="98">
        <v>7600701</v>
      </c>
      <c r="F32" s="113" t="s">
        <v>2019</v>
      </c>
      <c r="G32" s="100" t="s">
        <v>257</v>
      </c>
      <c r="H32" s="101" t="s">
        <v>2010</v>
      </c>
      <c r="I32" s="98" t="s">
        <v>2024</v>
      </c>
      <c r="J32" s="102">
        <v>1</v>
      </c>
      <c r="K32" s="103" t="s">
        <v>1810</v>
      </c>
      <c r="L32" s="124">
        <v>3</v>
      </c>
      <c r="M32" s="218" t="s">
        <v>1604</v>
      </c>
      <c r="N32" s="106" t="str">
        <f t="shared" si="1"/>
        <v>13</v>
      </c>
      <c r="O32" s="107"/>
      <c r="P32" s="114" t="s">
        <v>2020</v>
      </c>
      <c r="Q32" s="107"/>
      <c r="R32" s="115" t="s">
        <v>1608</v>
      </c>
      <c r="S32" s="302" t="s">
        <v>1572</v>
      </c>
      <c r="T32" s="92" t="s">
        <v>1572</v>
      </c>
      <c r="U32" s="110"/>
      <c r="V32" s="94" t="s">
        <v>1608</v>
      </c>
      <c r="W32" s="107"/>
      <c r="X32" s="117">
        <v>7600023</v>
      </c>
      <c r="Y32" s="109" t="s">
        <v>1608</v>
      </c>
      <c r="Z32" s="98" t="s">
        <v>2024</v>
      </c>
      <c r="AA32" s="103" t="s">
        <v>1810</v>
      </c>
      <c r="AB32" s="218" t="s">
        <v>1604</v>
      </c>
      <c r="AC32" s="116"/>
      <c r="AH32" s="88" t="s">
        <v>1778</v>
      </c>
      <c r="AI32" s="88" t="s">
        <v>1779</v>
      </c>
    </row>
    <row r="33" spans="2:35" ht="17.45" customHeight="1">
      <c r="B33" s="96" t="e">
        <f t="shared" si="0"/>
        <v>#REF!</v>
      </c>
      <c r="C33" s="112">
        <v>37160</v>
      </c>
      <c r="D33" s="98" t="s">
        <v>2026</v>
      </c>
      <c r="E33" s="98">
        <v>7600756</v>
      </c>
      <c r="F33" s="113" t="s">
        <v>2019</v>
      </c>
      <c r="G33" s="100" t="s">
        <v>260</v>
      </c>
      <c r="H33" s="101" t="s">
        <v>2010</v>
      </c>
      <c r="I33" s="98" t="s">
        <v>2026</v>
      </c>
      <c r="J33" s="102">
        <v>1</v>
      </c>
      <c r="K33" s="103" t="s">
        <v>1810</v>
      </c>
      <c r="L33" s="124">
        <v>3</v>
      </c>
      <c r="M33" s="218" t="s">
        <v>1604</v>
      </c>
      <c r="N33" s="106" t="str">
        <f t="shared" si="1"/>
        <v>13</v>
      </c>
      <c r="O33" s="107"/>
      <c r="P33" s="114" t="s">
        <v>2020</v>
      </c>
      <c r="Q33" s="107"/>
      <c r="R33" s="115" t="s">
        <v>1608</v>
      </c>
      <c r="S33" s="302" t="s">
        <v>1572</v>
      </c>
      <c r="T33" s="92" t="s">
        <v>1572</v>
      </c>
      <c r="U33" s="110"/>
      <c r="V33" s="94" t="s">
        <v>1608</v>
      </c>
      <c r="W33" s="107"/>
      <c r="X33" s="117">
        <v>7600023</v>
      </c>
      <c r="Y33" s="109" t="s">
        <v>1608</v>
      </c>
      <c r="Z33" s="98" t="s">
        <v>2026</v>
      </c>
      <c r="AA33" s="103" t="s">
        <v>1810</v>
      </c>
      <c r="AB33" s="218" t="s">
        <v>1604</v>
      </c>
      <c r="AC33" s="116"/>
      <c r="AH33" s="88" t="s">
        <v>1778</v>
      </c>
      <c r="AI33" s="88" t="s">
        <v>1779</v>
      </c>
    </row>
    <row r="34" spans="2:35" ht="17.45" customHeight="1">
      <c r="B34" s="96" t="e">
        <f t="shared" si="0"/>
        <v>#REF!</v>
      </c>
      <c r="C34" s="112">
        <v>35571</v>
      </c>
      <c r="D34" s="98" t="s">
        <v>2020</v>
      </c>
      <c r="E34" s="98">
        <v>7600023</v>
      </c>
      <c r="F34" s="113" t="s">
        <v>2019</v>
      </c>
      <c r="G34" s="100" t="s">
        <v>264</v>
      </c>
      <c r="H34" s="101" t="s">
        <v>2010</v>
      </c>
      <c r="I34" s="98" t="s">
        <v>2020</v>
      </c>
      <c r="J34" s="102">
        <v>1</v>
      </c>
      <c r="K34" s="103" t="s">
        <v>1810</v>
      </c>
      <c r="L34" s="124">
        <v>3</v>
      </c>
      <c r="M34" s="218" t="s">
        <v>1604</v>
      </c>
      <c r="N34" s="106" t="str">
        <f t="shared" si="1"/>
        <v>13</v>
      </c>
      <c r="O34" s="107"/>
      <c r="P34" s="114" t="s">
        <v>2020</v>
      </c>
      <c r="Q34" s="107"/>
      <c r="R34" s="115" t="s">
        <v>1608</v>
      </c>
      <c r="S34" s="302" t="s">
        <v>1572</v>
      </c>
      <c r="T34" s="92" t="s">
        <v>1572</v>
      </c>
      <c r="U34" s="110"/>
      <c r="V34" s="94" t="s">
        <v>1608</v>
      </c>
      <c r="W34" s="107"/>
      <c r="X34" s="117">
        <v>7600023</v>
      </c>
      <c r="Y34" s="109" t="s">
        <v>1608</v>
      </c>
      <c r="Z34" s="98" t="s">
        <v>2020</v>
      </c>
      <c r="AA34" s="103" t="s">
        <v>1810</v>
      </c>
      <c r="AB34" s="218" t="s">
        <v>1604</v>
      </c>
      <c r="AC34" s="116"/>
      <c r="AH34" s="88" t="s">
        <v>1778</v>
      </c>
      <c r="AI34" s="88" t="s">
        <v>1779</v>
      </c>
    </row>
    <row r="35" spans="2:35" ht="17.45" customHeight="1">
      <c r="B35" s="96" t="e">
        <f t="shared" si="0"/>
        <v>#REF!</v>
      </c>
      <c r="C35" s="112">
        <v>37246</v>
      </c>
      <c r="D35" s="98" t="s">
        <v>2021</v>
      </c>
      <c r="E35" s="98">
        <v>7600271</v>
      </c>
      <c r="F35" s="113" t="s">
        <v>2019</v>
      </c>
      <c r="G35" s="100" t="s">
        <v>266</v>
      </c>
      <c r="H35" s="101" t="s">
        <v>2010</v>
      </c>
      <c r="I35" s="98" t="s">
        <v>2021</v>
      </c>
      <c r="J35" s="102">
        <v>1</v>
      </c>
      <c r="K35" s="103" t="s">
        <v>1810</v>
      </c>
      <c r="L35" s="124">
        <v>3</v>
      </c>
      <c r="M35" s="218" t="s">
        <v>1604</v>
      </c>
      <c r="N35" s="106" t="str">
        <f t="shared" si="1"/>
        <v>13</v>
      </c>
      <c r="O35" s="107"/>
      <c r="P35" s="114" t="s">
        <v>2020</v>
      </c>
      <c r="Q35" s="107"/>
      <c r="R35" s="115" t="s">
        <v>1608</v>
      </c>
      <c r="S35" s="302" t="s">
        <v>1572</v>
      </c>
      <c r="T35" s="92" t="s">
        <v>1572</v>
      </c>
      <c r="U35" s="110"/>
      <c r="V35" s="94" t="s">
        <v>1608</v>
      </c>
      <c r="W35" s="107"/>
      <c r="X35" s="117">
        <v>7600023</v>
      </c>
      <c r="Y35" s="109" t="s">
        <v>1608</v>
      </c>
      <c r="Z35" s="98" t="s">
        <v>2021</v>
      </c>
      <c r="AA35" s="103" t="s">
        <v>1810</v>
      </c>
      <c r="AB35" s="218" t="s">
        <v>1604</v>
      </c>
      <c r="AC35" s="116"/>
      <c r="AH35" s="88" t="s">
        <v>1778</v>
      </c>
      <c r="AI35" s="88" t="s">
        <v>1779</v>
      </c>
    </row>
    <row r="36" spans="2:35" ht="17.45" customHeight="1">
      <c r="B36" s="96" t="e">
        <f t="shared" si="0"/>
        <v>#REF!</v>
      </c>
      <c r="C36" s="112">
        <v>35479</v>
      </c>
      <c r="D36" s="98" t="s">
        <v>1880</v>
      </c>
      <c r="E36" s="98">
        <v>7601213</v>
      </c>
      <c r="F36" s="113" t="s">
        <v>1869</v>
      </c>
      <c r="G36" s="100" t="s">
        <v>157</v>
      </c>
      <c r="H36" s="101" t="s">
        <v>1872</v>
      </c>
      <c r="I36" s="98" t="s">
        <v>1880</v>
      </c>
      <c r="J36" s="102">
        <v>1</v>
      </c>
      <c r="K36" s="103" t="s">
        <v>1810</v>
      </c>
      <c r="L36" s="124">
        <v>4</v>
      </c>
      <c r="M36" s="218" t="s">
        <v>1609</v>
      </c>
      <c r="N36" s="106" t="str">
        <f t="shared" si="1"/>
        <v>14</v>
      </c>
      <c r="O36" s="107"/>
      <c r="P36" s="114" t="s">
        <v>1871</v>
      </c>
      <c r="Q36" s="107"/>
      <c r="R36" s="115" t="s">
        <v>1610</v>
      </c>
      <c r="S36" s="302" t="s">
        <v>1573</v>
      </c>
      <c r="T36" s="92" t="s">
        <v>1573</v>
      </c>
      <c r="U36" s="110"/>
      <c r="V36" s="94" t="s">
        <v>1610</v>
      </c>
      <c r="W36" s="107"/>
      <c r="X36" s="117">
        <v>7600167</v>
      </c>
      <c r="Y36" s="109" t="s">
        <v>1610</v>
      </c>
      <c r="Z36" s="98" t="s">
        <v>1880</v>
      </c>
      <c r="AA36" s="103" t="s">
        <v>1810</v>
      </c>
      <c r="AB36" s="218" t="s">
        <v>1609</v>
      </c>
      <c r="AC36" s="127" t="s">
        <v>1703</v>
      </c>
      <c r="AH36" s="88" t="s">
        <v>1778</v>
      </c>
      <c r="AI36" s="88" t="s">
        <v>1779</v>
      </c>
    </row>
    <row r="37" spans="2:35" ht="17.45" customHeight="1">
      <c r="B37" s="96" t="e">
        <f t="shared" si="0"/>
        <v>#REF!</v>
      </c>
      <c r="C37" s="112">
        <v>41445</v>
      </c>
      <c r="D37" s="98" t="s">
        <v>1875</v>
      </c>
      <c r="E37" s="98">
        <v>7600746</v>
      </c>
      <c r="F37" s="99" t="s">
        <v>1869</v>
      </c>
      <c r="G37" s="100" t="s">
        <v>163</v>
      </c>
      <c r="H37" s="101" t="s">
        <v>1872</v>
      </c>
      <c r="I37" s="98" t="s">
        <v>1875</v>
      </c>
      <c r="J37" s="126">
        <v>1</v>
      </c>
      <c r="K37" s="126" t="s">
        <v>1810</v>
      </c>
      <c r="L37" s="124">
        <v>4</v>
      </c>
      <c r="M37" s="218" t="s">
        <v>1609</v>
      </c>
      <c r="N37" s="106" t="str">
        <f t="shared" si="1"/>
        <v>14</v>
      </c>
      <c r="O37" s="107"/>
      <c r="P37" s="114" t="s">
        <v>1871</v>
      </c>
      <c r="Q37" s="107"/>
      <c r="R37" s="115" t="s">
        <v>1610</v>
      </c>
      <c r="S37" s="302" t="s">
        <v>1573</v>
      </c>
      <c r="T37" s="92" t="s">
        <v>1573</v>
      </c>
      <c r="U37" s="110"/>
      <c r="V37" s="94" t="s">
        <v>1610</v>
      </c>
      <c r="W37" s="107"/>
      <c r="X37" s="117">
        <v>7600167</v>
      </c>
      <c r="Y37" s="109" t="s">
        <v>1610</v>
      </c>
      <c r="Z37" s="98" t="s">
        <v>1875</v>
      </c>
      <c r="AA37" s="126" t="s">
        <v>1810</v>
      </c>
      <c r="AB37" s="218" t="s">
        <v>1609</v>
      </c>
      <c r="AC37" s="127" t="s">
        <v>1625</v>
      </c>
      <c r="AD37" s="147"/>
      <c r="AE37" s="147"/>
      <c r="AF37" s="147"/>
      <c r="AG37" s="147"/>
      <c r="AH37" s="88" t="s">
        <v>1778</v>
      </c>
      <c r="AI37" s="88" t="s">
        <v>1779</v>
      </c>
    </row>
    <row r="38" spans="2:35" ht="17.45" customHeight="1">
      <c r="B38" s="96" t="e">
        <f t="shared" si="0"/>
        <v>#REF!</v>
      </c>
      <c r="C38" s="112">
        <v>35571</v>
      </c>
      <c r="D38" s="98" t="s">
        <v>1878</v>
      </c>
      <c r="E38" s="98">
        <v>7600943</v>
      </c>
      <c r="F38" s="113" t="s">
        <v>1869</v>
      </c>
      <c r="G38" s="100" t="s">
        <v>167</v>
      </c>
      <c r="H38" s="101" t="s">
        <v>1872</v>
      </c>
      <c r="I38" s="98" t="s">
        <v>1878</v>
      </c>
      <c r="J38" s="102">
        <v>1</v>
      </c>
      <c r="K38" s="103" t="s">
        <v>1810</v>
      </c>
      <c r="L38" s="124">
        <v>4</v>
      </c>
      <c r="M38" s="218" t="s">
        <v>1609</v>
      </c>
      <c r="N38" s="106" t="str">
        <f t="shared" si="1"/>
        <v>14</v>
      </c>
      <c r="O38" s="107"/>
      <c r="P38" s="114" t="s">
        <v>1871</v>
      </c>
      <c r="Q38" s="107"/>
      <c r="R38" s="115" t="s">
        <v>1610</v>
      </c>
      <c r="S38" s="302" t="s">
        <v>1573</v>
      </c>
      <c r="T38" s="92" t="s">
        <v>1573</v>
      </c>
      <c r="U38" s="110"/>
      <c r="V38" s="94" t="s">
        <v>1610</v>
      </c>
      <c r="W38" s="107"/>
      <c r="X38" s="117">
        <v>7600167</v>
      </c>
      <c r="Y38" s="109" t="s">
        <v>1610</v>
      </c>
      <c r="Z38" s="98" t="s">
        <v>1878</v>
      </c>
      <c r="AA38" s="103" t="s">
        <v>1810</v>
      </c>
      <c r="AB38" s="218" t="s">
        <v>1609</v>
      </c>
      <c r="AC38" s="127" t="s">
        <v>1617</v>
      </c>
      <c r="AD38" s="147"/>
      <c r="AE38" s="147"/>
      <c r="AF38" s="147"/>
      <c r="AG38" s="147"/>
      <c r="AH38" s="88" t="s">
        <v>1778</v>
      </c>
      <c r="AI38" s="88" t="s">
        <v>1779</v>
      </c>
    </row>
    <row r="39" spans="2:35" ht="17.45" customHeight="1">
      <c r="B39" s="96" t="e">
        <f t="shared" si="0"/>
        <v>#REF!</v>
      </c>
      <c r="C39" s="112">
        <v>40876</v>
      </c>
      <c r="D39" s="98" t="s">
        <v>1873</v>
      </c>
      <c r="E39" s="98">
        <v>7600633</v>
      </c>
      <c r="F39" s="113" t="s">
        <v>1869</v>
      </c>
      <c r="G39" s="100" t="s">
        <v>170</v>
      </c>
      <c r="H39" s="101" t="s">
        <v>1872</v>
      </c>
      <c r="I39" s="98" t="s">
        <v>1873</v>
      </c>
      <c r="J39" s="102">
        <v>1</v>
      </c>
      <c r="K39" s="103" t="s">
        <v>1810</v>
      </c>
      <c r="L39" s="124">
        <v>4</v>
      </c>
      <c r="M39" s="218" t="s">
        <v>1609</v>
      </c>
      <c r="N39" s="106" t="str">
        <f t="shared" si="1"/>
        <v>14</v>
      </c>
      <c r="O39" s="107"/>
      <c r="P39" s="114" t="s">
        <v>1871</v>
      </c>
      <c r="Q39" s="107"/>
      <c r="R39" s="115" t="s">
        <v>1610</v>
      </c>
      <c r="S39" s="302" t="s">
        <v>1573</v>
      </c>
      <c r="T39" s="92" t="s">
        <v>1573</v>
      </c>
      <c r="U39" s="110"/>
      <c r="V39" s="94" t="s">
        <v>1610</v>
      </c>
      <c r="W39" s="107"/>
      <c r="X39" s="117">
        <v>7600167</v>
      </c>
      <c r="Y39" s="109" t="s">
        <v>1610</v>
      </c>
      <c r="Z39" s="98" t="s">
        <v>1873</v>
      </c>
      <c r="AA39" s="103" t="s">
        <v>1810</v>
      </c>
      <c r="AB39" s="218" t="s">
        <v>1609</v>
      </c>
      <c r="AC39" s="127" t="s">
        <v>1702</v>
      </c>
      <c r="AH39" s="88" t="s">
        <v>1778</v>
      </c>
      <c r="AI39" s="88" t="s">
        <v>1779</v>
      </c>
    </row>
    <row r="40" spans="2:35" ht="17.45" customHeight="1">
      <c r="B40" s="96" t="e">
        <f t="shared" si="0"/>
        <v>#REF!</v>
      </c>
      <c r="C40" s="146">
        <v>36779</v>
      </c>
      <c r="D40" s="98" t="s">
        <v>1871</v>
      </c>
      <c r="E40" s="98">
        <v>7600167</v>
      </c>
      <c r="F40" s="113" t="s">
        <v>1869</v>
      </c>
      <c r="G40" s="100" t="s">
        <v>173</v>
      </c>
      <c r="H40" s="101" t="s">
        <v>1872</v>
      </c>
      <c r="I40" s="98" t="s">
        <v>1871</v>
      </c>
      <c r="J40" s="102">
        <v>1</v>
      </c>
      <c r="K40" s="103" t="s">
        <v>1810</v>
      </c>
      <c r="L40" s="124">
        <v>4</v>
      </c>
      <c r="M40" s="218" t="s">
        <v>1609</v>
      </c>
      <c r="N40" s="106" t="str">
        <f t="shared" si="1"/>
        <v>14</v>
      </c>
      <c r="O40" s="107"/>
      <c r="P40" s="114" t="s">
        <v>1871</v>
      </c>
      <c r="Q40" s="107"/>
      <c r="R40" s="115" t="s">
        <v>1610</v>
      </c>
      <c r="S40" s="302" t="s">
        <v>1573</v>
      </c>
      <c r="T40" s="92" t="s">
        <v>1573</v>
      </c>
      <c r="U40" s="110"/>
      <c r="V40" s="94" t="s">
        <v>1610</v>
      </c>
      <c r="W40" s="107"/>
      <c r="X40" s="117">
        <v>7600167</v>
      </c>
      <c r="Y40" s="109" t="s">
        <v>1610</v>
      </c>
      <c r="Z40" s="98" t="s">
        <v>1871</v>
      </c>
      <c r="AA40" s="103" t="s">
        <v>1810</v>
      </c>
      <c r="AB40" s="218" t="s">
        <v>1609</v>
      </c>
      <c r="AC40" s="127" t="s">
        <v>1749</v>
      </c>
      <c r="AH40" s="88" t="s">
        <v>1778</v>
      </c>
      <c r="AI40" s="88" t="s">
        <v>1779</v>
      </c>
    </row>
    <row r="41" spans="2:35" ht="17.45" customHeight="1">
      <c r="B41" s="96" t="e">
        <f t="shared" si="0"/>
        <v>#REF!</v>
      </c>
      <c r="C41" s="112">
        <v>41626</v>
      </c>
      <c r="D41" s="98" t="s">
        <v>1876</v>
      </c>
      <c r="E41" s="98">
        <v>7600776</v>
      </c>
      <c r="F41" s="113" t="s">
        <v>1869</v>
      </c>
      <c r="G41" s="100" t="s">
        <v>176</v>
      </c>
      <c r="H41" s="101" t="s">
        <v>1872</v>
      </c>
      <c r="I41" s="98" t="s">
        <v>1876</v>
      </c>
      <c r="J41" s="126">
        <v>1</v>
      </c>
      <c r="K41" s="124" t="s">
        <v>1810</v>
      </c>
      <c r="L41" s="124">
        <v>4</v>
      </c>
      <c r="M41" s="218" t="s">
        <v>1609</v>
      </c>
      <c r="N41" s="106" t="str">
        <f t="shared" si="1"/>
        <v>14</v>
      </c>
      <c r="O41" s="107"/>
      <c r="P41" s="114" t="s">
        <v>1871</v>
      </c>
      <c r="Q41" s="107"/>
      <c r="R41" s="115" t="s">
        <v>1610</v>
      </c>
      <c r="S41" s="302" t="s">
        <v>1573</v>
      </c>
      <c r="T41" s="92" t="s">
        <v>1573</v>
      </c>
      <c r="U41" s="110"/>
      <c r="V41" s="94" t="s">
        <v>1610</v>
      </c>
      <c r="W41" s="107"/>
      <c r="X41" s="117">
        <v>7600167</v>
      </c>
      <c r="Y41" s="109" t="s">
        <v>1610</v>
      </c>
      <c r="Z41" s="98" t="s">
        <v>1876</v>
      </c>
      <c r="AA41" s="124" t="s">
        <v>1810</v>
      </c>
      <c r="AB41" s="218" t="s">
        <v>1609</v>
      </c>
      <c r="AC41" s="127" t="s">
        <v>1667</v>
      </c>
      <c r="AD41" s="147"/>
      <c r="AE41" s="147"/>
      <c r="AF41" s="147"/>
      <c r="AG41" s="147"/>
      <c r="AH41" s="88" t="s">
        <v>1778</v>
      </c>
      <c r="AI41" s="88" t="s">
        <v>1779</v>
      </c>
    </row>
    <row r="42" spans="2:35" ht="17.45" customHeight="1">
      <c r="B42" s="96" t="e">
        <f t="shared" si="0"/>
        <v>#REF!</v>
      </c>
      <c r="C42" s="112">
        <v>44096</v>
      </c>
      <c r="D42" s="98" t="s">
        <v>1879</v>
      </c>
      <c r="E42" s="98">
        <v>7601126</v>
      </c>
      <c r="F42" s="113" t="s">
        <v>1869</v>
      </c>
      <c r="G42" s="100" t="s">
        <v>178</v>
      </c>
      <c r="H42" s="101" t="s">
        <v>1872</v>
      </c>
      <c r="I42" s="98" t="s">
        <v>1879</v>
      </c>
      <c r="J42" s="102">
        <v>1</v>
      </c>
      <c r="K42" s="103" t="s">
        <v>1810</v>
      </c>
      <c r="L42" s="124">
        <v>4</v>
      </c>
      <c r="M42" s="218" t="s">
        <v>1609</v>
      </c>
      <c r="N42" s="106" t="str">
        <f t="shared" si="1"/>
        <v>14</v>
      </c>
      <c r="O42" s="107"/>
      <c r="P42" s="114" t="s">
        <v>1871</v>
      </c>
      <c r="Q42" s="107"/>
      <c r="R42" s="115" t="s">
        <v>1610</v>
      </c>
      <c r="S42" s="302" t="s">
        <v>1573</v>
      </c>
      <c r="T42" s="92" t="s">
        <v>1573</v>
      </c>
      <c r="U42" s="110"/>
      <c r="V42" s="94" t="s">
        <v>1610</v>
      </c>
      <c r="W42" s="107"/>
      <c r="X42" s="117">
        <v>7600167</v>
      </c>
      <c r="Y42" s="109" t="s">
        <v>1610</v>
      </c>
      <c r="Z42" s="98" t="s">
        <v>1879</v>
      </c>
      <c r="AA42" s="103" t="s">
        <v>1810</v>
      </c>
      <c r="AB42" s="218" t="s">
        <v>1609</v>
      </c>
      <c r="AC42" s="127" t="s">
        <v>1731</v>
      </c>
      <c r="AD42" s="147"/>
      <c r="AE42" s="147"/>
      <c r="AF42" s="147"/>
      <c r="AG42" s="147"/>
      <c r="AH42" s="88" t="s">
        <v>1778</v>
      </c>
      <c r="AI42" s="88" t="s">
        <v>1779</v>
      </c>
    </row>
    <row r="43" spans="2:35" s="147" customFormat="1" ht="17.45" customHeight="1">
      <c r="B43" s="96" t="e">
        <f t="shared" si="0"/>
        <v>#REF!</v>
      </c>
      <c r="C43" s="112">
        <v>40889</v>
      </c>
      <c r="D43" s="98" t="s">
        <v>1874</v>
      </c>
      <c r="E43" s="98">
        <v>7600641</v>
      </c>
      <c r="F43" s="113" t="s">
        <v>1869</v>
      </c>
      <c r="G43" s="100" t="s">
        <v>179</v>
      </c>
      <c r="H43" s="101" t="s">
        <v>1872</v>
      </c>
      <c r="I43" s="98" t="s">
        <v>1874</v>
      </c>
      <c r="J43" s="102">
        <v>1</v>
      </c>
      <c r="K43" s="103" t="s">
        <v>1810</v>
      </c>
      <c r="L43" s="124">
        <v>4</v>
      </c>
      <c r="M43" s="218" t="s">
        <v>1609</v>
      </c>
      <c r="N43" s="106" t="str">
        <f t="shared" si="1"/>
        <v>14</v>
      </c>
      <c r="O43" s="107"/>
      <c r="P43" s="114" t="s">
        <v>1871</v>
      </c>
      <c r="Q43" s="107"/>
      <c r="R43" s="115" t="s">
        <v>1610</v>
      </c>
      <c r="S43" s="302" t="s">
        <v>1573</v>
      </c>
      <c r="T43" s="92" t="s">
        <v>1573</v>
      </c>
      <c r="U43" s="110"/>
      <c r="V43" s="94" t="s">
        <v>1610</v>
      </c>
      <c r="W43" s="107"/>
      <c r="X43" s="117">
        <v>7600167</v>
      </c>
      <c r="Y43" s="109" t="s">
        <v>1610</v>
      </c>
      <c r="Z43" s="98" t="s">
        <v>1874</v>
      </c>
      <c r="AA43" s="103" t="s">
        <v>1810</v>
      </c>
      <c r="AB43" s="218" t="s">
        <v>1609</v>
      </c>
      <c r="AC43" s="127" t="s">
        <v>1636</v>
      </c>
      <c r="AH43" s="88" t="s">
        <v>1778</v>
      </c>
      <c r="AI43" s="88" t="s">
        <v>1779</v>
      </c>
    </row>
    <row r="44" spans="2:35" s="147" customFormat="1" ht="17.45" customHeight="1">
      <c r="B44" s="96" t="e">
        <f t="shared" si="0"/>
        <v>#REF!</v>
      </c>
      <c r="C44" s="112">
        <v>42333</v>
      </c>
      <c r="D44" s="98" t="s">
        <v>1877</v>
      </c>
      <c r="E44" s="98">
        <v>7600888</v>
      </c>
      <c r="F44" s="99" t="s">
        <v>1869</v>
      </c>
      <c r="G44" s="100" t="s">
        <v>181</v>
      </c>
      <c r="H44" s="101" t="s">
        <v>1872</v>
      </c>
      <c r="I44" s="98" t="s">
        <v>1877</v>
      </c>
      <c r="J44" s="126">
        <v>1</v>
      </c>
      <c r="K44" s="126" t="s">
        <v>1810</v>
      </c>
      <c r="L44" s="126">
        <v>4</v>
      </c>
      <c r="M44" s="218" t="s">
        <v>1609</v>
      </c>
      <c r="N44" s="106" t="str">
        <f t="shared" si="1"/>
        <v>14</v>
      </c>
      <c r="O44" s="107"/>
      <c r="P44" s="114" t="s">
        <v>1871</v>
      </c>
      <c r="Q44" s="107"/>
      <c r="R44" s="115" t="s">
        <v>1610</v>
      </c>
      <c r="S44" s="302" t="s">
        <v>1573</v>
      </c>
      <c r="T44" s="92" t="s">
        <v>1573</v>
      </c>
      <c r="U44" s="110"/>
      <c r="V44" s="94" t="s">
        <v>1610</v>
      </c>
      <c r="W44" s="107"/>
      <c r="X44" s="117">
        <v>7600167</v>
      </c>
      <c r="Y44" s="109" t="s">
        <v>1610</v>
      </c>
      <c r="Z44" s="98" t="s">
        <v>1877</v>
      </c>
      <c r="AA44" s="126" t="s">
        <v>1810</v>
      </c>
      <c r="AB44" s="218" t="s">
        <v>1609</v>
      </c>
      <c r="AC44" s="127" t="s">
        <v>1662</v>
      </c>
      <c r="AH44" s="88" t="s">
        <v>1778</v>
      </c>
      <c r="AI44" s="88" t="s">
        <v>1779</v>
      </c>
    </row>
    <row r="45" spans="2:35" s="147" customFormat="1" ht="17.45" customHeight="1">
      <c r="B45" s="96" t="e">
        <f t="shared" si="0"/>
        <v>#REF!</v>
      </c>
      <c r="C45" s="112">
        <v>44180</v>
      </c>
      <c r="D45" s="98" t="s">
        <v>2199</v>
      </c>
      <c r="E45" s="98">
        <v>7601148</v>
      </c>
      <c r="F45" s="99" t="s">
        <v>2196</v>
      </c>
      <c r="G45" s="100" t="s">
        <v>119</v>
      </c>
      <c r="H45" s="101" t="s">
        <v>1938</v>
      </c>
      <c r="I45" s="98" t="s">
        <v>2199</v>
      </c>
      <c r="J45" s="126">
        <v>1</v>
      </c>
      <c r="K45" s="126" t="s">
        <v>1810</v>
      </c>
      <c r="L45" s="126">
        <v>4</v>
      </c>
      <c r="M45" s="218" t="s">
        <v>1609</v>
      </c>
      <c r="N45" s="106" t="str">
        <f t="shared" si="1"/>
        <v>14</v>
      </c>
      <c r="O45" s="107"/>
      <c r="P45" s="114" t="s">
        <v>2198</v>
      </c>
      <c r="Q45" s="107"/>
      <c r="R45" s="115" t="s">
        <v>1612</v>
      </c>
      <c r="S45" s="302" t="s">
        <v>1573</v>
      </c>
      <c r="T45" s="92" t="s">
        <v>1573</v>
      </c>
      <c r="U45" s="110"/>
      <c r="V45" s="94" t="s">
        <v>1612</v>
      </c>
      <c r="W45" s="107"/>
      <c r="X45" s="117">
        <v>7600990</v>
      </c>
      <c r="Y45" s="109" t="s">
        <v>1612</v>
      </c>
      <c r="Z45" s="98" t="s">
        <v>2199</v>
      </c>
      <c r="AA45" s="126" t="s">
        <v>1810</v>
      </c>
      <c r="AB45" s="218" t="s">
        <v>1609</v>
      </c>
      <c r="AC45" s="116"/>
      <c r="AD45" s="129"/>
      <c r="AE45" s="74"/>
      <c r="AF45" s="74"/>
      <c r="AG45" s="74"/>
      <c r="AH45" s="88" t="s">
        <v>1778</v>
      </c>
      <c r="AI45" s="88" t="s">
        <v>1779</v>
      </c>
    </row>
    <row r="46" spans="2:35" s="147" customFormat="1" ht="17.45" customHeight="1">
      <c r="B46" s="96" t="e">
        <f t="shared" si="0"/>
        <v>#REF!</v>
      </c>
      <c r="C46" s="112">
        <v>38344</v>
      </c>
      <c r="D46" s="98" t="s">
        <v>2198</v>
      </c>
      <c r="E46" s="98">
        <v>7600990</v>
      </c>
      <c r="F46" s="113" t="s">
        <v>2196</v>
      </c>
      <c r="G46" s="100" t="s">
        <v>125</v>
      </c>
      <c r="H46" s="101" t="s">
        <v>1938</v>
      </c>
      <c r="I46" s="98" t="s">
        <v>2198</v>
      </c>
      <c r="J46" s="126">
        <v>1</v>
      </c>
      <c r="K46" s="124" t="s">
        <v>1810</v>
      </c>
      <c r="L46" s="124">
        <v>4</v>
      </c>
      <c r="M46" s="218" t="s">
        <v>1609</v>
      </c>
      <c r="N46" s="106" t="str">
        <f t="shared" si="1"/>
        <v>14</v>
      </c>
      <c r="O46" s="107"/>
      <c r="P46" s="114" t="s">
        <v>2198</v>
      </c>
      <c r="Q46" s="107"/>
      <c r="R46" s="115" t="s">
        <v>1612</v>
      </c>
      <c r="S46" s="302" t="s">
        <v>1573</v>
      </c>
      <c r="T46" s="92" t="s">
        <v>1573</v>
      </c>
      <c r="U46" s="110"/>
      <c r="V46" s="94" t="s">
        <v>1612</v>
      </c>
      <c r="W46" s="107"/>
      <c r="X46" s="117">
        <v>7600990</v>
      </c>
      <c r="Y46" s="109" t="s">
        <v>1612</v>
      </c>
      <c r="Z46" s="98" t="s">
        <v>2198</v>
      </c>
      <c r="AA46" s="124" t="s">
        <v>1810</v>
      </c>
      <c r="AB46" s="218" t="s">
        <v>1609</v>
      </c>
      <c r="AC46" s="116"/>
      <c r="AD46" s="129"/>
      <c r="AE46" s="74"/>
      <c r="AF46" s="74"/>
      <c r="AG46" s="74"/>
      <c r="AH46" s="88" t="s">
        <v>1778</v>
      </c>
      <c r="AI46" s="88" t="s">
        <v>1779</v>
      </c>
    </row>
    <row r="47" spans="2:35" s="147" customFormat="1" ht="17.45" customHeight="1">
      <c r="B47" s="96" t="e">
        <f t="shared" si="0"/>
        <v>#REF!</v>
      </c>
      <c r="C47" s="112">
        <v>43060</v>
      </c>
      <c r="D47" s="98" t="s">
        <v>1985</v>
      </c>
      <c r="E47" s="98">
        <v>7600993</v>
      </c>
      <c r="F47" s="113" t="s">
        <v>1983</v>
      </c>
      <c r="G47" s="100" t="s">
        <v>208</v>
      </c>
      <c r="H47" s="101" t="s">
        <v>1972</v>
      </c>
      <c r="I47" s="98" t="s">
        <v>1985</v>
      </c>
      <c r="J47" s="102">
        <v>1</v>
      </c>
      <c r="K47" s="103" t="s">
        <v>1810</v>
      </c>
      <c r="L47" s="124">
        <v>5</v>
      </c>
      <c r="M47" s="218" t="s">
        <v>1613</v>
      </c>
      <c r="N47" s="106" t="str">
        <f t="shared" si="1"/>
        <v>15</v>
      </c>
      <c r="O47" s="107"/>
      <c r="P47" s="114" t="s">
        <v>1984</v>
      </c>
      <c r="Q47" s="107"/>
      <c r="R47" s="115" t="s">
        <v>1614</v>
      </c>
      <c r="S47" s="302" t="s">
        <v>1574</v>
      </c>
      <c r="T47" s="92" t="s">
        <v>1574</v>
      </c>
      <c r="U47" s="110"/>
      <c r="V47" s="94" t="s">
        <v>1614</v>
      </c>
      <c r="W47" s="107"/>
      <c r="X47" s="117">
        <v>7600983</v>
      </c>
      <c r="Y47" s="109" t="s">
        <v>1614</v>
      </c>
      <c r="Z47" s="98" t="s">
        <v>1985</v>
      </c>
      <c r="AA47" s="103" t="s">
        <v>1810</v>
      </c>
      <c r="AB47" s="218" t="s">
        <v>1613</v>
      </c>
      <c r="AC47" s="116"/>
      <c r="AD47" s="129"/>
      <c r="AE47" s="74"/>
      <c r="AF47" s="74"/>
      <c r="AG47" s="74"/>
      <c r="AH47" s="88" t="s">
        <v>1778</v>
      </c>
      <c r="AI47" s="88" t="s">
        <v>1779</v>
      </c>
    </row>
    <row r="48" spans="2:35" s="147" customFormat="1" ht="17.45" customHeight="1">
      <c r="B48" s="96" t="e">
        <f t="shared" si="0"/>
        <v>#REF!</v>
      </c>
      <c r="C48" s="112">
        <v>38993</v>
      </c>
      <c r="D48" s="98" t="s">
        <v>1984</v>
      </c>
      <c r="E48" s="98">
        <v>7600983</v>
      </c>
      <c r="F48" s="113" t="s">
        <v>1983</v>
      </c>
      <c r="G48" s="100" t="s">
        <v>214</v>
      </c>
      <c r="H48" s="101" t="s">
        <v>1974</v>
      </c>
      <c r="I48" s="98" t="s">
        <v>1984</v>
      </c>
      <c r="J48" s="126">
        <v>1</v>
      </c>
      <c r="K48" s="124" t="s">
        <v>1810</v>
      </c>
      <c r="L48" s="124">
        <v>5</v>
      </c>
      <c r="M48" s="218" t="s">
        <v>1613</v>
      </c>
      <c r="N48" s="106" t="str">
        <f t="shared" si="1"/>
        <v>15</v>
      </c>
      <c r="O48" s="107"/>
      <c r="P48" s="114" t="s">
        <v>1984</v>
      </c>
      <c r="Q48" s="107"/>
      <c r="R48" s="115" t="s">
        <v>1614</v>
      </c>
      <c r="S48" s="302" t="s">
        <v>1574</v>
      </c>
      <c r="T48" s="92" t="s">
        <v>1574</v>
      </c>
      <c r="U48" s="110"/>
      <c r="V48" s="94" t="s">
        <v>1614</v>
      </c>
      <c r="W48" s="107"/>
      <c r="X48" s="117">
        <v>7600983</v>
      </c>
      <c r="Y48" s="109" t="s">
        <v>1614</v>
      </c>
      <c r="Z48" s="98" t="s">
        <v>1984</v>
      </c>
      <c r="AA48" s="124" t="s">
        <v>1810</v>
      </c>
      <c r="AB48" s="218" t="s">
        <v>1613</v>
      </c>
      <c r="AC48" s="116"/>
      <c r="AD48" s="129"/>
      <c r="AE48" s="74"/>
      <c r="AF48" s="74"/>
      <c r="AG48" s="74"/>
      <c r="AH48" s="88" t="s">
        <v>1778</v>
      </c>
      <c r="AI48" s="88" t="s">
        <v>1779</v>
      </c>
    </row>
    <row r="49" spans="2:35" ht="17.45" customHeight="1">
      <c r="B49" s="96" t="e">
        <f t="shared" si="0"/>
        <v>#REF!</v>
      </c>
      <c r="C49" s="112">
        <v>36714</v>
      </c>
      <c r="D49" s="98" t="s">
        <v>2008</v>
      </c>
      <c r="E49" s="98">
        <v>7600154</v>
      </c>
      <c r="F49" s="113" t="s">
        <v>2006</v>
      </c>
      <c r="G49" s="100" t="s">
        <v>224</v>
      </c>
      <c r="H49" s="101" t="s">
        <v>1996</v>
      </c>
      <c r="I49" s="98" t="s">
        <v>2008</v>
      </c>
      <c r="J49" s="102">
        <v>1</v>
      </c>
      <c r="K49" s="103" t="s">
        <v>1810</v>
      </c>
      <c r="L49" s="124">
        <v>5</v>
      </c>
      <c r="M49" s="218" t="s">
        <v>1613</v>
      </c>
      <c r="N49" s="106" t="str">
        <f t="shared" si="1"/>
        <v>15</v>
      </c>
      <c r="O49" s="107"/>
      <c r="P49" s="114" t="s">
        <v>2007</v>
      </c>
      <c r="Q49" s="107"/>
      <c r="R49" s="115" t="s">
        <v>1616</v>
      </c>
      <c r="S49" s="302" t="s">
        <v>1574</v>
      </c>
      <c r="T49" s="92" t="s">
        <v>1574</v>
      </c>
      <c r="U49" s="110"/>
      <c r="V49" s="94" t="s">
        <v>1616</v>
      </c>
      <c r="W49" s="107"/>
      <c r="X49" s="117">
        <v>7600012</v>
      </c>
      <c r="Y49" s="109" t="s">
        <v>1616</v>
      </c>
      <c r="Z49" s="98" t="s">
        <v>2008</v>
      </c>
      <c r="AA49" s="103" t="s">
        <v>1810</v>
      </c>
      <c r="AB49" s="218" t="s">
        <v>1613</v>
      </c>
      <c r="AC49" s="116"/>
      <c r="AH49" s="88" t="s">
        <v>1778</v>
      </c>
      <c r="AI49" s="88" t="s">
        <v>1779</v>
      </c>
    </row>
    <row r="50" spans="2:35" ht="17.45" customHeight="1">
      <c r="B50" s="96" t="e">
        <f t="shared" si="0"/>
        <v>#REF!</v>
      </c>
      <c r="C50" s="148">
        <v>40714</v>
      </c>
      <c r="D50" s="98" t="s">
        <v>2013</v>
      </c>
      <c r="E50" s="118">
        <v>7600860</v>
      </c>
      <c r="F50" s="149" t="s">
        <v>2006</v>
      </c>
      <c r="G50" s="150" t="s">
        <v>231</v>
      </c>
      <c r="H50" s="101" t="s">
        <v>1996</v>
      </c>
      <c r="I50" s="98" t="s">
        <v>2013</v>
      </c>
      <c r="J50" s="102">
        <v>1</v>
      </c>
      <c r="K50" s="103" t="s">
        <v>1810</v>
      </c>
      <c r="L50" s="124">
        <v>5</v>
      </c>
      <c r="M50" s="218" t="s">
        <v>1613</v>
      </c>
      <c r="N50" s="106" t="str">
        <f t="shared" si="1"/>
        <v>15</v>
      </c>
      <c r="O50" s="107"/>
      <c r="P50" s="114" t="s">
        <v>2007</v>
      </c>
      <c r="Q50" s="107"/>
      <c r="R50" s="115" t="s">
        <v>1616</v>
      </c>
      <c r="S50" s="302" t="s">
        <v>1574</v>
      </c>
      <c r="T50" s="92" t="s">
        <v>1574</v>
      </c>
      <c r="U50" s="110"/>
      <c r="V50" s="94" t="s">
        <v>1616</v>
      </c>
      <c r="W50" s="107"/>
      <c r="X50" s="117">
        <v>7600012</v>
      </c>
      <c r="Y50" s="109" t="s">
        <v>1616</v>
      </c>
      <c r="Z50" s="98" t="s">
        <v>2013</v>
      </c>
      <c r="AA50" s="103" t="s">
        <v>1810</v>
      </c>
      <c r="AB50" s="218" t="s">
        <v>1613</v>
      </c>
      <c r="AC50" s="116"/>
      <c r="AH50" s="88" t="s">
        <v>1778</v>
      </c>
      <c r="AI50" s="88" t="s">
        <v>1779</v>
      </c>
    </row>
    <row r="51" spans="2:35" ht="17.45" customHeight="1">
      <c r="B51" s="96" t="e">
        <f t="shared" si="0"/>
        <v>#REF!</v>
      </c>
      <c r="C51" s="112">
        <v>42387</v>
      </c>
      <c r="D51" s="98" t="s">
        <v>2014</v>
      </c>
      <c r="E51" s="98">
        <v>7600887</v>
      </c>
      <c r="F51" s="113" t="s">
        <v>2006</v>
      </c>
      <c r="G51" s="100" t="s">
        <v>235</v>
      </c>
      <c r="H51" s="151" t="s">
        <v>1996</v>
      </c>
      <c r="I51" s="98" t="s">
        <v>2014</v>
      </c>
      <c r="J51" s="126">
        <v>1</v>
      </c>
      <c r="K51" s="124" t="s">
        <v>1810</v>
      </c>
      <c r="L51" s="124">
        <v>5</v>
      </c>
      <c r="M51" s="218" t="s">
        <v>1613</v>
      </c>
      <c r="N51" s="106" t="str">
        <f t="shared" si="1"/>
        <v>15</v>
      </c>
      <c r="O51" s="107"/>
      <c r="P51" s="114" t="s">
        <v>2007</v>
      </c>
      <c r="Q51" s="107"/>
      <c r="R51" s="115" t="s">
        <v>1616</v>
      </c>
      <c r="S51" s="302" t="s">
        <v>1574</v>
      </c>
      <c r="T51" s="92" t="s">
        <v>1574</v>
      </c>
      <c r="U51" s="110"/>
      <c r="V51" s="94" t="s">
        <v>1616</v>
      </c>
      <c r="W51" s="107"/>
      <c r="X51" s="117">
        <v>7600012</v>
      </c>
      <c r="Y51" s="109" t="s">
        <v>1616</v>
      </c>
      <c r="Z51" s="98" t="s">
        <v>2014</v>
      </c>
      <c r="AA51" s="124" t="s">
        <v>1810</v>
      </c>
      <c r="AB51" s="218" t="s">
        <v>1613</v>
      </c>
      <c r="AC51" s="116"/>
      <c r="AH51" s="88" t="s">
        <v>1778</v>
      </c>
      <c r="AI51" s="88" t="s">
        <v>1779</v>
      </c>
    </row>
    <row r="52" spans="2:35" ht="17.45" customHeight="1">
      <c r="B52" s="96" t="e">
        <f t="shared" si="0"/>
        <v>#REF!</v>
      </c>
      <c r="C52" s="112">
        <v>40800</v>
      </c>
      <c r="D52" s="98" t="s">
        <v>2016</v>
      </c>
      <c r="E52" s="98">
        <v>7601199</v>
      </c>
      <c r="F52" s="113" t="s">
        <v>2006</v>
      </c>
      <c r="G52" s="100" t="s">
        <v>237</v>
      </c>
      <c r="H52" s="151" t="s">
        <v>2002</v>
      </c>
      <c r="I52" s="98" t="s">
        <v>2016</v>
      </c>
      <c r="J52" s="126">
        <v>1</v>
      </c>
      <c r="K52" s="124" t="s">
        <v>1810</v>
      </c>
      <c r="L52" s="124">
        <v>5</v>
      </c>
      <c r="M52" s="218" t="s">
        <v>1613</v>
      </c>
      <c r="N52" s="106" t="str">
        <f t="shared" si="1"/>
        <v>15</v>
      </c>
      <c r="O52" s="107"/>
      <c r="P52" s="114" t="s">
        <v>2007</v>
      </c>
      <c r="Q52" s="107"/>
      <c r="R52" s="115" t="s">
        <v>1616</v>
      </c>
      <c r="S52" s="302" t="s">
        <v>1574</v>
      </c>
      <c r="T52" s="92" t="s">
        <v>1574</v>
      </c>
      <c r="U52" s="110"/>
      <c r="V52" s="94" t="s">
        <v>1616</v>
      </c>
      <c r="W52" s="107"/>
      <c r="X52" s="211">
        <v>7600012</v>
      </c>
      <c r="Y52" s="109" t="s">
        <v>1616</v>
      </c>
      <c r="Z52" s="98" t="s">
        <v>2016</v>
      </c>
      <c r="AA52" s="124" t="s">
        <v>1810</v>
      </c>
      <c r="AB52" s="218" t="s">
        <v>1613</v>
      </c>
      <c r="AC52" s="116"/>
      <c r="AH52" s="88" t="s">
        <v>1778</v>
      </c>
      <c r="AI52" s="88" t="s">
        <v>1779</v>
      </c>
    </row>
    <row r="53" spans="2:35" ht="17.45" customHeight="1">
      <c r="B53" s="96" t="e">
        <f t="shared" si="0"/>
        <v>#REF!</v>
      </c>
      <c r="C53" s="112">
        <v>40869</v>
      </c>
      <c r="D53" s="98" t="s">
        <v>2009</v>
      </c>
      <c r="E53" s="98">
        <v>7600602</v>
      </c>
      <c r="F53" s="113" t="s">
        <v>2006</v>
      </c>
      <c r="G53" s="100" t="s">
        <v>240</v>
      </c>
      <c r="H53" s="101" t="s">
        <v>1996</v>
      </c>
      <c r="I53" s="98" t="s">
        <v>2009</v>
      </c>
      <c r="J53" s="102">
        <v>1</v>
      </c>
      <c r="K53" s="103" t="s">
        <v>1810</v>
      </c>
      <c r="L53" s="124">
        <v>5</v>
      </c>
      <c r="M53" s="218" t="s">
        <v>1613</v>
      </c>
      <c r="N53" s="106" t="str">
        <f t="shared" si="1"/>
        <v>15</v>
      </c>
      <c r="O53" s="107"/>
      <c r="P53" s="114" t="s">
        <v>2007</v>
      </c>
      <c r="Q53" s="107"/>
      <c r="R53" s="115" t="s">
        <v>1616</v>
      </c>
      <c r="S53" s="302" t="s">
        <v>1574</v>
      </c>
      <c r="T53" s="92" t="s">
        <v>1574</v>
      </c>
      <c r="U53" s="110"/>
      <c r="V53" s="94" t="s">
        <v>1616</v>
      </c>
      <c r="W53" s="107"/>
      <c r="X53" s="117">
        <v>7600012</v>
      </c>
      <c r="Y53" s="109" t="s">
        <v>1616</v>
      </c>
      <c r="Z53" s="98" t="s">
        <v>2009</v>
      </c>
      <c r="AA53" s="103" t="s">
        <v>1810</v>
      </c>
      <c r="AB53" s="218" t="s">
        <v>1613</v>
      </c>
      <c r="AC53" s="116"/>
      <c r="AH53" s="88" t="s">
        <v>1778</v>
      </c>
      <c r="AI53" s="88" t="s">
        <v>1779</v>
      </c>
    </row>
    <row r="54" spans="2:35" ht="17.45" customHeight="1">
      <c r="B54" s="96" t="e">
        <f t="shared" si="0"/>
        <v>#REF!</v>
      </c>
      <c r="C54" s="112">
        <v>38623</v>
      </c>
      <c r="D54" s="98" t="s">
        <v>2011</v>
      </c>
      <c r="E54" s="98">
        <v>7600854</v>
      </c>
      <c r="F54" s="113" t="s">
        <v>2006</v>
      </c>
      <c r="G54" s="100" t="s">
        <v>243</v>
      </c>
      <c r="H54" s="101" t="s">
        <v>1996</v>
      </c>
      <c r="I54" s="98" t="s">
        <v>2011</v>
      </c>
      <c r="J54" s="102">
        <v>1</v>
      </c>
      <c r="K54" s="103" t="s">
        <v>1810</v>
      </c>
      <c r="L54" s="124">
        <v>5</v>
      </c>
      <c r="M54" s="218" t="s">
        <v>1613</v>
      </c>
      <c r="N54" s="106" t="str">
        <f t="shared" si="1"/>
        <v>15</v>
      </c>
      <c r="O54" s="107"/>
      <c r="P54" s="114" t="s">
        <v>2007</v>
      </c>
      <c r="Q54" s="107"/>
      <c r="R54" s="115" t="s">
        <v>1616</v>
      </c>
      <c r="S54" s="302" t="s">
        <v>1574</v>
      </c>
      <c r="T54" s="92" t="s">
        <v>1574</v>
      </c>
      <c r="U54" s="110"/>
      <c r="V54" s="94" t="s">
        <v>1616</v>
      </c>
      <c r="W54" s="107"/>
      <c r="X54" s="117">
        <v>7600012</v>
      </c>
      <c r="Y54" s="109" t="s">
        <v>1616</v>
      </c>
      <c r="Z54" s="98" t="s">
        <v>2011</v>
      </c>
      <c r="AA54" s="103" t="s">
        <v>1810</v>
      </c>
      <c r="AB54" s="218" t="s">
        <v>1613</v>
      </c>
      <c r="AC54" s="116"/>
      <c r="AH54" s="88" t="s">
        <v>1778</v>
      </c>
      <c r="AI54" s="88" t="s">
        <v>1779</v>
      </c>
    </row>
    <row r="55" spans="2:35" ht="17.45" customHeight="1">
      <c r="B55" s="96" t="e">
        <f t="shared" si="0"/>
        <v>#REF!</v>
      </c>
      <c r="C55" s="112">
        <v>43018</v>
      </c>
      <c r="D55" s="98" t="s">
        <v>2015</v>
      </c>
      <c r="E55" s="98">
        <v>7601197</v>
      </c>
      <c r="F55" s="113" t="s">
        <v>2006</v>
      </c>
      <c r="G55" s="100" t="s">
        <v>246</v>
      </c>
      <c r="H55" s="151" t="s">
        <v>2002</v>
      </c>
      <c r="I55" s="98" t="s">
        <v>2015</v>
      </c>
      <c r="J55" s="126">
        <v>1</v>
      </c>
      <c r="K55" s="124" t="s">
        <v>1810</v>
      </c>
      <c r="L55" s="124">
        <v>5</v>
      </c>
      <c r="M55" s="218" t="s">
        <v>1613</v>
      </c>
      <c r="N55" s="106" t="str">
        <f t="shared" si="1"/>
        <v>15</v>
      </c>
      <c r="O55" s="107"/>
      <c r="P55" s="114" t="s">
        <v>2007</v>
      </c>
      <c r="Q55" s="107"/>
      <c r="R55" s="115" t="s">
        <v>1616</v>
      </c>
      <c r="S55" s="302" t="s">
        <v>1574</v>
      </c>
      <c r="T55" s="92" t="s">
        <v>1574</v>
      </c>
      <c r="U55" s="110"/>
      <c r="V55" s="94" t="s">
        <v>1616</v>
      </c>
      <c r="W55" s="107"/>
      <c r="X55" s="211">
        <v>7600012</v>
      </c>
      <c r="Y55" s="109" t="s">
        <v>1616</v>
      </c>
      <c r="Z55" s="98" t="s">
        <v>2015</v>
      </c>
      <c r="AA55" s="124" t="s">
        <v>1810</v>
      </c>
      <c r="AB55" s="218" t="s">
        <v>1613</v>
      </c>
      <c r="AC55" s="116"/>
      <c r="AH55" s="88" t="s">
        <v>1778</v>
      </c>
      <c r="AI55" s="88" t="s">
        <v>1779</v>
      </c>
    </row>
    <row r="56" spans="2:35" ht="17.45" customHeight="1">
      <c r="B56" s="96" t="e">
        <f t="shared" si="0"/>
        <v>#REF!</v>
      </c>
      <c r="C56" s="112">
        <v>35468</v>
      </c>
      <c r="D56" s="98" t="s">
        <v>2007</v>
      </c>
      <c r="E56" s="98">
        <v>7600012</v>
      </c>
      <c r="F56" s="113" t="s">
        <v>2006</v>
      </c>
      <c r="G56" s="100" t="s">
        <v>249</v>
      </c>
      <c r="H56" s="101" t="s">
        <v>1996</v>
      </c>
      <c r="I56" s="98" t="s">
        <v>2007</v>
      </c>
      <c r="J56" s="102">
        <v>1</v>
      </c>
      <c r="K56" s="103" t="s">
        <v>1810</v>
      </c>
      <c r="L56" s="124">
        <v>5</v>
      </c>
      <c r="M56" s="218" t="s">
        <v>1613</v>
      </c>
      <c r="N56" s="106" t="str">
        <f t="shared" si="1"/>
        <v>15</v>
      </c>
      <c r="O56" s="107"/>
      <c r="P56" s="114" t="s">
        <v>2007</v>
      </c>
      <c r="Q56" s="107"/>
      <c r="R56" s="115" t="s">
        <v>1616</v>
      </c>
      <c r="S56" s="302" t="s">
        <v>1574</v>
      </c>
      <c r="T56" s="92" t="s">
        <v>1574</v>
      </c>
      <c r="U56" s="110"/>
      <c r="V56" s="94" t="s">
        <v>1616</v>
      </c>
      <c r="W56" s="107"/>
      <c r="X56" s="117">
        <v>7600012</v>
      </c>
      <c r="Y56" s="109" t="s">
        <v>1616</v>
      </c>
      <c r="Z56" s="98" t="s">
        <v>2007</v>
      </c>
      <c r="AA56" s="103" t="s">
        <v>1810</v>
      </c>
      <c r="AB56" s="218" t="s">
        <v>1613</v>
      </c>
      <c r="AC56" s="116"/>
      <c r="AH56" s="88" t="s">
        <v>1778</v>
      </c>
      <c r="AI56" s="88" t="s">
        <v>1779</v>
      </c>
    </row>
    <row r="57" spans="2:35" ht="17.45" customHeight="1">
      <c r="B57" s="96" t="e">
        <f t="shared" si="0"/>
        <v>#REF!</v>
      </c>
      <c r="C57" s="112">
        <v>40907</v>
      </c>
      <c r="D57" s="98" t="s">
        <v>2093</v>
      </c>
      <c r="E57" s="98">
        <v>7600816</v>
      </c>
      <c r="F57" s="113" t="s">
        <v>2087</v>
      </c>
      <c r="G57" s="100" t="s">
        <v>216</v>
      </c>
      <c r="H57" s="101" t="s">
        <v>2101</v>
      </c>
      <c r="I57" s="98" t="s">
        <v>2093</v>
      </c>
      <c r="J57" s="102">
        <v>1</v>
      </c>
      <c r="K57" s="103" t="s">
        <v>1810</v>
      </c>
      <c r="L57" s="124">
        <v>5</v>
      </c>
      <c r="M57" s="218" t="s">
        <v>1613</v>
      </c>
      <c r="N57" s="106" t="str">
        <f t="shared" si="1"/>
        <v>15</v>
      </c>
      <c r="O57" s="107"/>
      <c r="P57" s="114" t="s">
        <v>2089</v>
      </c>
      <c r="Q57" s="107"/>
      <c r="R57" s="115" t="s">
        <v>1617</v>
      </c>
      <c r="S57" s="302" t="s">
        <v>1574</v>
      </c>
      <c r="T57" s="92" t="s">
        <v>1574</v>
      </c>
      <c r="U57" s="110"/>
      <c r="V57" s="94" t="s">
        <v>1617</v>
      </c>
      <c r="W57" s="107"/>
      <c r="X57" s="117">
        <v>7600442</v>
      </c>
      <c r="Y57" s="109" t="s">
        <v>1617</v>
      </c>
      <c r="Z57" s="98" t="s">
        <v>2093</v>
      </c>
      <c r="AA57" s="103" t="s">
        <v>1810</v>
      </c>
      <c r="AB57" s="218" t="s">
        <v>1613</v>
      </c>
      <c r="AC57" s="116"/>
      <c r="AH57" s="88" t="s">
        <v>1778</v>
      </c>
      <c r="AI57" s="88" t="s">
        <v>1779</v>
      </c>
    </row>
    <row r="58" spans="2:35" ht="17.45" customHeight="1">
      <c r="B58" s="96" t="e">
        <f t="shared" si="0"/>
        <v>#REF!</v>
      </c>
      <c r="C58" s="112">
        <v>38841</v>
      </c>
      <c r="D58" s="98" t="s">
        <v>2089</v>
      </c>
      <c r="E58" s="98">
        <v>7600442</v>
      </c>
      <c r="F58" s="113" t="s">
        <v>2087</v>
      </c>
      <c r="G58" s="100" t="s">
        <v>218</v>
      </c>
      <c r="H58" s="101" t="s">
        <v>2101</v>
      </c>
      <c r="I58" s="98" t="s">
        <v>2089</v>
      </c>
      <c r="J58" s="102">
        <v>1</v>
      </c>
      <c r="K58" s="103" t="s">
        <v>1810</v>
      </c>
      <c r="L58" s="124">
        <v>5</v>
      </c>
      <c r="M58" s="218" t="s">
        <v>1613</v>
      </c>
      <c r="N58" s="106" t="str">
        <f t="shared" si="1"/>
        <v>15</v>
      </c>
      <c r="O58" s="107"/>
      <c r="P58" s="114" t="s">
        <v>2089</v>
      </c>
      <c r="Q58" s="107"/>
      <c r="R58" s="115" t="s">
        <v>1617</v>
      </c>
      <c r="S58" s="302" t="s">
        <v>1574</v>
      </c>
      <c r="T58" s="92" t="s">
        <v>1574</v>
      </c>
      <c r="U58" s="110"/>
      <c r="V58" s="94" t="s">
        <v>1617</v>
      </c>
      <c r="W58" s="107"/>
      <c r="X58" s="117">
        <v>7600442</v>
      </c>
      <c r="Y58" s="109" t="s">
        <v>1617</v>
      </c>
      <c r="Z58" s="98" t="s">
        <v>2089</v>
      </c>
      <c r="AA58" s="103" t="s">
        <v>1810</v>
      </c>
      <c r="AB58" s="218" t="s">
        <v>1613</v>
      </c>
      <c r="AC58" s="116"/>
      <c r="AH58" s="88" t="s">
        <v>1778</v>
      </c>
      <c r="AI58" s="88" t="s">
        <v>1779</v>
      </c>
    </row>
    <row r="59" spans="2:35" ht="17.45" customHeight="1">
      <c r="B59" s="96" t="e">
        <f t="shared" si="0"/>
        <v>#REF!</v>
      </c>
      <c r="C59" s="112">
        <v>40836</v>
      </c>
      <c r="D59" s="98" t="s">
        <v>2091</v>
      </c>
      <c r="E59" s="98">
        <v>7600601</v>
      </c>
      <c r="F59" s="99" t="s">
        <v>2087</v>
      </c>
      <c r="G59" s="100" t="s">
        <v>221</v>
      </c>
      <c r="H59" s="101" t="s">
        <v>2101</v>
      </c>
      <c r="I59" s="98" t="s">
        <v>2091</v>
      </c>
      <c r="J59" s="102">
        <v>1</v>
      </c>
      <c r="K59" s="103" t="s">
        <v>1810</v>
      </c>
      <c r="L59" s="124">
        <v>5</v>
      </c>
      <c r="M59" s="218" t="s">
        <v>1613</v>
      </c>
      <c r="N59" s="106" t="str">
        <f t="shared" si="1"/>
        <v>15</v>
      </c>
      <c r="O59" s="107"/>
      <c r="P59" s="114" t="s">
        <v>2089</v>
      </c>
      <c r="Q59" s="107"/>
      <c r="R59" s="115" t="s">
        <v>1617</v>
      </c>
      <c r="S59" s="302" t="s">
        <v>1574</v>
      </c>
      <c r="T59" s="92" t="s">
        <v>1574</v>
      </c>
      <c r="U59" s="110"/>
      <c r="V59" s="94" t="s">
        <v>1617</v>
      </c>
      <c r="W59" s="107"/>
      <c r="X59" s="117">
        <v>7600442</v>
      </c>
      <c r="Y59" s="109" t="s">
        <v>1617</v>
      </c>
      <c r="Z59" s="98" t="s">
        <v>2091</v>
      </c>
      <c r="AA59" s="103" t="s">
        <v>1810</v>
      </c>
      <c r="AB59" s="218" t="s">
        <v>1613</v>
      </c>
      <c r="AC59" s="116"/>
      <c r="AH59" s="88" t="s">
        <v>1778</v>
      </c>
      <c r="AI59" s="88" t="s">
        <v>1779</v>
      </c>
    </row>
    <row r="60" spans="2:35" ht="17.45" customHeight="1">
      <c r="B60" s="96" t="e">
        <f t="shared" si="0"/>
        <v>#REF!</v>
      </c>
      <c r="C60" s="112">
        <v>36867</v>
      </c>
      <c r="D60" s="98" t="s">
        <v>1919</v>
      </c>
      <c r="E60" s="98">
        <v>7600192</v>
      </c>
      <c r="F60" s="113" t="s">
        <v>1916</v>
      </c>
      <c r="G60" s="100" t="s">
        <v>183</v>
      </c>
      <c r="H60" s="101" t="s">
        <v>1899</v>
      </c>
      <c r="I60" s="98" t="s">
        <v>1919</v>
      </c>
      <c r="J60" s="102">
        <v>1</v>
      </c>
      <c r="K60" s="103" t="s">
        <v>1810</v>
      </c>
      <c r="L60" s="124">
        <v>6</v>
      </c>
      <c r="M60" s="218" t="s">
        <v>1618</v>
      </c>
      <c r="N60" s="106" t="str">
        <f t="shared" si="1"/>
        <v>16</v>
      </c>
      <c r="O60" s="107"/>
      <c r="P60" s="114" t="s">
        <v>1917</v>
      </c>
      <c r="Q60" s="107"/>
      <c r="R60" s="115" t="s">
        <v>1619</v>
      </c>
      <c r="S60" s="302" t="s">
        <v>1575</v>
      </c>
      <c r="T60" s="92" t="s">
        <v>1575</v>
      </c>
      <c r="U60" s="110"/>
      <c r="V60" s="94" t="s">
        <v>1619</v>
      </c>
      <c r="W60" s="107"/>
      <c r="X60" s="117">
        <v>7600109</v>
      </c>
      <c r="Y60" s="109" t="s">
        <v>1619</v>
      </c>
      <c r="Z60" s="98" t="s">
        <v>1919</v>
      </c>
      <c r="AA60" s="103" t="s">
        <v>1810</v>
      </c>
      <c r="AB60" s="218" t="s">
        <v>1618</v>
      </c>
      <c r="AC60" s="127" t="s">
        <v>1697</v>
      </c>
      <c r="AH60" s="88" t="s">
        <v>1778</v>
      </c>
      <c r="AI60" s="88" t="s">
        <v>1779</v>
      </c>
    </row>
    <row r="61" spans="2:35" ht="17.45" customHeight="1">
      <c r="B61" s="96" t="e">
        <f t="shared" si="0"/>
        <v>#REF!</v>
      </c>
      <c r="C61" s="148">
        <v>41240</v>
      </c>
      <c r="D61" s="98" t="s">
        <v>1921</v>
      </c>
      <c r="E61" s="98">
        <v>7600692</v>
      </c>
      <c r="F61" s="113" t="s">
        <v>1916</v>
      </c>
      <c r="G61" s="100" t="s">
        <v>189</v>
      </c>
      <c r="H61" s="101" t="s">
        <v>1899</v>
      </c>
      <c r="I61" s="98" t="s">
        <v>1921</v>
      </c>
      <c r="J61" s="126">
        <v>1</v>
      </c>
      <c r="K61" s="124" t="s">
        <v>1810</v>
      </c>
      <c r="L61" s="124">
        <v>6</v>
      </c>
      <c r="M61" s="218" t="s">
        <v>1618</v>
      </c>
      <c r="N61" s="106" t="str">
        <f t="shared" si="1"/>
        <v>16</v>
      </c>
      <c r="O61" s="107"/>
      <c r="P61" s="114" t="s">
        <v>1917</v>
      </c>
      <c r="Q61" s="107"/>
      <c r="R61" s="115" t="s">
        <v>1619</v>
      </c>
      <c r="S61" s="302" t="s">
        <v>1575</v>
      </c>
      <c r="T61" s="92" t="s">
        <v>1575</v>
      </c>
      <c r="U61" s="110"/>
      <c r="V61" s="94" t="s">
        <v>1619</v>
      </c>
      <c r="W61" s="107"/>
      <c r="X61" s="117">
        <v>7600109</v>
      </c>
      <c r="Y61" s="109" t="s">
        <v>1619</v>
      </c>
      <c r="Z61" s="98" t="s">
        <v>1921</v>
      </c>
      <c r="AA61" s="124" t="s">
        <v>1810</v>
      </c>
      <c r="AB61" s="218" t="s">
        <v>1618</v>
      </c>
      <c r="AC61" s="127" t="s">
        <v>1656</v>
      </c>
      <c r="AH61" s="88" t="s">
        <v>1778</v>
      </c>
      <c r="AI61" s="88" t="s">
        <v>1779</v>
      </c>
    </row>
    <row r="62" spans="2:35" ht="17.45" customHeight="1">
      <c r="B62" s="96" t="e">
        <f t="shared" si="0"/>
        <v>#REF!</v>
      </c>
      <c r="C62" s="112">
        <v>41486</v>
      </c>
      <c r="D62" s="98" t="s">
        <v>1923</v>
      </c>
      <c r="E62" s="98">
        <v>7600752</v>
      </c>
      <c r="F62" s="113" t="s">
        <v>1916</v>
      </c>
      <c r="G62" s="100" t="s">
        <v>1922</v>
      </c>
      <c r="H62" s="101" t="s">
        <v>1899</v>
      </c>
      <c r="I62" s="98" t="s">
        <v>1923</v>
      </c>
      <c r="J62" s="126">
        <v>1</v>
      </c>
      <c r="K62" s="124" t="s">
        <v>1810</v>
      </c>
      <c r="L62" s="124">
        <v>6</v>
      </c>
      <c r="M62" s="218" t="s">
        <v>1618</v>
      </c>
      <c r="N62" s="106" t="str">
        <f t="shared" si="1"/>
        <v>16</v>
      </c>
      <c r="O62" s="107"/>
      <c r="P62" s="114" t="s">
        <v>1917</v>
      </c>
      <c r="Q62" s="107"/>
      <c r="R62" s="115" t="s">
        <v>1619</v>
      </c>
      <c r="S62" s="302" t="s">
        <v>1575</v>
      </c>
      <c r="T62" s="92" t="s">
        <v>1575</v>
      </c>
      <c r="U62" s="110"/>
      <c r="V62" s="94" t="s">
        <v>1619</v>
      </c>
      <c r="W62" s="107"/>
      <c r="X62" s="117">
        <v>7600109</v>
      </c>
      <c r="Y62" s="109" t="s">
        <v>1619</v>
      </c>
      <c r="Z62" s="98" t="s">
        <v>1923</v>
      </c>
      <c r="AA62" s="124" t="s">
        <v>1810</v>
      </c>
      <c r="AB62" s="218" t="s">
        <v>1618</v>
      </c>
      <c r="AC62" s="127" t="s">
        <v>1651</v>
      </c>
      <c r="AH62" s="88" t="s">
        <v>1778</v>
      </c>
      <c r="AI62" s="88" t="s">
        <v>1779</v>
      </c>
    </row>
    <row r="63" spans="2:35" ht="17.45" customHeight="1">
      <c r="B63" s="96" t="e">
        <f t="shared" si="0"/>
        <v>#REF!</v>
      </c>
      <c r="C63" s="112">
        <v>41607</v>
      </c>
      <c r="D63" s="98" t="s">
        <v>1924</v>
      </c>
      <c r="E63" s="98">
        <v>7600762</v>
      </c>
      <c r="F63" s="113" t="s">
        <v>1916</v>
      </c>
      <c r="G63" s="100" t="s">
        <v>192</v>
      </c>
      <c r="H63" s="101" t="s">
        <v>1899</v>
      </c>
      <c r="I63" s="98" t="s">
        <v>1924</v>
      </c>
      <c r="J63" s="126">
        <v>1</v>
      </c>
      <c r="K63" s="124" t="s">
        <v>1810</v>
      </c>
      <c r="L63" s="124">
        <v>6</v>
      </c>
      <c r="M63" s="218" t="s">
        <v>1618</v>
      </c>
      <c r="N63" s="106" t="str">
        <f t="shared" si="1"/>
        <v>16</v>
      </c>
      <c r="O63" s="107"/>
      <c r="P63" s="114" t="s">
        <v>1917</v>
      </c>
      <c r="Q63" s="107"/>
      <c r="R63" s="115" t="s">
        <v>1619</v>
      </c>
      <c r="S63" s="302" t="s">
        <v>1575</v>
      </c>
      <c r="T63" s="92" t="s">
        <v>1575</v>
      </c>
      <c r="U63" s="110"/>
      <c r="V63" s="94" t="s">
        <v>1619</v>
      </c>
      <c r="W63" s="107"/>
      <c r="X63" s="117">
        <v>7600109</v>
      </c>
      <c r="Y63" s="109" t="s">
        <v>1619</v>
      </c>
      <c r="Z63" s="98" t="s">
        <v>1924</v>
      </c>
      <c r="AA63" s="124" t="s">
        <v>1810</v>
      </c>
      <c r="AB63" s="218" t="s">
        <v>1618</v>
      </c>
      <c r="AC63" s="127" t="s">
        <v>1643</v>
      </c>
      <c r="AH63" s="88" t="s">
        <v>1778</v>
      </c>
      <c r="AI63" s="88" t="s">
        <v>1779</v>
      </c>
    </row>
    <row r="64" spans="2:35" ht="17.45" customHeight="1">
      <c r="B64" s="96" t="e">
        <f t="shared" si="0"/>
        <v>#REF!</v>
      </c>
      <c r="C64" s="112">
        <v>36307</v>
      </c>
      <c r="D64" s="98" t="s">
        <v>1917</v>
      </c>
      <c r="E64" s="98">
        <v>7600109</v>
      </c>
      <c r="F64" s="99" t="s">
        <v>1916</v>
      </c>
      <c r="G64" s="100" t="s">
        <v>195</v>
      </c>
      <c r="H64" s="101" t="s">
        <v>1899</v>
      </c>
      <c r="I64" s="98" t="s">
        <v>1917</v>
      </c>
      <c r="J64" s="102">
        <v>1</v>
      </c>
      <c r="K64" s="103" t="s">
        <v>1810</v>
      </c>
      <c r="L64" s="124">
        <v>6</v>
      </c>
      <c r="M64" s="218" t="s">
        <v>1618</v>
      </c>
      <c r="N64" s="106" t="str">
        <f t="shared" si="1"/>
        <v>16</v>
      </c>
      <c r="O64" s="107"/>
      <c r="P64" s="114" t="s">
        <v>1917</v>
      </c>
      <c r="Q64" s="107"/>
      <c r="R64" s="115" t="s">
        <v>1619</v>
      </c>
      <c r="S64" s="302" t="s">
        <v>1575</v>
      </c>
      <c r="T64" s="92" t="s">
        <v>1575</v>
      </c>
      <c r="U64" s="110"/>
      <c r="V64" s="94" t="s">
        <v>1619</v>
      </c>
      <c r="W64" s="107"/>
      <c r="X64" s="117">
        <v>7600109</v>
      </c>
      <c r="Y64" s="109" t="s">
        <v>1619</v>
      </c>
      <c r="Z64" s="98" t="s">
        <v>1917</v>
      </c>
      <c r="AA64" s="103" t="s">
        <v>1810</v>
      </c>
      <c r="AB64" s="218" t="s">
        <v>1618</v>
      </c>
      <c r="AC64" s="127" t="s">
        <v>1907</v>
      </c>
      <c r="AH64" s="88" t="s">
        <v>1778</v>
      </c>
      <c r="AI64" s="88" t="s">
        <v>1779</v>
      </c>
    </row>
    <row r="65" spans="2:35" ht="17.45" customHeight="1">
      <c r="B65" s="96" t="e">
        <f t="shared" si="0"/>
        <v>#REF!</v>
      </c>
      <c r="C65" s="112">
        <v>42873</v>
      </c>
      <c r="D65" s="98" t="s">
        <v>1928</v>
      </c>
      <c r="E65" s="98">
        <v>7601198</v>
      </c>
      <c r="F65" s="99" t="s">
        <v>1916</v>
      </c>
      <c r="G65" s="100" t="s">
        <v>197</v>
      </c>
      <c r="H65" s="101" t="s">
        <v>1911</v>
      </c>
      <c r="I65" s="98" t="s">
        <v>1928</v>
      </c>
      <c r="J65" s="126">
        <v>1</v>
      </c>
      <c r="K65" s="124" t="s">
        <v>1810</v>
      </c>
      <c r="L65" s="124">
        <v>6</v>
      </c>
      <c r="M65" s="218" t="s">
        <v>1618</v>
      </c>
      <c r="N65" s="106" t="str">
        <f t="shared" si="1"/>
        <v>16</v>
      </c>
      <c r="O65" s="107"/>
      <c r="P65" s="114" t="s">
        <v>1917</v>
      </c>
      <c r="Q65" s="107"/>
      <c r="R65" s="115" t="s">
        <v>1619</v>
      </c>
      <c r="S65" s="302" t="s">
        <v>1575</v>
      </c>
      <c r="T65" s="92" t="s">
        <v>1575</v>
      </c>
      <c r="U65" s="110"/>
      <c r="V65" s="94" t="s">
        <v>1619</v>
      </c>
      <c r="W65" s="107"/>
      <c r="X65" s="117">
        <v>7600109</v>
      </c>
      <c r="Y65" s="109" t="s">
        <v>1619</v>
      </c>
      <c r="Z65" s="98" t="s">
        <v>1928</v>
      </c>
      <c r="AA65" s="124" t="s">
        <v>1810</v>
      </c>
      <c r="AB65" s="218" t="s">
        <v>1618</v>
      </c>
      <c r="AC65" s="152" t="s">
        <v>1655</v>
      </c>
      <c r="AH65" s="88" t="s">
        <v>1778</v>
      </c>
      <c r="AI65" s="88" t="s">
        <v>1779</v>
      </c>
    </row>
    <row r="66" spans="2:35" ht="17.45" customHeight="1">
      <c r="B66" s="96" t="e">
        <f t="shared" si="0"/>
        <v>#REF!</v>
      </c>
      <c r="C66" s="112">
        <v>42270</v>
      </c>
      <c r="D66" s="98" t="s">
        <v>1926</v>
      </c>
      <c r="E66" s="98">
        <v>7600871</v>
      </c>
      <c r="F66" s="99" t="s">
        <v>1916</v>
      </c>
      <c r="G66" s="100" t="s">
        <v>200</v>
      </c>
      <c r="H66" s="101" t="s">
        <v>1899</v>
      </c>
      <c r="I66" s="98" t="s">
        <v>1926</v>
      </c>
      <c r="J66" s="126">
        <v>1</v>
      </c>
      <c r="K66" s="124" t="s">
        <v>1810</v>
      </c>
      <c r="L66" s="124">
        <v>6</v>
      </c>
      <c r="M66" s="218" t="s">
        <v>1618</v>
      </c>
      <c r="N66" s="106" t="str">
        <f t="shared" si="1"/>
        <v>16</v>
      </c>
      <c r="O66" s="107"/>
      <c r="P66" s="114" t="s">
        <v>1917</v>
      </c>
      <c r="Q66" s="107"/>
      <c r="R66" s="115" t="s">
        <v>1619</v>
      </c>
      <c r="S66" s="302" t="s">
        <v>1575</v>
      </c>
      <c r="T66" s="92" t="s">
        <v>1575</v>
      </c>
      <c r="U66" s="110"/>
      <c r="V66" s="94" t="s">
        <v>1619</v>
      </c>
      <c r="W66" s="107"/>
      <c r="X66" s="117">
        <v>7600109</v>
      </c>
      <c r="Y66" s="109" t="s">
        <v>1619</v>
      </c>
      <c r="Z66" s="98" t="s">
        <v>1926</v>
      </c>
      <c r="AA66" s="124" t="s">
        <v>1810</v>
      </c>
      <c r="AB66" s="218" t="s">
        <v>1618</v>
      </c>
      <c r="AC66" s="127" t="s">
        <v>1733</v>
      </c>
      <c r="AH66" s="88" t="s">
        <v>1778</v>
      </c>
      <c r="AI66" s="88" t="s">
        <v>1779</v>
      </c>
    </row>
    <row r="67" spans="2:35" ht="17.45" customHeight="1">
      <c r="B67" s="96" t="e">
        <f t="shared" si="0"/>
        <v>#REF!</v>
      </c>
      <c r="C67" s="112">
        <v>42870</v>
      </c>
      <c r="D67" s="98" t="s">
        <v>1927</v>
      </c>
      <c r="E67" s="98">
        <v>7600963</v>
      </c>
      <c r="F67" s="113" t="s">
        <v>1916</v>
      </c>
      <c r="G67" s="100" t="s">
        <v>203</v>
      </c>
      <c r="H67" s="101" t="s">
        <v>1899</v>
      </c>
      <c r="I67" s="98" t="s">
        <v>1927</v>
      </c>
      <c r="J67" s="126">
        <v>1</v>
      </c>
      <c r="K67" s="124" t="s">
        <v>1810</v>
      </c>
      <c r="L67" s="124">
        <v>6</v>
      </c>
      <c r="M67" s="218" t="s">
        <v>1618</v>
      </c>
      <c r="N67" s="106" t="str">
        <f t="shared" si="1"/>
        <v>16</v>
      </c>
      <c r="O67" s="107"/>
      <c r="P67" s="114" t="s">
        <v>1917</v>
      </c>
      <c r="Q67" s="107"/>
      <c r="R67" s="115" t="s">
        <v>1619</v>
      </c>
      <c r="S67" s="302" t="s">
        <v>1575</v>
      </c>
      <c r="T67" s="92" t="s">
        <v>1575</v>
      </c>
      <c r="U67" s="110"/>
      <c r="V67" s="94" t="s">
        <v>1619</v>
      </c>
      <c r="W67" s="107"/>
      <c r="X67" s="117">
        <v>7600109</v>
      </c>
      <c r="Y67" s="109" t="s">
        <v>1619</v>
      </c>
      <c r="Z67" s="98" t="s">
        <v>1927</v>
      </c>
      <c r="AA67" s="124" t="s">
        <v>1810</v>
      </c>
      <c r="AB67" s="218" t="s">
        <v>1618</v>
      </c>
      <c r="AC67" s="127" t="s">
        <v>1698</v>
      </c>
      <c r="AH67" s="88" t="s">
        <v>1778</v>
      </c>
      <c r="AI67" s="88" t="s">
        <v>1779</v>
      </c>
    </row>
    <row r="68" spans="2:35" ht="17.45" customHeight="1">
      <c r="B68" s="96" t="e">
        <f t="shared" si="0"/>
        <v>#REF!</v>
      </c>
      <c r="C68" s="112">
        <v>41264</v>
      </c>
      <c r="D68" s="98" t="s">
        <v>1925</v>
      </c>
      <c r="E68" s="98">
        <v>7600808</v>
      </c>
      <c r="F68" s="113" t="s">
        <v>1916</v>
      </c>
      <c r="G68" s="100" t="s">
        <v>204</v>
      </c>
      <c r="H68" s="101" t="s">
        <v>1899</v>
      </c>
      <c r="I68" s="98" t="s">
        <v>1925</v>
      </c>
      <c r="J68" s="102">
        <v>1</v>
      </c>
      <c r="K68" s="103" t="s">
        <v>1810</v>
      </c>
      <c r="L68" s="124">
        <v>6</v>
      </c>
      <c r="M68" s="218" t="s">
        <v>1618</v>
      </c>
      <c r="N68" s="106" t="str">
        <f t="shared" si="1"/>
        <v>16</v>
      </c>
      <c r="O68" s="107"/>
      <c r="P68" s="114" t="s">
        <v>1917</v>
      </c>
      <c r="Q68" s="107"/>
      <c r="R68" s="115" t="s">
        <v>1619</v>
      </c>
      <c r="S68" s="302" t="s">
        <v>1575</v>
      </c>
      <c r="T68" s="92" t="s">
        <v>1575</v>
      </c>
      <c r="U68" s="110"/>
      <c r="V68" s="94" t="s">
        <v>1619</v>
      </c>
      <c r="W68" s="107"/>
      <c r="X68" s="117">
        <v>7600109</v>
      </c>
      <c r="Y68" s="109" t="s">
        <v>1619</v>
      </c>
      <c r="Z68" s="98" t="s">
        <v>1925</v>
      </c>
      <c r="AA68" s="103" t="s">
        <v>1810</v>
      </c>
      <c r="AB68" s="218" t="s">
        <v>1618</v>
      </c>
      <c r="AC68" s="127" t="s">
        <v>1918</v>
      </c>
      <c r="AH68" s="88" t="s">
        <v>1778</v>
      </c>
      <c r="AI68" s="88" t="s">
        <v>1779</v>
      </c>
    </row>
    <row r="69" spans="2:35" ht="17.45" customHeight="1">
      <c r="B69" s="96" t="e">
        <f t="shared" ref="B69:B127" si="2">B68+1</f>
        <v>#REF!</v>
      </c>
      <c r="C69" s="112">
        <v>41787</v>
      </c>
      <c r="D69" s="98" t="s">
        <v>2285</v>
      </c>
      <c r="E69" s="98">
        <v>7600788</v>
      </c>
      <c r="F69" s="113" t="s">
        <v>1916</v>
      </c>
      <c r="G69" s="100" t="s">
        <v>206</v>
      </c>
      <c r="H69" s="101" t="s">
        <v>1899</v>
      </c>
      <c r="I69" s="98" t="s">
        <v>2285</v>
      </c>
      <c r="J69" s="126">
        <v>1</v>
      </c>
      <c r="K69" s="124" t="s">
        <v>1810</v>
      </c>
      <c r="L69" s="124">
        <v>6</v>
      </c>
      <c r="M69" s="218" t="s">
        <v>1618</v>
      </c>
      <c r="N69" s="106" t="str">
        <f t="shared" ref="N69:N132" si="3">J69&amp;L69</f>
        <v>16</v>
      </c>
      <c r="O69" s="107"/>
      <c r="P69" s="114" t="s">
        <v>1917</v>
      </c>
      <c r="Q69" s="107"/>
      <c r="R69" s="115" t="s">
        <v>1619</v>
      </c>
      <c r="S69" s="302" t="s">
        <v>1575</v>
      </c>
      <c r="T69" s="92" t="s">
        <v>1575</v>
      </c>
      <c r="U69" s="110"/>
      <c r="V69" s="94" t="s">
        <v>1619</v>
      </c>
      <c r="W69" s="107"/>
      <c r="X69" s="117">
        <v>7600109</v>
      </c>
      <c r="Y69" s="109" t="s">
        <v>1619</v>
      </c>
      <c r="Z69" s="98" t="s">
        <v>2285</v>
      </c>
      <c r="AA69" s="124" t="s">
        <v>1810</v>
      </c>
      <c r="AB69" s="218" t="s">
        <v>1618</v>
      </c>
      <c r="AC69" s="127" t="s">
        <v>1599</v>
      </c>
      <c r="AH69" s="88" t="s">
        <v>1778</v>
      </c>
      <c r="AI69" s="88" t="s">
        <v>1779</v>
      </c>
    </row>
    <row r="70" spans="2:35" ht="17.45" customHeight="1">
      <c r="B70" s="96" t="e">
        <f>#REF!+1</f>
        <v>#REF!</v>
      </c>
      <c r="C70" s="112">
        <v>38617</v>
      </c>
      <c r="D70" s="98" t="s">
        <v>2286</v>
      </c>
      <c r="E70" s="98">
        <v>7600405</v>
      </c>
      <c r="F70" s="113" t="s">
        <v>2287</v>
      </c>
      <c r="G70" s="100" t="s">
        <v>283</v>
      </c>
      <c r="H70" s="101" t="s">
        <v>2288</v>
      </c>
      <c r="I70" s="98" t="s">
        <v>2286</v>
      </c>
      <c r="J70" s="102">
        <v>1</v>
      </c>
      <c r="K70" s="103" t="s">
        <v>1810</v>
      </c>
      <c r="L70" s="124">
        <v>6</v>
      </c>
      <c r="M70" s="218" t="s">
        <v>1618</v>
      </c>
      <c r="N70" s="106" t="str">
        <f t="shared" si="3"/>
        <v>16</v>
      </c>
      <c r="O70" s="107"/>
      <c r="P70" s="114" t="s">
        <v>2289</v>
      </c>
      <c r="Q70" s="107"/>
      <c r="R70" s="115" t="s">
        <v>1621</v>
      </c>
      <c r="S70" s="302" t="s">
        <v>1575</v>
      </c>
      <c r="T70" s="92" t="s">
        <v>1575</v>
      </c>
      <c r="U70" s="110"/>
      <c r="V70" s="94" t="s">
        <v>1621</v>
      </c>
      <c r="W70" s="107"/>
      <c r="X70" s="117">
        <v>7600403</v>
      </c>
      <c r="Y70" s="109" t="s">
        <v>1621</v>
      </c>
      <c r="Z70" s="98" t="s">
        <v>2286</v>
      </c>
      <c r="AA70" s="103" t="s">
        <v>1810</v>
      </c>
      <c r="AB70" s="218" t="s">
        <v>1618</v>
      </c>
      <c r="AC70" s="116"/>
      <c r="AH70" s="88" t="s">
        <v>1778</v>
      </c>
      <c r="AI70" s="88" t="s">
        <v>1779</v>
      </c>
    </row>
    <row r="71" spans="2:35" ht="17.45" customHeight="1">
      <c r="B71" s="96" t="e">
        <f t="shared" si="2"/>
        <v>#REF!</v>
      </c>
      <c r="C71" s="112">
        <v>40542</v>
      </c>
      <c r="D71" s="98" t="s">
        <v>2168</v>
      </c>
      <c r="E71" s="98">
        <v>7600560</v>
      </c>
      <c r="F71" s="113" t="s">
        <v>2163</v>
      </c>
      <c r="G71" s="100" t="s">
        <v>101</v>
      </c>
      <c r="H71" s="101" t="s">
        <v>1815</v>
      </c>
      <c r="I71" s="98" t="s">
        <v>2168</v>
      </c>
      <c r="J71" s="102">
        <v>1</v>
      </c>
      <c r="K71" s="103" t="s">
        <v>1810</v>
      </c>
      <c r="L71" s="124">
        <v>7</v>
      </c>
      <c r="M71" s="218" t="s">
        <v>1622</v>
      </c>
      <c r="N71" s="106" t="str">
        <f t="shared" si="3"/>
        <v>17</v>
      </c>
      <c r="O71" s="107"/>
      <c r="P71" s="114" t="s">
        <v>2164</v>
      </c>
      <c r="Q71" s="107"/>
      <c r="R71" s="115" t="s">
        <v>1626</v>
      </c>
      <c r="S71" s="302" t="s">
        <v>1576</v>
      </c>
      <c r="T71" s="92" t="s">
        <v>1576</v>
      </c>
      <c r="U71" s="110"/>
      <c r="V71" s="94" t="s">
        <v>1626</v>
      </c>
      <c r="W71" s="107"/>
      <c r="X71" s="117">
        <v>7600007</v>
      </c>
      <c r="Y71" s="109" t="s">
        <v>1626</v>
      </c>
      <c r="Z71" s="98" t="s">
        <v>2168</v>
      </c>
      <c r="AA71" s="103" t="s">
        <v>1810</v>
      </c>
      <c r="AB71" s="218" t="s">
        <v>1622</v>
      </c>
      <c r="AC71" s="116"/>
      <c r="AH71" s="88" t="s">
        <v>1778</v>
      </c>
      <c r="AI71" s="88" t="s">
        <v>1779</v>
      </c>
    </row>
    <row r="72" spans="2:35" ht="17.45" customHeight="1">
      <c r="B72" s="96" t="e">
        <f t="shared" si="2"/>
        <v>#REF!</v>
      </c>
      <c r="C72" s="112">
        <v>36972</v>
      </c>
      <c r="D72" s="98" t="s">
        <v>2166</v>
      </c>
      <c r="E72" s="98">
        <v>7600219</v>
      </c>
      <c r="F72" s="113" t="s">
        <v>2163</v>
      </c>
      <c r="G72" s="100" t="s">
        <v>108</v>
      </c>
      <c r="H72" s="101" t="s">
        <v>1815</v>
      </c>
      <c r="I72" s="98" t="s">
        <v>2166</v>
      </c>
      <c r="J72" s="102">
        <v>1</v>
      </c>
      <c r="K72" s="103" t="s">
        <v>1810</v>
      </c>
      <c r="L72" s="124">
        <v>7</v>
      </c>
      <c r="M72" s="218" t="s">
        <v>1622</v>
      </c>
      <c r="N72" s="106" t="str">
        <f t="shared" si="3"/>
        <v>17</v>
      </c>
      <c r="O72" s="107"/>
      <c r="P72" s="114" t="s">
        <v>2164</v>
      </c>
      <c r="Q72" s="107"/>
      <c r="R72" s="115" t="s">
        <v>1626</v>
      </c>
      <c r="S72" s="302" t="s">
        <v>1576</v>
      </c>
      <c r="T72" s="92" t="s">
        <v>1576</v>
      </c>
      <c r="U72" s="110"/>
      <c r="V72" s="94" t="s">
        <v>1626</v>
      </c>
      <c r="W72" s="107"/>
      <c r="X72" s="117">
        <v>7600007</v>
      </c>
      <c r="Y72" s="109" t="s">
        <v>1626</v>
      </c>
      <c r="Z72" s="98" t="s">
        <v>2166</v>
      </c>
      <c r="AA72" s="103" t="s">
        <v>1810</v>
      </c>
      <c r="AB72" s="218" t="s">
        <v>1622</v>
      </c>
      <c r="AC72" s="116"/>
      <c r="AH72" s="88" t="s">
        <v>1778</v>
      </c>
      <c r="AI72" s="88" t="s">
        <v>1779</v>
      </c>
    </row>
    <row r="73" spans="2:35" ht="17.45" customHeight="1">
      <c r="B73" s="96" t="e">
        <f t="shared" si="2"/>
        <v>#REF!</v>
      </c>
      <c r="C73" s="112">
        <v>35455</v>
      </c>
      <c r="D73" s="98" t="s">
        <v>2164</v>
      </c>
      <c r="E73" s="98">
        <v>7600007</v>
      </c>
      <c r="F73" s="113" t="s">
        <v>2163</v>
      </c>
      <c r="G73" s="100" t="s">
        <v>111</v>
      </c>
      <c r="H73" s="101" t="s">
        <v>1815</v>
      </c>
      <c r="I73" s="98" t="s">
        <v>2164</v>
      </c>
      <c r="J73" s="102">
        <v>1</v>
      </c>
      <c r="K73" s="103" t="s">
        <v>1810</v>
      </c>
      <c r="L73" s="124">
        <v>7</v>
      </c>
      <c r="M73" s="218" t="s">
        <v>1622</v>
      </c>
      <c r="N73" s="106" t="str">
        <f t="shared" si="3"/>
        <v>17</v>
      </c>
      <c r="O73" s="107"/>
      <c r="P73" s="114" t="s">
        <v>2164</v>
      </c>
      <c r="Q73" s="107"/>
      <c r="R73" s="115" t="s">
        <v>1626</v>
      </c>
      <c r="S73" s="302" t="s">
        <v>1576</v>
      </c>
      <c r="T73" s="92" t="s">
        <v>1576</v>
      </c>
      <c r="U73" s="110"/>
      <c r="V73" s="94" t="s">
        <v>1626</v>
      </c>
      <c r="W73" s="107"/>
      <c r="X73" s="117">
        <v>7600007</v>
      </c>
      <c r="Y73" s="109" t="s">
        <v>1626</v>
      </c>
      <c r="Z73" s="98" t="s">
        <v>2164</v>
      </c>
      <c r="AA73" s="103" t="s">
        <v>1810</v>
      </c>
      <c r="AB73" s="218" t="s">
        <v>1622</v>
      </c>
      <c r="AC73" s="116"/>
      <c r="AH73" s="88" t="s">
        <v>1778</v>
      </c>
      <c r="AI73" s="88" t="s">
        <v>1779</v>
      </c>
    </row>
    <row r="74" spans="2:35" ht="17.45" customHeight="1">
      <c r="B74" s="96" t="e">
        <f t="shared" si="2"/>
        <v>#REF!</v>
      </c>
      <c r="C74" s="112">
        <v>40892</v>
      </c>
      <c r="D74" s="98" t="s">
        <v>2170</v>
      </c>
      <c r="E74" s="98">
        <v>7600642</v>
      </c>
      <c r="F74" s="113" t="s">
        <v>2163</v>
      </c>
      <c r="G74" s="100" t="s">
        <v>114</v>
      </c>
      <c r="H74" s="101" t="s">
        <v>1815</v>
      </c>
      <c r="I74" s="98" t="s">
        <v>2170</v>
      </c>
      <c r="J74" s="102">
        <v>1</v>
      </c>
      <c r="K74" s="103" t="s">
        <v>1810</v>
      </c>
      <c r="L74" s="124">
        <v>7</v>
      </c>
      <c r="M74" s="218" t="s">
        <v>1622</v>
      </c>
      <c r="N74" s="106" t="str">
        <f t="shared" si="3"/>
        <v>17</v>
      </c>
      <c r="O74" s="107"/>
      <c r="P74" s="114" t="s">
        <v>2164</v>
      </c>
      <c r="Q74" s="107"/>
      <c r="R74" s="115" t="s">
        <v>1626</v>
      </c>
      <c r="S74" s="302" t="s">
        <v>1576</v>
      </c>
      <c r="T74" s="92" t="s">
        <v>1576</v>
      </c>
      <c r="U74" s="110"/>
      <c r="V74" s="94" t="s">
        <v>1626</v>
      </c>
      <c r="W74" s="107"/>
      <c r="X74" s="117">
        <v>7600007</v>
      </c>
      <c r="Y74" s="109" t="s">
        <v>1626</v>
      </c>
      <c r="Z74" s="98" t="s">
        <v>2170</v>
      </c>
      <c r="AA74" s="103" t="s">
        <v>1810</v>
      </c>
      <c r="AB74" s="218" t="s">
        <v>1622</v>
      </c>
      <c r="AC74" s="116"/>
      <c r="AH74" s="88" t="s">
        <v>1778</v>
      </c>
      <c r="AI74" s="88" t="s">
        <v>1779</v>
      </c>
    </row>
    <row r="75" spans="2:35" ht="17.45" customHeight="1">
      <c r="B75" s="96" t="e">
        <f t="shared" si="2"/>
        <v>#REF!</v>
      </c>
      <c r="C75" s="112">
        <v>41627</v>
      </c>
      <c r="D75" s="98" t="s">
        <v>2171</v>
      </c>
      <c r="E75" s="98">
        <v>7600778</v>
      </c>
      <c r="F75" s="113" t="s">
        <v>2163</v>
      </c>
      <c r="G75" s="100" t="s">
        <v>117</v>
      </c>
      <c r="H75" s="101" t="s">
        <v>1815</v>
      </c>
      <c r="I75" s="98" t="s">
        <v>2171</v>
      </c>
      <c r="J75" s="126">
        <v>1</v>
      </c>
      <c r="K75" s="124" t="s">
        <v>1810</v>
      </c>
      <c r="L75" s="124">
        <v>7</v>
      </c>
      <c r="M75" s="218" t="s">
        <v>1622</v>
      </c>
      <c r="N75" s="106" t="str">
        <f t="shared" si="3"/>
        <v>17</v>
      </c>
      <c r="O75" s="107"/>
      <c r="P75" s="114" t="s">
        <v>2164</v>
      </c>
      <c r="Q75" s="107"/>
      <c r="R75" s="115" t="s">
        <v>1626</v>
      </c>
      <c r="S75" s="302" t="s">
        <v>1576</v>
      </c>
      <c r="T75" s="92" t="s">
        <v>1576</v>
      </c>
      <c r="U75" s="110"/>
      <c r="V75" s="94" t="s">
        <v>1626</v>
      </c>
      <c r="W75" s="107"/>
      <c r="X75" s="117">
        <v>7600007</v>
      </c>
      <c r="Y75" s="109" t="s">
        <v>1626</v>
      </c>
      <c r="Z75" s="98" t="s">
        <v>2171</v>
      </c>
      <c r="AA75" s="124" t="s">
        <v>1810</v>
      </c>
      <c r="AB75" s="218" t="s">
        <v>1622</v>
      </c>
      <c r="AC75" s="116"/>
      <c r="AH75" s="88" t="s">
        <v>1778</v>
      </c>
      <c r="AI75" s="88" t="s">
        <v>1779</v>
      </c>
    </row>
    <row r="76" spans="2:35" ht="17.45" customHeight="1">
      <c r="B76" s="96" t="e">
        <f t="shared" si="2"/>
        <v>#REF!</v>
      </c>
      <c r="C76" s="112">
        <v>45204</v>
      </c>
      <c r="D76" s="98" t="s">
        <v>1962</v>
      </c>
      <c r="E76" s="98">
        <v>7601234</v>
      </c>
      <c r="F76" s="153" t="s">
        <v>1959</v>
      </c>
      <c r="G76" s="101" t="s">
        <v>287</v>
      </c>
      <c r="H76" s="154" t="s">
        <v>1969</v>
      </c>
      <c r="I76" s="98" t="s">
        <v>1962</v>
      </c>
      <c r="J76" s="126">
        <v>1</v>
      </c>
      <c r="K76" s="124" t="s">
        <v>1810</v>
      </c>
      <c r="L76" s="124">
        <v>7</v>
      </c>
      <c r="M76" s="218" t="s">
        <v>1622</v>
      </c>
      <c r="N76" s="106" t="str">
        <f t="shared" si="3"/>
        <v>17</v>
      </c>
      <c r="O76" s="107"/>
      <c r="P76" s="114" t="s">
        <v>1960</v>
      </c>
      <c r="Q76" s="107"/>
      <c r="R76" s="115" t="s">
        <v>1623</v>
      </c>
      <c r="S76" s="302" t="s">
        <v>1576</v>
      </c>
      <c r="T76" s="92" t="s">
        <v>1576</v>
      </c>
      <c r="U76" s="110"/>
      <c r="V76" s="94" t="s">
        <v>1623</v>
      </c>
      <c r="W76" s="107"/>
      <c r="X76" s="117">
        <v>7601105</v>
      </c>
      <c r="Y76" s="109" t="s">
        <v>1623</v>
      </c>
      <c r="Z76" s="98" t="s">
        <v>1962</v>
      </c>
      <c r="AA76" s="124" t="s">
        <v>1810</v>
      </c>
      <c r="AB76" s="218" t="s">
        <v>1622</v>
      </c>
      <c r="AC76" s="116"/>
      <c r="AH76" s="88" t="s">
        <v>1778</v>
      </c>
      <c r="AI76" s="88" t="s">
        <v>1779</v>
      </c>
    </row>
    <row r="77" spans="2:35" ht="17.45" customHeight="1">
      <c r="B77" s="96" t="e">
        <f t="shared" si="2"/>
        <v>#REF!</v>
      </c>
      <c r="C77" s="112">
        <v>43892</v>
      </c>
      <c r="D77" s="98" t="s">
        <v>1960</v>
      </c>
      <c r="E77" s="98">
        <v>7601105</v>
      </c>
      <c r="F77" s="113" t="s">
        <v>1959</v>
      </c>
      <c r="G77" s="100" t="s">
        <v>294</v>
      </c>
      <c r="H77" s="101" t="s">
        <v>1969</v>
      </c>
      <c r="I77" s="98" t="s">
        <v>1960</v>
      </c>
      <c r="J77" s="102">
        <v>1</v>
      </c>
      <c r="K77" s="103" t="s">
        <v>1810</v>
      </c>
      <c r="L77" s="124">
        <v>7</v>
      </c>
      <c r="M77" s="218" t="s">
        <v>1622</v>
      </c>
      <c r="N77" s="106" t="str">
        <f t="shared" si="3"/>
        <v>17</v>
      </c>
      <c r="O77" s="107"/>
      <c r="P77" s="114" t="s">
        <v>1960</v>
      </c>
      <c r="Q77" s="107"/>
      <c r="R77" s="115" t="s">
        <v>1623</v>
      </c>
      <c r="S77" s="302" t="s">
        <v>1576</v>
      </c>
      <c r="T77" s="92" t="s">
        <v>1576</v>
      </c>
      <c r="U77" s="110"/>
      <c r="V77" s="94" t="s">
        <v>1623</v>
      </c>
      <c r="W77" s="107"/>
      <c r="X77" s="117">
        <v>7601105</v>
      </c>
      <c r="Y77" s="109" t="s">
        <v>1623</v>
      </c>
      <c r="Z77" s="98" t="s">
        <v>1960</v>
      </c>
      <c r="AA77" s="103" t="s">
        <v>1810</v>
      </c>
      <c r="AB77" s="218" t="s">
        <v>1622</v>
      </c>
      <c r="AC77" s="116"/>
      <c r="AH77" s="88" t="s">
        <v>1778</v>
      </c>
      <c r="AI77" s="88" t="s">
        <v>1779</v>
      </c>
    </row>
    <row r="78" spans="2:35" ht="17.45" customHeight="1">
      <c r="B78" s="96" t="e">
        <f t="shared" si="2"/>
        <v>#REF!</v>
      </c>
      <c r="C78" s="112">
        <v>41149</v>
      </c>
      <c r="D78" s="98" t="s">
        <v>2082</v>
      </c>
      <c r="E78" s="98">
        <v>7600671</v>
      </c>
      <c r="F78" s="113" t="s">
        <v>2081</v>
      </c>
      <c r="G78" s="100" t="s">
        <v>297</v>
      </c>
      <c r="H78" s="101" t="s">
        <v>2088</v>
      </c>
      <c r="I78" s="98" t="s">
        <v>2082</v>
      </c>
      <c r="J78" s="102">
        <v>1</v>
      </c>
      <c r="K78" s="103" t="s">
        <v>1810</v>
      </c>
      <c r="L78" s="124">
        <v>7</v>
      </c>
      <c r="M78" s="218" t="s">
        <v>1622</v>
      </c>
      <c r="N78" s="106" t="str">
        <f t="shared" si="3"/>
        <v>17</v>
      </c>
      <c r="O78" s="107"/>
      <c r="P78" s="114" t="s">
        <v>2082</v>
      </c>
      <c r="Q78" s="107"/>
      <c r="R78" s="115" t="s">
        <v>1625</v>
      </c>
      <c r="S78" s="302" t="s">
        <v>1576</v>
      </c>
      <c r="T78" s="92" t="s">
        <v>1576</v>
      </c>
      <c r="U78" s="110"/>
      <c r="V78" s="94" t="s">
        <v>1625</v>
      </c>
      <c r="W78" s="107"/>
      <c r="X78" s="117">
        <v>7600671</v>
      </c>
      <c r="Y78" s="109" t="s">
        <v>1625</v>
      </c>
      <c r="Z78" s="98" t="s">
        <v>2082</v>
      </c>
      <c r="AA78" s="103" t="s">
        <v>1810</v>
      </c>
      <c r="AB78" s="218" t="s">
        <v>1622</v>
      </c>
      <c r="AC78" s="116"/>
      <c r="AH78" s="88" t="s">
        <v>1778</v>
      </c>
      <c r="AI78" s="88" t="s">
        <v>1779</v>
      </c>
    </row>
    <row r="79" spans="2:35" ht="17.45" customHeight="1">
      <c r="B79" s="96" t="e">
        <f t="shared" si="2"/>
        <v>#REF!</v>
      </c>
      <c r="C79" s="112">
        <v>37256</v>
      </c>
      <c r="D79" s="98" t="s">
        <v>2105</v>
      </c>
      <c r="E79" s="98">
        <v>7600258</v>
      </c>
      <c r="F79" s="113" t="s">
        <v>2104</v>
      </c>
      <c r="G79" s="100" t="s">
        <v>303</v>
      </c>
      <c r="H79" s="101" t="s">
        <v>2110</v>
      </c>
      <c r="I79" s="98" t="s">
        <v>2105</v>
      </c>
      <c r="J79" s="102">
        <v>1</v>
      </c>
      <c r="K79" s="103" t="s">
        <v>1810</v>
      </c>
      <c r="L79" s="124">
        <v>7</v>
      </c>
      <c r="M79" s="218" t="s">
        <v>1622</v>
      </c>
      <c r="N79" s="106" t="str">
        <f t="shared" si="3"/>
        <v>17</v>
      </c>
      <c r="O79" s="107"/>
      <c r="P79" s="114" t="s">
        <v>2105</v>
      </c>
      <c r="Q79" s="107"/>
      <c r="R79" s="115" t="s">
        <v>1627</v>
      </c>
      <c r="S79" s="302" t="s">
        <v>1576</v>
      </c>
      <c r="T79" s="92" t="s">
        <v>1576</v>
      </c>
      <c r="U79" s="110"/>
      <c r="V79" s="94" t="s">
        <v>1627</v>
      </c>
      <c r="W79" s="107"/>
      <c r="X79" s="117">
        <v>7600258</v>
      </c>
      <c r="Y79" s="109" t="s">
        <v>1627</v>
      </c>
      <c r="Z79" s="98" t="s">
        <v>2105</v>
      </c>
      <c r="AA79" s="103" t="s">
        <v>1810</v>
      </c>
      <c r="AB79" s="218" t="s">
        <v>1622</v>
      </c>
      <c r="AC79" s="116"/>
      <c r="AH79" s="88" t="s">
        <v>1778</v>
      </c>
      <c r="AI79" s="88" t="s">
        <v>1779</v>
      </c>
    </row>
    <row r="80" spans="2:35" ht="17.45" customHeight="1">
      <c r="B80" s="96" t="e">
        <f t="shared" si="2"/>
        <v>#REF!</v>
      </c>
      <c r="C80" s="112">
        <v>37224</v>
      </c>
      <c r="D80" s="98" t="s">
        <v>2109</v>
      </c>
      <c r="E80" s="98">
        <v>7600277</v>
      </c>
      <c r="F80" s="113" t="s">
        <v>2104</v>
      </c>
      <c r="G80" s="100" t="s">
        <v>310</v>
      </c>
      <c r="H80" s="101" t="s">
        <v>2110</v>
      </c>
      <c r="I80" s="98" t="s">
        <v>2109</v>
      </c>
      <c r="J80" s="102">
        <v>1</v>
      </c>
      <c r="K80" s="103" t="s">
        <v>1810</v>
      </c>
      <c r="L80" s="124">
        <v>7</v>
      </c>
      <c r="M80" s="218" t="s">
        <v>1622</v>
      </c>
      <c r="N80" s="106" t="str">
        <f t="shared" si="3"/>
        <v>17</v>
      </c>
      <c r="O80" s="107"/>
      <c r="P80" s="114" t="s">
        <v>2105</v>
      </c>
      <c r="Q80" s="107"/>
      <c r="R80" s="115" t="s">
        <v>1627</v>
      </c>
      <c r="S80" s="302" t="s">
        <v>1576</v>
      </c>
      <c r="T80" s="92" t="s">
        <v>1576</v>
      </c>
      <c r="U80" s="110"/>
      <c r="V80" s="94" t="s">
        <v>1627</v>
      </c>
      <c r="W80" s="107"/>
      <c r="X80" s="117">
        <v>7600258</v>
      </c>
      <c r="Y80" s="109" t="s">
        <v>1627</v>
      </c>
      <c r="Z80" s="98" t="s">
        <v>2109</v>
      </c>
      <c r="AA80" s="103" t="s">
        <v>1810</v>
      </c>
      <c r="AB80" s="218" t="s">
        <v>1622</v>
      </c>
      <c r="AC80" s="116"/>
      <c r="AH80" s="88" t="s">
        <v>1778</v>
      </c>
      <c r="AI80" s="88" t="s">
        <v>1779</v>
      </c>
    </row>
    <row r="81" spans="2:35" ht="17.45" customHeight="1">
      <c r="B81" s="96" t="e">
        <f t="shared" si="2"/>
        <v>#REF!</v>
      </c>
      <c r="C81" s="112">
        <v>37181</v>
      </c>
      <c r="D81" s="98" t="s">
        <v>2107</v>
      </c>
      <c r="E81" s="98">
        <v>7600263</v>
      </c>
      <c r="F81" s="113" t="s">
        <v>2104</v>
      </c>
      <c r="G81" s="100" t="s">
        <v>313</v>
      </c>
      <c r="H81" s="101" t="s">
        <v>2110</v>
      </c>
      <c r="I81" s="98" t="s">
        <v>2107</v>
      </c>
      <c r="J81" s="102">
        <v>1</v>
      </c>
      <c r="K81" s="103" t="s">
        <v>1810</v>
      </c>
      <c r="L81" s="124">
        <v>7</v>
      </c>
      <c r="M81" s="218" t="s">
        <v>1622</v>
      </c>
      <c r="N81" s="106" t="str">
        <f t="shared" si="3"/>
        <v>17</v>
      </c>
      <c r="O81" s="107"/>
      <c r="P81" s="114" t="s">
        <v>2105</v>
      </c>
      <c r="Q81" s="107"/>
      <c r="R81" s="115" t="s">
        <v>1627</v>
      </c>
      <c r="S81" s="302" t="s">
        <v>1576</v>
      </c>
      <c r="T81" s="92" t="s">
        <v>1576</v>
      </c>
      <c r="U81" s="110"/>
      <c r="V81" s="94" t="s">
        <v>1627</v>
      </c>
      <c r="W81" s="107"/>
      <c r="X81" s="117">
        <v>7600258</v>
      </c>
      <c r="Y81" s="109" t="s">
        <v>1627</v>
      </c>
      <c r="Z81" s="98" t="s">
        <v>2107</v>
      </c>
      <c r="AA81" s="103" t="s">
        <v>1810</v>
      </c>
      <c r="AB81" s="218" t="s">
        <v>1622</v>
      </c>
      <c r="AC81" s="116"/>
      <c r="AH81" s="88" t="s">
        <v>1778</v>
      </c>
      <c r="AI81" s="88" t="s">
        <v>1779</v>
      </c>
    </row>
    <row r="82" spans="2:35" ht="17.45" customHeight="1">
      <c r="B82" s="96" t="e">
        <f t="shared" si="2"/>
        <v>#REF!</v>
      </c>
      <c r="C82" s="112">
        <v>37589</v>
      </c>
      <c r="D82" s="98" t="s">
        <v>1882</v>
      </c>
      <c r="E82" s="98">
        <v>7600332</v>
      </c>
      <c r="F82" s="113" t="s">
        <v>1881</v>
      </c>
      <c r="G82" s="100" t="s">
        <v>440</v>
      </c>
      <c r="H82" s="101" t="s">
        <v>1883</v>
      </c>
      <c r="I82" s="98" t="s">
        <v>1882</v>
      </c>
      <c r="J82" s="102">
        <v>2</v>
      </c>
      <c r="K82" s="103" t="s">
        <v>1784</v>
      </c>
      <c r="L82" s="124">
        <v>4</v>
      </c>
      <c r="M82" s="218" t="s">
        <v>1644</v>
      </c>
      <c r="N82" s="106" t="str">
        <f t="shared" si="3"/>
        <v>24</v>
      </c>
      <c r="O82" s="107"/>
      <c r="P82" s="114" t="s">
        <v>1882</v>
      </c>
      <c r="Q82" s="107"/>
      <c r="R82" s="115" t="s">
        <v>1633</v>
      </c>
      <c r="S82" s="302" t="s">
        <v>1630</v>
      </c>
      <c r="T82" s="92" t="s">
        <v>1630</v>
      </c>
      <c r="U82" s="110"/>
      <c r="V82" s="94" t="s">
        <v>1633</v>
      </c>
      <c r="W82" s="107"/>
      <c r="X82" s="117">
        <v>7600332</v>
      </c>
      <c r="Y82" s="109" t="s">
        <v>1633</v>
      </c>
      <c r="Z82" s="98" t="s">
        <v>1882</v>
      </c>
      <c r="AA82" s="103" t="s">
        <v>1784</v>
      </c>
      <c r="AB82" s="218" t="s">
        <v>1644</v>
      </c>
      <c r="AC82" s="127" t="s">
        <v>1632</v>
      </c>
      <c r="AD82" s="132"/>
      <c r="AE82" s="132"/>
      <c r="AF82" s="132"/>
      <c r="AG82" s="132"/>
      <c r="AH82" s="88" t="s">
        <v>1778</v>
      </c>
      <c r="AI82" s="88" t="s">
        <v>1779</v>
      </c>
    </row>
    <row r="83" spans="2:35" ht="17.45" customHeight="1">
      <c r="B83" s="96" t="e">
        <f t="shared" si="2"/>
        <v>#REF!</v>
      </c>
      <c r="C83" s="112">
        <v>41999</v>
      </c>
      <c r="D83" s="98" t="s">
        <v>1884</v>
      </c>
      <c r="E83" s="98">
        <v>7600845</v>
      </c>
      <c r="F83" s="113" t="s">
        <v>1881</v>
      </c>
      <c r="G83" s="100" t="s">
        <v>445</v>
      </c>
      <c r="H83" s="101" t="s">
        <v>1883</v>
      </c>
      <c r="I83" s="98" t="s">
        <v>1884</v>
      </c>
      <c r="J83" s="126">
        <v>2</v>
      </c>
      <c r="K83" s="124" t="s">
        <v>1784</v>
      </c>
      <c r="L83" s="124">
        <v>4</v>
      </c>
      <c r="M83" s="218" t="s">
        <v>1644</v>
      </c>
      <c r="N83" s="106" t="str">
        <f t="shared" si="3"/>
        <v>24</v>
      </c>
      <c r="O83" s="107"/>
      <c r="P83" s="114" t="s">
        <v>1882</v>
      </c>
      <c r="Q83" s="107"/>
      <c r="R83" s="115" t="s">
        <v>1633</v>
      </c>
      <c r="S83" s="302" t="s">
        <v>1630</v>
      </c>
      <c r="T83" s="92" t="s">
        <v>1630</v>
      </c>
      <c r="U83" s="110"/>
      <c r="V83" s="94" t="s">
        <v>1633</v>
      </c>
      <c r="W83" s="107"/>
      <c r="X83" s="117">
        <v>7600332</v>
      </c>
      <c r="Y83" s="109" t="s">
        <v>1633</v>
      </c>
      <c r="Z83" s="98" t="s">
        <v>1884</v>
      </c>
      <c r="AA83" s="124" t="s">
        <v>1784</v>
      </c>
      <c r="AB83" s="218" t="s">
        <v>1644</v>
      </c>
      <c r="AC83" s="127" t="s">
        <v>1627</v>
      </c>
      <c r="AH83" s="88" t="s">
        <v>1778</v>
      </c>
      <c r="AI83" s="88" t="s">
        <v>1779</v>
      </c>
    </row>
    <row r="84" spans="2:35" ht="17.45" customHeight="1">
      <c r="B84" s="96" t="e">
        <f t="shared" si="2"/>
        <v>#REF!</v>
      </c>
      <c r="C84" s="112">
        <v>36783</v>
      </c>
      <c r="D84" s="98" t="s">
        <v>2030</v>
      </c>
      <c r="E84" s="98">
        <v>7600187</v>
      </c>
      <c r="F84" s="113" t="s">
        <v>2027</v>
      </c>
      <c r="G84" s="100" t="s">
        <v>507</v>
      </c>
      <c r="H84" s="101" t="s">
        <v>2017</v>
      </c>
      <c r="I84" s="98" t="s">
        <v>2030</v>
      </c>
      <c r="J84" s="102">
        <v>2</v>
      </c>
      <c r="K84" s="103" t="s">
        <v>1784</v>
      </c>
      <c r="L84" s="124">
        <v>4</v>
      </c>
      <c r="M84" s="218" t="s">
        <v>1644</v>
      </c>
      <c r="N84" s="106" t="str">
        <f t="shared" si="3"/>
        <v>24</v>
      </c>
      <c r="O84" s="107"/>
      <c r="P84" s="114" t="s">
        <v>2028</v>
      </c>
      <c r="Q84" s="107"/>
      <c r="R84" s="115" t="s">
        <v>1629</v>
      </c>
      <c r="S84" s="302" t="s">
        <v>1630</v>
      </c>
      <c r="T84" s="92" t="s">
        <v>1630</v>
      </c>
      <c r="U84" s="110"/>
      <c r="V84" s="94" t="s">
        <v>1629</v>
      </c>
      <c r="W84" s="107"/>
      <c r="X84" s="117">
        <v>7600152</v>
      </c>
      <c r="Y84" s="109" t="s">
        <v>1629</v>
      </c>
      <c r="Z84" s="98" t="s">
        <v>2030</v>
      </c>
      <c r="AA84" s="103" t="s">
        <v>1784</v>
      </c>
      <c r="AB84" s="218" t="s">
        <v>1644</v>
      </c>
      <c r="AC84" s="116"/>
      <c r="AH84" s="88" t="s">
        <v>1778</v>
      </c>
      <c r="AI84" s="88" t="s">
        <v>1779</v>
      </c>
    </row>
    <row r="85" spans="2:35" ht="17.45" customHeight="1">
      <c r="B85" s="96" t="e">
        <f t="shared" si="2"/>
        <v>#REF!</v>
      </c>
      <c r="C85" s="112">
        <v>36648</v>
      </c>
      <c r="D85" s="98" t="s">
        <v>2028</v>
      </c>
      <c r="E85" s="98">
        <v>7600152</v>
      </c>
      <c r="F85" s="113" t="s">
        <v>2027</v>
      </c>
      <c r="G85" s="100" t="s">
        <v>514</v>
      </c>
      <c r="H85" s="101" t="s">
        <v>2017</v>
      </c>
      <c r="I85" s="98" t="s">
        <v>2028</v>
      </c>
      <c r="J85" s="102">
        <v>2</v>
      </c>
      <c r="K85" s="103" t="s">
        <v>1784</v>
      </c>
      <c r="L85" s="124">
        <v>4</v>
      </c>
      <c r="M85" s="218" t="s">
        <v>1644</v>
      </c>
      <c r="N85" s="106" t="str">
        <f t="shared" si="3"/>
        <v>24</v>
      </c>
      <c r="O85" s="107"/>
      <c r="P85" s="114" t="s">
        <v>2028</v>
      </c>
      <c r="Q85" s="107"/>
      <c r="R85" s="115" t="s">
        <v>1629</v>
      </c>
      <c r="S85" s="302" t="s">
        <v>1630</v>
      </c>
      <c r="T85" s="92" t="s">
        <v>1630</v>
      </c>
      <c r="U85" s="110"/>
      <c r="V85" s="94" t="s">
        <v>1629</v>
      </c>
      <c r="W85" s="107"/>
      <c r="X85" s="117">
        <v>7600152</v>
      </c>
      <c r="Y85" s="109" t="s">
        <v>1629</v>
      </c>
      <c r="Z85" s="98" t="s">
        <v>2028</v>
      </c>
      <c r="AA85" s="103" t="s">
        <v>1784</v>
      </c>
      <c r="AB85" s="218" t="s">
        <v>1644</v>
      </c>
      <c r="AC85" s="116"/>
      <c r="AH85" s="88" t="s">
        <v>1778</v>
      </c>
      <c r="AI85" s="88" t="s">
        <v>1779</v>
      </c>
    </row>
    <row r="86" spans="2:35" ht="17.45" customHeight="1">
      <c r="B86" s="96" t="e">
        <f t="shared" si="2"/>
        <v>#REF!</v>
      </c>
      <c r="C86" s="112">
        <v>40542</v>
      </c>
      <c r="D86" s="98" t="s">
        <v>2032</v>
      </c>
      <c r="E86" s="98">
        <v>7600566</v>
      </c>
      <c r="F86" s="113" t="s">
        <v>2027</v>
      </c>
      <c r="G86" s="100" t="s">
        <v>521</v>
      </c>
      <c r="H86" s="101" t="s">
        <v>2017</v>
      </c>
      <c r="I86" s="98" t="s">
        <v>2032</v>
      </c>
      <c r="J86" s="102">
        <v>2</v>
      </c>
      <c r="K86" s="103" t="s">
        <v>1784</v>
      </c>
      <c r="L86" s="124">
        <v>4</v>
      </c>
      <c r="M86" s="218" t="s">
        <v>1644</v>
      </c>
      <c r="N86" s="106" t="str">
        <f t="shared" si="3"/>
        <v>24</v>
      </c>
      <c r="O86" s="107"/>
      <c r="P86" s="114" t="s">
        <v>2028</v>
      </c>
      <c r="Q86" s="107"/>
      <c r="R86" s="115" t="s">
        <v>1629</v>
      </c>
      <c r="S86" s="302" t="s">
        <v>1630</v>
      </c>
      <c r="T86" s="92" t="s">
        <v>1630</v>
      </c>
      <c r="U86" s="110"/>
      <c r="V86" s="94" t="s">
        <v>1629</v>
      </c>
      <c r="W86" s="107"/>
      <c r="X86" s="117">
        <v>7600152</v>
      </c>
      <c r="Y86" s="109" t="s">
        <v>1629</v>
      </c>
      <c r="Z86" s="98" t="s">
        <v>2032</v>
      </c>
      <c r="AA86" s="103" t="s">
        <v>1784</v>
      </c>
      <c r="AB86" s="218" t="s">
        <v>1644</v>
      </c>
      <c r="AC86" s="116"/>
      <c r="AH86" s="88" t="s">
        <v>1778</v>
      </c>
      <c r="AI86" s="88" t="s">
        <v>1779</v>
      </c>
    </row>
    <row r="87" spans="2:35" ht="17.45" customHeight="1">
      <c r="B87" s="96" t="e">
        <f t="shared" si="2"/>
        <v>#REF!</v>
      </c>
      <c r="C87" s="112">
        <v>37961</v>
      </c>
      <c r="D87" s="98" t="s">
        <v>2031</v>
      </c>
      <c r="E87" s="98">
        <v>7600353</v>
      </c>
      <c r="F87" s="113" t="s">
        <v>2027</v>
      </c>
      <c r="G87" s="100" t="s">
        <v>526</v>
      </c>
      <c r="H87" s="101" t="s">
        <v>2017</v>
      </c>
      <c r="I87" s="98" t="s">
        <v>2031</v>
      </c>
      <c r="J87" s="102">
        <v>2</v>
      </c>
      <c r="K87" s="103" t="s">
        <v>1784</v>
      </c>
      <c r="L87" s="124">
        <v>4</v>
      </c>
      <c r="M87" s="218" t="s">
        <v>1644</v>
      </c>
      <c r="N87" s="106" t="str">
        <f t="shared" si="3"/>
        <v>24</v>
      </c>
      <c r="O87" s="107"/>
      <c r="P87" s="114" t="s">
        <v>2028</v>
      </c>
      <c r="Q87" s="107"/>
      <c r="R87" s="115" t="s">
        <v>1629</v>
      </c>
      <c r="S87" s="302" t="s">
        <v>1630</v>
      </c>
      <c r="T87" s="92" t="s">
        <v>1630</v>
      </c>
      <c r="U87" s="110"/>
      <c r="V87" s="94" t="s">
        <v>1629</v>
      </c>
      <c r="W87" s="107"/>
      <c r="X87" s="117">
        <v>7600152</v>
      </c>
      <c r="Y87" s="109" t="s">
        <v>1629</v>
      </c>
      <c r="Z87" s="98" t="s">
        <v>2031</v>
      </c>
      <c r="AA87" s="103" t="s">
        <v>1784</v>
      </c>
      <c r="AB87" s="218" t="s">
        <v>1644</v>
      </c>
      <c r="AC87" s="155"/>
      <c r="AH87" s="88" t="s">
        <v>1778</v>
      </c>
      <c r="AI87" s="88" t="s">
        <v>1779</v>
      </c>
    </row>
    <row r="88" spans="2:35" ht="17.45" customHeight="1">
      <c r="B88" s="96" t="e">
        <f t="shared" si="2"/>
        <v>#REF!</v>
      </c>
      <c r="C88" s="112">
        <v>40661</v>
      </c>
      <c r="D88" s="98" t="s">
        <v>2103</v>
      </c>
      <c r="E88" s="98">
        <v>7600954</v>
      </c>
      <c r="F88" s="113" t="s">
        <v>2100</v>
      </c>
      <c r="G88" s="100" t="s">
        <v>401</v>
      </c>
      <c r="H88" s="101" t="s">
        <v>2222</v>
      </c>
      <c r="I88" s="98" t="s">
        <v>2103</v>
      </c>
      <c r="J88" s="126">
        <v>2</v>
      </c>
      <c r="K88" s="124" t="s">
        <v>1784</v>
      </c>
      <c r="L88" s="124">
        <v>4</v>
      </c>
      <c r="M88" s="218" t="s">
        <v>1644</v>
      </c>
      <c r="N88" s="106" t="str">
        <f t="shared" si="3"/>
        <v>24</v>
      </c>
      <c r="O88" s="107"/>
      <c r="P88" s="114" t="s">
        <v>2102</v>
      </c>
      <c r="Q88" s="61"/>
      <c r="R88" s="115" t="s">
        <v>1632</v>
      </c>
      <c r="S88" s="302" t="s">
        <v>1630</v>
      </c>
      <c r="T88" s="92" t="s">
        <v>1630</v>
      </c>
      <c r="U88" s="110"/>
      <c r="V88" s="94" t="s">
        <v>1632</v>
      </c>
      <c r="W88" s="61"/>
      <c r="X88" s="117">
        <v>7600953</v>
      </c>
      <c r="Y88" s="109" t="s">
        <v>1632</v>
      </c>
      <c r="Z88" s="98" t="s">
        <v>2103</v>
      </c>
      <c r="AA88" s="124" t="s">
        <v>1784</v>
      </c>
      <c r="AB88" s="218" t="s">
        <v>1644</v>
      </c>
      <c r="AC88" s="155"/>
      <c r="AH88" s="88" t="s">
        <v>1778</v>
      </c>
      <c r="AI88" s="88" t="s">
        <v>1779</v>
      </c>
    </row>
    <row r="89" spans="2:35" ht="17.45" customHeight="1">
      <c r="B89" s="96" t="e">
        <f t="shared" si="2"/>
        <v>#REF!</v>
      </c>
      <c r="C89" s="112">
        <v>42751</v>
      </c>
      <c r="D89" s="98" t="s">
        <v>2102</v>
      </c>
      <c r="E89" s="98">
        <v>7600953</v>
      </c>
      <c r="F89" s="113" t="s">
        <v>2100</v>
      </c>
      <c r="G89" s="100" t="s">
        <v>407</v>
      </c>
      <c r="H89" s="101" t="s">
        <v>2222</v>
      </c>
      <c r="I89" s="98" t="s">
        <v>2102</v>
      </c>
      <c r="J89" s="126">
        <v>2</v>
      </c>
      <c r="K89" s="124" t="s">
        <v>1784</v>
      </c>
      <c r="L89" s="124">
        <v>4</v>
      </c>
      <c r="M89" s="218" t="s">
        <v>1644</v>
      </c>
      <c r="N89" s="106" t="str">
        <f t="shared" si="3"/>
        <v>24</v>
      </c>
      <c r="O89" s="107"/>
      <c r="P89" s="114" t="s">
        <v>2102</v>
      </c>
      <c r="Q89" s="61"/>
      <c r="R89" s="115" t="s">
        <v>1632</v>
      </c>
      <c r="S89" s="302" t="s">
        <v>1630</v>
      </c>
      <c r="T89" s="92" t="s">
        <v>1630</v>
      </c>
      <c r="U89" s="110"/>
      <c r="V89" s="94" t="s">
        <v>1632</v>
      </c>
      <c r="W89" s="61"/>
      <c r="X89" s="117">
        <v>7600953</v>
      </c>
      <c r="Y89" s="109" t="s">
        <v>1632</v>
      </c>
      <c r="Z89" s="98" t="s">
        <v>2102</v>
      </c>
      <c r="AA89" s="124" t="s">
        <v>1784</v>
      </c>
      <c r="AB89" s="218" t="s">
        <v>1644</v>
      </c>
      <c r="AC89" s="155"/>
      <c r="AH89" s="88" t="s">
        <v>1778</v>
      </c>
      <c r="AI89" s="88" t="s">
        <v>1779</v>
      </c>
    </row>
    <row r="90" spans="2:35" ht="17.45" customHeight="1">
      <c r="B90" s="96" t="e">
        <f t="shared" si="2"/>
        <v>#REF!</v>
      </c>
      <c r="C90" s="112">
        <v>44379</v>
      </c>
      <c r="D90" s="98" t="s">
        <v>1799</v>
      </c>
      <c r="E90" s="98">
        <v>7601165</v>
      </c>
      <c r="F90" s="113" t="s">
        <v>1793</v>
      </c>
      <c r="G90" s="100" t="s">
        <v>316</v>
      </c>
      <c r="H90" s="101" t="s">
        <v>1782</v>
      </c>
      <c r="I90" s="98" t="s">
        <v>1799</v>
      </c>
      <c r="J90" s="102">
        <v>2</v>
      </c>
      <c r="K90" s="103" t="s">
        <v>1784</v>
      </c>
      <c r="L90" s="124">
        <v>2</v>
      </c>
      <c r="M90" s="218" t="s">
        <v>1634</v>
      </c>
      <c r="N90" s="106" t="str">
        <f t="shared" si="3"/>
        <v>22</v>
      </c>
      <c r="O90" s="107"/>
      <c r="P90" s="114" t="s">
        <v>1794</v>
      </c>
      <c r="Q90" s="107"/>
      <c r="R90" s="115" t="s">
        <v>1635</v>
      </c>
      <c r="S90" s="302" t="s">
        <v>1578</v>
      </c>
      <c r="T90" s="92" t="s">
        <v>1580</v>
      </c>
      <c r="U90" s="110"/>
      <c r="V90" s="94" t="s">
        <v>1635</v>
      </c>
      <c r="W90" s="107"/>
      <c r="X90" s="117">
        <v>7601062</v>
      </c>
      <c r="Y90" s="109" t="s">
        <v>1635</v>
      </c>
      <c r="Z90" s="98" t="s">
        <v>1799</v>
      </c>
      <c r="AA90" s="103" t="s">
        <v>1784</v>
      </c>
      <c r="AB90" s="218" t="s">
        <v>1634</v>
      </c>
      <c r="AC90" s="110" t="s">
        <v>1659</v>
      </c>
      <c r="AH90" s="88" t="s">
        <v>1778</v>
      </c>
      <c r="AI90" s="88" t="s">
        <v>1779</v>
      </c>
    </row>
    <row r="91" spans="2:35" ht="17.45" customHeight="1">
      <c r="B91" s="96" t="e">
        <f t="shared" si="2"/>
        <v>#REF!</v>
      </c>
      <c r="C91" s="112">
        <v>43368</v>
      </c>
      <c r="D91" s="98" t="s">
        <v>1794</v>
      </c>
      <c r="E91" s="98">
        <v>7601062</v>
      </c>
      <c r="F91" s="113" t="s">
        <v>1793</v>
      </c>
      <c r="G91" s="100" t="s">
        <v>322</v>
      </c>
      <c r="H91" s="101" t="s">
        <v>1782</v>
      </c>
      <c r="I91" s="98" t="s">
        <v>1794</v>
      </c>
      <c r="J91" s="102">
        <v>2</v>
      </c>
      <c r="K91" s="103" t="s">
        <v>1784</v>
      </c>
      <c r="L91" s="124">
        <v>2</v>
      </c>
      <c r="M91" s="218" t="s">
        <v>1634</v>
      </c>
      <c r="N91" s="106" t="str">
        <f t="shared" si="3"/>
        <v>22</v>
      </c>
      <c r="O91" s="107"/>
      <c r="P91" s="114" t="s">
        <v>1794</v>
      </c>
      <c r="Q91" s="107"/>
      <c r="R91" s="115" t="s">
        <v>1635</v>
      </c>
      <c r="S91" s="302" t="s">
        <v>1578</v>
      </c>
      <c r="T91" s="92" t="s">
        <v>1580</v>
      </c>
      <c r="U91" s="110"/>
      <c r="V91" s="94" t="s">
        <v>1635</v>
      </c>
      <c r="W91" s="107"/>
      <c r="X91" s="117">
        <v>7601062</v>
      </c>
      <c r="Y91" s="109" t="s">
        <v>1635</v>
      </c>
      <c r="Z91" s="98" t="s">
        <v>1794</v>
      </c>
      <c r="AA91" s="103" t="s">
        <v>1784</v>
      </c>
      <c r="AB91" s="218" t="s">
        <v>1634</v>
      </c>
      <c r="AC91" s="110" t="s">
        <v>1641</v>
      </c>
      <c r="AH91" s="88" t="s">
        <v>1778</v>
      </c>
      <c r="AI91" s="88" t="s">
        <v>1779</v>
      </c>
    </row>
    <row r="92" spans="2:35" ht="17.45" customHeight="1">
      <c r="B92" s="96" t="e">
        <f t="shared" si="2"/>
        <v>#REF!</v>
      </c>
      <c r="C92" s="112">
        <v>38971</v>
      </c>
      <c r="D92" s="98" t="s">
        <v>2072</v>
      </c>
      <c r="E92" s="98">
        <v>7600449</v>
      </c>
      <c r="F92" s="113" t="s">
        <v>2068</v>
      </c>
      <c r="G92" s="100" t="s">
        <v>325</v>
      </c>
      <c r="H92" s="101" t="s">
        <v>2074</v>
      </c>
      <c r="I92" s="98" t="s">
        <v>2072</v>
      </c>
      <c r="J92" s="126">
        <v>2</v>
      </c>
      <c r="K92" s="124" t="s">
        <v>1784</v>
      </c>
      <c r="L92" s="124">
        <v>3</v>
      </c>
      <c r="M92" s="218" t="s">
        <v>1638</v>
      </c>
      <c r="N92" s="106" t="str">
        <f t="shared" si="3"/>
        <v>23</v>
      </c>
      <c r="O92" s="107"/>
      <c r="P92" s="114" t="s">
        <v>2070</v>
      </c>
      <c r="Q92" s="107"/>
      <c r="R92" s="115" t="s">
        <v>1636</v>
      </c>
      <c r="S92" s="302" t="s">
        <v>1578</v>
      </c>
      <c r="T92" s="92" t="s">
        <v>1577</v>
      </c>
      <c r="U92" s="110"/>
      <c r="V92" s="94" t="s">
        <v>1636</v>
      </c>
      <c r="W92" s="107"/>
      <c r="X92" s="117">
        <v>7600382</v>
      </c>
      <c r="Y92" s="109" t="s">
        <v>1636</v>
      </c>
      <c r="Z92" s="98" t="s">
        <v>2072</v>
      </c>
      <c r="AA92" s="124" t="s">
        <v>1784</v>
      </c>
      <c r="AB92" s="218" t="s">
        <v>1638</v>
      </c>
      <c r="AC92" s="155"/>
      <c r="AH92" s="88" t="s">
        <v>1778</v>
      </c>
      <c r="AI92" s="88" t="s">
        <v>1779</v>
      </c>
    </row>
    <row r="93" spans="2:35" ht="17.45" customHeight="1">
      <c r="B93" s="96" t="e">
        <f t="shared" si="2"/>
        <v>#REF!</v>
      </c>
      <c r="C93" s="112">
        <v>36875</v>
      </c>
      <c r="D93" s="98" t="s">
        <v>2080</v>
      </c>
      <c r="E93" s="98">
        <v>7601236</v>
      </c>
      <c r="F93" s="153" t="s">
        <v>2068</v>
      </c>
      <c r="G93" s="101" t="s">
        <v>331</v>
      </c>
      <c r="H93" s="154" t="s">
        <v>2074</v>
      </c>
      <c r="I93" s="98" t="s">
        <v>2080</v>
      </c>
      <c r="J93" s="126">
        <v>2</v>
      </c>
      <c r="K93" s="124" t="s">
        <v>1784</v>
      </c>
      <c r="L93" s="124">
        <v>3</v>
      </c>
      <c r="M93" s="218" t="s">
        <v>1638</v>
      </c>
      <c r="N93" s="106" t="str">
        <f t="shared" si="3"/>
        <v>23</v>
      </c>
      <c r="O93" s="107"/>
      <c r="P93" s="114" t="s">
        <v>2070</v>
      </c>
      <c r="Q93" s="107"/>
      <c r="R93" s="115" t="s">
        <v>1636</v>
      </c>
      <c r="S93" s="302" t="s">
        <v>1578</v>
      </c>
      <c r="T93" s="92" t="s">
        <v>1577</v>
      </c>
      <c r="U93" s="110"/>
      <c r="V93" s="94" t="s">
        <v>1636</v>
      </c>
      <c r="W93" s="107"/>
      <c r="X93" s="117">
        <v>7600382</v>
      </c>
      <c r="Y93" s="109" t="s">
        <v>1636</v>
      </c>
      <c r="Z93" s="98" t="s">
        <v>2080</v>
      </c>
      <c r="AA93" s="124" t="s">
        <v>1784</v>
      </c>
      <c r="AB93" s="218" t="s">
        <v>1638</v>
      </c>
      <c r="AC93" s="155"/>
      <c r="AH93" s="88" t="s">
        <v>1778</v>
      </c>
      <c r="AI93" s="88" t="s">
        <v>1779</v>
      </c>
    </row>
    <row r="94" spans="2:35" ht="17.45" customHeight="1">
      <c r="B94" s="96" t="e">
        <f t="shared" si="2"/>
        <v>#REF!</v>
      </c>
      <c r="C94" s="112">
        <v>36443</v>
      </c>
      <c r="D94" s="98" t="s">
        <v>2077</v>
      </c>
      <c r="E94" s="98">
        <v>7601235</v>
      </c>
      <c r="F94" s="153" t="s">
        <v>2068</v>
      </c>
      <c r="G94" s="101" t="s">
        <v>335</v>
      </c>
      <c r="H94" s="154" t="s">
        <v>2074</v>
      </c>
      <c r="I94" s="98" t="s">
        <v>2077</v>
      </c>
      <c r="J94" s="126">
        <v>2</v>
      </c>
      <c r="K94" s="124" t="s">
        <v>1784</v>
      </c>
      <c r="L94" s="124">
        <v>3</v>
      </c>
      <c r="M94" s="218" t="s">
        <v>1638</v>
      </c>
      <c r="N94" s="106" t="str">
        <f t="shared" si="3"/>
        <v>23</v>
      </c>
      <c r="O94" s="107"/>
      <c r="P94" s="114" t="s">
        <v>2070</v>
      </c>
      <c r="Q94" s="107"/>
      <c r="R94" s="115" t="s">
        <v>1636</v>
      </c>
      <c r="S94" s="302" t="s">
        <v>1578</v>
      </c>
      <c r="T94" s="92" t="s">
        <v>1577</v>
      </c>
      <c r="U94" s="110"/>
      <c r="V94" s="94" t="s">
        <v>1636</v>
      </c>
      <c r="W94" s="107"/>
      <c r="X94" s="117">
        <v>7600382</v>
      </c>
      <c r="Y94" s="109" t="s">
        <v>1636</v>
      </c>
      <c r="Z94" s="98" t="s">
        <v>2077</v>
      </c>
      <c r="AA94" s="124" t="s">
        <v>1784</v>
      </c>
      <c r="AB94" s="218" t="s">
        <v>1638</v>
      </c>
      <c r="AC94" s="155"/>
      <c r="AH94" s="88" t="s">
        <v>1778</v>
      </c>
      <c r="AI94" s="88" t="s">
        <v>1779</v>
      </c>
    </row>
    <row r="95" spans="2:35" ht="17.45" customHeight="1">
      <c r="B95" s="96" t="e">
        <f t="shared" si="2"/>
        <v>#REF!</v>
      </c>
      <c r="C95" s="112">
        <v>38818</v>
      </c>
      <c r="D95" s="98" t="s">
        <v>2076</v>
      </c>
      <c r="E95" s="98">
        <v>7601112</v>
      </c>
      <c r="F95" s="224" t="s">
        <v>2068</v>
      </c>
      <c r="G95" s="101" t="s">
        <v>339</v>
      </c>
      <c r="H95" s="154" t="s">
        <v>2074</v>
      </c>
      <c r="I95" s="98" t="s">
        <v>2076</v>
      </c>
      <c r="J95" s="126">
        <v>2</v>
      </c>
      <c r="K95" s="124" t="s">
        <v>1784</v>
      </c>
      <c r="L95" s="124">
        <v>3</v>
      </c>
      <c r="M95" s="218" t="s">
        <v>1638</v>
      </c>
      <c r="N95" s="106" t="str">
        <f t="shared" si="3"/>
        <v>23</v>
      </c>
      <c r="O95" s="107"/>
      <c r="P95" s="114" t="s">
        <v>2070</v>
      </c>
      <c r="Q95" s="107"/>
      <c r="R95" s="115" t="s">
        <v>1636</v>
      </c>
      <c r="S95" s="302" t="s">
        <v>1578</v>
      </c>
      <c r="T95" s="92" t="s">
        <v>1577</v>
      </c>
      <c r="U95" s="110"/>
      <c r="V95" s="94" t="s">
        <v>1636</v>
      </c>
      <c r="W95" s="107"/>
      <c r="X95" s="117">
        <v>7600382</v>
      </c>
      <c r="Y95" s="109" t="s">
        <v>1636</v>
      </c>
      <c r="Z95" s="98" t="s">
        <v>2076</v>
      </c>
      <c r="AA95" s="124" t="s">
        <v>1784</v>
      </c>
      <c r="AB95" s="218" t="s">
        <v>1638</v>
      </c>
      <c r="AC95" s="155"/>
      <c r="AH95" s="88" t="s">
        <v>1778</v>
      </c>
      <c r="AI95" s="88" t="s">
        <v>1779</v>
      </c>
    </row>
    <row r="96" spans="2:35" s="88" customFormat="1" ht="17.45" customHeight="1">
      <c r="B96" s="96" t="e">
        <f t="shared" si="2"/>
        <v>#REF!</v>
      </c>
      <c r="C96" s="112">
        <v>42720</v>
      </c>
      <c r="D96" s="98" t="s">
        <v>2073</v>
      </c>
      <c r="E96" s="98">
        <v>7600550</v>
      </c>
      <c r="F96" s="113" t="s">
        <v>2068</v>
      </c>
      <c r="G96" s="100" t="s">
        <v>342</v>
      </c>
      <c r="H96" s="101" t="s">
        <v>2074</v>
      </c>
      <c r="I96" s="98" t="s">
        <v>2073</v>
      </c>
      <c r="J96" s="102">
        <v>2</v>
      </c>
      <c r="K96" s="103" t="s">
        <v>1784</v>
      </c>
      <c r="L96" s="124">
        <v>3</v>
      </c>
      <c r="M96" s="218" t="s">
        <v>1638</v>
      </c>
      <c r="N96" s="106" t="str">
        <f t="shared" si="3"/>
        <v>23</v>
      </c>
      <c r="O96" s="107"/>
      <c r="P96" s="114" t="s">
        <v>2070</v>
      </c>
      <c r="Q96" s="107"/>
      <c r="R96" s="115" t="s">
        <v>1636</v>
      </c>
      <c r="S96" s="302" t="s">
        <v>1578</v>
      </c>
      <c r="T96" s="92" t="s">
        <v>1577</v>
      </c>
      <c r="U96" s="110"/>
      <c r="V96" s="94" t="s">
        <v>1636</v>
      </c>
      <c r="W96" s="107"/>
      <c r="X96" s="117">
        <v>7600382</v>
      </c>
      <c r="Y96" s="109" t="s">
        <v>1636</v>
      </c>
      <c r="Z96" s="98" t="s">
        <v>2073</v>
      </c>
      <c r="AA96" s="103" t="s">
        <v>1784</v>
      </c>
      <c r="AB96" s="218" t="s">
        <v>1638</v>
      </c>
      <c r="AC96" s="155"/>
      <c r="AD96" s="129"/>
      <c r="AE96" s="74"/>
      <c r="AF96" s="74"/>
      <c r="AG96" s="74"/>
      <c r="AH96" s="88" t="s">
        <v>1778</v>
      </c>
      <c r="AI96" s="88" t="s">
        <v>1779</v>
      </c>
    </row>
    <row r="97" spans="2:35" ht="17.45" customHeight="1">
      <c r="B97" s="96" t="e">
        <f t="shared" si="2"/>
        <v>#REF!</v>
      </c>
      <c r="C97" s="112">
        <v>40889</v>
      </c>
      <c r="D97" s="98" t="s">
        <v>2075</v>
      </c>
      <c r="E97" s="98">
        <v>7600610</v>
      </c>
      <c r="F97" s="113" t="s">
        <v>2068</v>
      </c>
      <c r="G97" s="100" t="s">
        <v>345</v>
      </c>
      <c r="H97" s="101" t="s">
        <v>2074</v>
      </c>
      <c r="I97" s="98" t="s">
        <v>2075</v>
      </c>
      <c r="J97" s="102">
        <v>2</v>
      </c>
      <c r="K97" s="103" t="s">
        <v>1784</v>
      </c>
      <c r="L97" s="124">
        <v>3</v>
      </c>
      <c r="M97" s="218" t="s">
        <v>1638</v>
      </c>
      <c r="N97" s="106" t="str">
        <f t="shared" si="3"/>
        <v>23</v>
      </c>
      <c r="O97" s="107"/>
      <c r="P97" s="114" t="s">
        <v>2070</v>
      </c>
      <c r="Q97" s="107"/>
      <c r="R97" s="115" t="s">
        <v>1636</v>
      </c>
      <c r="S97" s="302" t="s">
        <v>1578</v>
      </c>
      <c r="T97" s="92" t="s">
        <v>1577</v>
      </c>
      <c r="U97" s="110"/>
      <c r="V97" s="94" t="s">
        <v>1636</v>
      </c>
      <c r="W97" s="107"/>
      <c r="X97" s="117">
        <v>7600382</v>
      </c>
      <c r="Y97" s="109" t="s">
        <v>1636</v>
      </c>
      <c r="Z97" s="98" t="s">
        <v>2075</v>
      </c>
      <c r="AA97" s="103" t="s">
        <v>1784</v>
      </c>
      <c r="AB97" s="218" t="s">
        <v>1638</v>
      </c>
      <c r="AC97" s="155"/>
      <c r="AD97" s="88"/>
      <c r="AE97" s="88"/>
      <c r="AF97" s="88"/>
      <c r="AG97" s="88"/>
      <c r="AH97" s="88" t="s">
        <v>1778</v>
      </c>
      <c r="AI97" s="88" t="s">
        <v>1779</v>
      </c>
    </row>
    <row r="98" spans="2:35" ht="17.45" customHeight="1">
      <c r="B98" s="96" t="e">
        <f t="shared" si="2"/>
        <v>#REF!</v>
      </c>
      <c r="C98" s="112">
        <v>38786</v>
      </c>
      <c r="D98" s="98" t="s">
        <v>2070</v>
      </c>
      <c r="E98" s="98">
        <v>7600382</v>
      </c>
      <c r="F98" s="113" t="s">
        <v>2068</v>
      </c>
      <c r="G98" s="100" t="s">
        <v>348</v>
      </c>
      <c r="H98" s="101" t="s">
        <v>2074</v>
      </c>
      <c r="I98" s="98" t="s">
        <v>2070</v>
      </c>
      <c r="J98" s="126">
        <v>2</v>
      </c>
      <c r="K98" s="124" t="s">
        <v>1784</v>
      </c>
      <c r="L98" s="124">
        <v>3</v>
      </c>
      <c r="M98" s="218" t="s">
        <v>1638</v>
      </c>
      <c r="N98" s="106" t="str">
        <f t="shared" si="3"/>
        <v>23</v>
      </c>
      <c r="O98" s="107"/>
      <c r="P98" s="114" t="s">
        <v>2070</v>
      </c>
      <c r="Q98" s="107"/>
      <c r="R98" s="115" t="s">
        <v>1636</v>
      </c>
      <c r="S98" s="302" t="s">
        <v>1578</v>
      </c>
      <c r="T98" s="92" t="s">
        <v>1577</v>
      </c>
      <c r="U98" s="110"/>
      <c r="V98" s="94" t="s">
        <v>1636</v>
      </c>
      <c r="W98" s="107"/>
      <c r="X98" s="117">
        <v>7600382</v>
      </c>
      <c r="Y98" s="109" t="s">
        <v>1636</v>
      </c>
      <c r="Z98" s="98" t="s">
        <v>2070</v>
      </c>
      <c r="AA98" s="124" t="s">
        <v>1784</v>
      </c>
      <c r="AB98" s="218" t="s">
        <v>1638</v>
      </c>
      <c r="AC98" s="155"/>
      <c r="AH98" s="88" t="s">
        <v>1778</v>
      </c>
      <c r="AI98" s="88" t="s">
        <v>1779</v>
      </c>
    </row>
    <row r="99" spans="2:35" ht="17.45" customHeight="1">
      <c r="B99" s="96" t="e">
        <f t="shared" si="2"/>
        <v>#REF!</v>
      </c>
      <c r="C99" s="112">
        <v>38881</v>
      </c>
      <c r="D99" s="98" t="s">
        <v>2255</v>
      </c>
      <c r="E99" s="98">
        <v>7600446</v>
      </c>
      <c r="F99" s="113" t="s">
        <v>2253</v>
      </c>
      <c r="G99" s="100" t="s">
        <v>352</v>
      </c>
      <c r="H99" s="101" t="s">
        <v>2256</v>
      </c>
      <c r="I99" s="98" t="s">
        <v>2255</v>
      </c>
      <c r="J99" s="126">
        <v>2</v>
      </c>
      <c r="K99" s="124" t="s">
        <v>1784</v>
      </c>
      <c r="L99" s="124">
        <v>3</v>
      </c>
      <c r="M99" s="218" t="s">
        <v>1638</v>
      </c>
      <c r="N99" s="106" t="str">
        <f t="shared" si="3"/>
        <v>23</v>
      </c>
      <c r="O99" s="107"/>
      <c r="P99" s="114" t="s">
        <v>2254</v>
      </c>
      <c r="Q99" s="107"/>
      <c r="R99" s="115" t="s">
        <v>1637</v>
      </c>
      <c r="S99" s="302" t="s">
        <v>1578</v>
      </c>
      <c r="T99" s="92" t="s">
        <v>1577</v>
      </c>
      <c r="U99" s="110"/>
      <c r="V99" s="94" t="s">
        <v>1637</v>
      </c>
      <c r="W99" s="107"/>
      <c r="X99" s="117">
        <v>7600440</v>
      </c>
      <c r="Y99" s="109" t="s">
        <v>1637</v>
      </c>
      <c r="Z99" s="98" t="s">
        <v>2255</v>
      </c>
      <c r="AA99" s="124" t="s">
        <v>1784</v>
      </c>
      <c r="AB99" s="218" t="s">
        <v>1638</v>
      </c>
      <c r="AC99" s="155"/>
      <c r="AH99" s="88" t="s">
        <v>1778</v>
      </c>
      <c r="AI99" s="88" t="s">
        <v>1779</v>
      </c>
    </row>
    <row r="100" spans="2:35" ht="17.45" customHeight="1">
      <c r="B100" s="96" t="e">
        <f t="shared" si="2"/>
        <v>#REF!</v>
      </c>
      <c r="C100" s="112">
        <v>41272</v>
      </c>
      <c r="D100" s="98" t="s">
        <v>2258</v>
      </c>
      <c r="E100" s="98">
        <v>7600691</v>
      </c>
      <c r="F100" s="113" t="s">
        <v>2253</v>
      </c>
      <c r="G100" s="100" t="s">
        <v>359</v>
      </c>
      <c r="H100" s="101" t="s">
        <v>2256</v>
      </c>
      <c r="I100" s="98" t="s">
        <v>2258</v>
      </c>
      <c r="J100" s="126">
        <v>2</v>
      </c>
      <c r="K100" s="124" t="s">
        <v>1784</v>
      </c>
      <c r="L100" s="124">
        <v>3</v>
      </c>
      <c r="M100" s="218" t="s">
        <v>1638</v>
      </c>
      <c r="N100" s="106" t="str">
        <f t="shared" si="3"/>
        <v>23</v>
      </c>
      <c r="O100" s="107"/>
      <c r="P100" s="114" t="s">
        <v>2254</v>
      </c>
      <c r="Q100" s="107"/>
      <c r="R100" s="115" t="s">
        <v>1637</v>
      </c>
      <c r="S100" s="302" t="s">
        <v>1578</v>
      </c>
      <c r="T100" s="92" t="s">
        <v>1577</v>
      </c>
      <c r="U100" s="110"/>
      <c r="V100" s="94" t="s">
        <v>1637</v>
      </c>
      <c r="W100" s="107"/>
      <c r="X100" s="117">
        <v>7600440</v>
      </c>
      <c r="Y100" s="109" t="s">
        <v>1637</v>
      </c>
      <c r="Z100" s="98" t="s">
        <v>2258</v>
      </c>
      <c r="AA100" s="124" t="s">
        <v>1784</v>
      </c>
      <c r="AB100" s="218" t="s">
        <v>1638</v>
      </c>
      <c r="AC100" s="155"/>
      <c r="AH100" s="88" t="s">
        <v>1778</v>
      </c>
      <c r="AI100" s="88" t="s">
        <v>1779</v>
      </c>
    </row>
    <row r="101" spans="2:35" ht="17.45" customHeight="1">
      <c r="B101" s="96" t="e">
        <f t="shared" si="2"/>
        <v>#REF!</v>
      </c>
      <c r="C101" s="112">
        <v>38792</v>
      </c>
      <c r="D101" s="98" t="s">
        <v>2254</v>
      </c>
      <c r="E101" s="98">
        <v>7600440</v>
      </c>
      <c r="F101" s="113" t="s">
        <v>2253</v>
      </c>
      <c r="G101" s="100" t="s">
        <v>363</v>
      </c>
      <c r="H101" s="101" t="s">
        <v>2256</v>
      </c>
      <c r="I101" s="98" t="s">
        <v>2254</v>
      </c>
      <c r="J101" s="126">
        <v>2</v>
      </c>
      <c r="K101" s="124" t="s">
        <v>1784</v>
      </c>
      <c r="L101" s="124">
        <v>3</v>
      </c>
      <c r="M101" s="218" t="s">
        <v>1638</v>
      </c>
      <c r="N101" s="106" t="str">
        <f t="shared" si="3"/>
        <v>23</v>
      </c>
      <c r="O101" s="107"/>
      <c r="P101" s="114" t="s">
        <v>2254</v>
      </c>
      <c r="Q101" s="107"/>
      <c r="R101" s="115" t="s">
        <v>1637</v>
      </c>
      <c r="S101" s="302" t="s">
        <v>1578</v>
      </c>
      <c r="T101" s="92" t="s">
        <v>1577</v>
      </c>
      <c r="U101" s="110"/>
      <c r="V101" s="94" t="s">
        <v>1637</v>
      </c>
      <c r="W101" s="107"/>
      <c r="X101" s="117">
        <v>7600440</v>
      </c>
      <c r="Y101" s="109" t="s">
        <v>1637</v>
      </c>
      <c r="Z101" s="98" t="s">
        <v>2254</v>
      </c>
      <c r="AA101" s="124" t="s">
        <v>1784</v>
      </c>
      <c r="AB101" s="218" t="s">
        <v>1638</v>
      </c>
      <c r="AC101" s="155"/>
      <c r="AH101" s="88" t="s">
        <v>1778</v>
      </c>
      <c r="AI101" s="88" t="s">
        <v>1779</v>
      </c>
    </row>
    <row r="102" spans="2:35" ht="17.45" customHeight="1">
      <c r="B102" s="96" t="e">
        <f t="shared" si="2"/>
        <v>#REF!</v>
      </c>
      <c r="C102" s="112">
        <v>40827</v>
      </c>
      <c r="D102" s="98" t="s">
        <v>2257</v>
      </c>
      <c r="E102" s="98">
        <v>7600598</v>
      </c>
      <c r="F102" s="113" t="s">
        <v>2253</v>
      </c>
      <c r="G102" s="100" t="s">
        <v>367</v>
      </c>
      <c r="H102" s="101" t="s">
        <v>2256</v>
      </c>
      <c r="I102" s="98" t="s">
        <v>2257</v>
      </c>
      <c r="J102" s="126">
        <v>2</v>
      </c>
      <c r="K102" s="124" t="s">
        <v>1784</v>
      </c>
      <c r="L102" s="124">
        <v>3</v>
      </c>
      <c r="M102" s="218" t="s">
        <v>1638</v>
      </c>
      <c r="N102" s="106" t="str">
        <f t="shared" si="3"/>
        <v>23</v>
      </c>
      <c r="O102" s="107"/>
      <c r="P102" s="114" t="s">
        <v>2254</v>
      </c>
      <c r="Q102" s="107"/>
      <c r="R102" s="115" t="s">
        <v>1637</v>
      </c>
      <c r="S102" s="302" t="s">
        <v>1578</v>
      </c>
      <c r="T102" s="92" t="s">
        <v>1577</v>
      </c>
      <c r="U102" s="110"/>
      <c r="V102" s="94" t="s">
        <v>1637</v>
      </c>
      <c r="W102" s="107"/>
      <c r="X102" s="117">
        <v>7600440</v>
      </c>
      <c r="Y102" s="109" t="s">
        <v>1637</v>
      </c>
      <c r="Z102" s="98" t="s">
        <v>2257</v>
      </c>
      <c r="AA102" s="124" t="s">
        <v>1784</v>
      </c>
      <c r="AB102" s="218" t="s">
        <v>1638</v>
      </c>
      <c r="AC102" s="155"/>
      <c r="AH102" s="88" t="s">
        <v>1778</v>
      </c>
      <c r="AI102" s="88" t="s">
        <v>1779</v>
      </c>
    </row>
    <row r="103" spans="2:35" ht="17.45" customHeight="1">
      <c r="B103" s="96" t="e">
        <f>#REF!+1</f>
        <v>#REF!</v>
      </c>
      <c r="C103" s="112">
        <v>40046</v>
      </c>
      <c r="D103" s="98" t="s">
        <v>1832</v>
      </c>
      <c r="E103" s="98">
        <v>7600824</v>
      </c>
      <c r="F103" s="113" t="s">
        <v>1831</v>
      </c>
      <c r="G103" s="100" t="s">
        <v>475</v>
      </c>
      <c r="H103" s="101" t="s">
        <v>1843</v>
      </c>
      <c r="I103" s="98" t="s">
        <v>1832</v>
      </c>
      <c r="J103" s="126">
        <v>2</v>
      </c>
      <c r="K103" s="124" t="s">
        <v>1784</v>
      </c>
      <c r="L103" s="124">
        <v>5</v>
      </c>
      <c r="M103" s="218" t="s">
        <v>1648</v>
      </c>
      <c r="N103" s="106" t="str">
        <f t="shared" si="3"/>
        <v>25</v>
      </c>
      <c r="O103" s="107"/>
      <c r="P103" s="114" t="s">
        <v>1832</v>
      </c>
      <c r="Q103" s="107"/>
      <c r="R103" s="115" t="s">
        <v>1641</v>
      </c>
      <c r="S103" s="302" t="s">
        <v>1579</v>
      </c>
      <c r="T103" s="92" t="s">
        <v>1577</v>
      </c>
      <c r="U103" s="110"/>
      <c r="V103" s="94" t="s">
        <v>1641</v>
      </c>
      <c r="W103" s="107"/>
      <c r="X103" s="117">
        <v>7600824</v>
      </c>
      <c r="Y103" s="109" t="s">
        <v>1641</v>
      </c>
      <c r="Z103" s="98" t="s">
        <v>1832</v>
      </c>
      <c r="AA103" s="124" t="s">
        <v>1784</v>
      </c>
      <c r="AB103" s="218" t="s">
        <v>1648</v>
      </c>
      <c r="AC103" s="110" t="s">
        <v>1653</v>
      </c>
      <c r="AH103" s="88" t="s">
        <v>1778</v>
      </c>
      <c r="AI103" s="88" t="s">
        <v>1779</v>
      </c>
    </row>
    <row r="104" spans="2:35" ht="17.45" customHeight="1">
      <c r="B104" s="96" t="e">
        <f t="shared" si="2"/>
        <v>#REF!</v>
      </c>
      <c r="C104" s="112">
        <v>40803</v>
      </c>
      <c r="D104" s="98" t="s">
        <v>1936</v>
      </c>
      <c r="E104" s="98">
        <v>7600604</v>
      </c>
      <c r="F104" s="113" t="s">
        <v>1934</v>
      </c>
      <c r="G104" s="100" t="s">
        <v>530</v>
      </c>
      <c r="H104" s="101" t="s">
        <v>1941</v>
      </c>
      <c r="I104" s="98" t="s">
        <v>1936</v>
      </c>
      <c r="J104" s="102">
        <v>2</v>
      </c>
      <c r="K104" s="103" t="s">
        <v>1784</v>
      </c>
      <c r="L104" s="124">
        <v>1</v>
      </c>
      <c r="M104" s="218" t="s">
        <v>1628</v>
      </c>
      <c r="N104" s="106" t="str">
        <f t="shared" si="3"/>
        <v>21</v>
      </c>
      <c r="O104" s="107"/>
      <c r="P104" s="114" t="s">
        <v>1935</v>
      </c>
      <c r="Q104" s="107"/>
      <c r="R104" s="115" t="s">
        <v>1639</v>
      </c>
      <c r="S104" s="302" t="s">
        <v>1579</v>
      </c>
      <c r="T104" s="92" t="s">
        <v>1582</v>
      </c>
      <c r="U104" s="110"/>
      <c r="V104" s="94" t="s">
        <v>1639</v>
      </c>
      <c r="W104" s="107"/>
      <c r="X104" s="117">
        <v>7600108</v>
      </c>
      <c r="Y104" s="109" t="s">
        <v>1639</v>
      </c>
      <c r="Z104" s="98" t="s">
        <v>1936</v>
      </c>
      <c r="AA104" s="103" t="s">
        <v>1784</v>
      </c>
      <c r="AB104" s="218" t="s">
        <v>1628</v>
      </c>
      <c r="AC104" s="110" t="s">
        <v>1647</v>
      </c>
      <c r="AH104" s="88" t="s">
        <v>1778</v>
      </c>
      <c r="AI104" s="88" t="s">
        <v>1779</v>
      </c>
    </row>
    <row r="105" spans="2:35" ht="17.45" customHeight="1">
      <c r="B105" s="96" t="e">
        <f t="shared" si="2"/>
        <v>#REF!</v>
      </c>
      <c r="C105" s="112">
        <v>36336</v>
      </c>
      <c r="D105" s="98" t="s">
        <v>1935</v>
      </c>
      <c r="E105" s="98">
        <v>7600108</v>
      </c>
      <c r="F105" s="113" t="s">
        <v>1934</v>
      </c>
      <c r="G105" s="100" t="s">
        <v>535</v>
      </c>
      <c r="H105" s="101" t="s">
        <v>1941</v>
      </c>
      <c r="I105" s="98" t="s">
        <v>1935</v>
      </c>
      <c r="J105" s="102">
        <v>2</v>
      </c>
      <c r="K105" s="103" t="s">
        <v>1784</v>
      </c>
      <c r="L105" s="124">
        <v>1</v>
      </c>
      <c r="M105" s="218" t="s">
        <v>1628</v>
      </c>
      <c r="N105" s="106" t="str">
        <f t="shared" si="3"/>
        <v>21</v>
      </c>
      <c r="O105" s="107"/>
      <c r="P105" s="114" t="s">
        <v>1935</v>
      </c>
      <c r="Q105" s="107"/>
      <c r="R105" s="115" t="s">
        <v>1639</v>
      </c>
      <c r="S105" s="302" t="s">
        <v>1579</v>
      </c>
      <c r="T105" s="92" t="s">
        <v>1582</v>
      </c>
      <c r="U105" s="110"/>
      <c r="V105" s="94" t="s">
        <v>1639</v>
      </c>
      <c r="W105" s="107"/>
      <c r="X105" s="117">
        <v>7600108</v>
      </c>
      <c r="Y105" s="109" t="s">
        <v>1639</v>
      </c>
      <c r="Z105" s="98" t="s">
        <v>1935</v>
      </c>
      <c r="AA105" s="103" t="s">
        <v>1784</v>
      </c>
      <c r="AB105" s="218" t="s">
        <v>1628</v>
      </c>
      <c r="AC105" s="110" t="s">
        <v>1645</v>
      </c>
      <c r="AH105" s="88" t="s">
        <v>1778</v>
      </c>
      <c r="AI105" s="88" t="s">
        <v>1779</v>
      </c>
    </row>
    <row r="106" spans="2:35" ht="17.45" customHeight="1">
      <c r="B106" s="96" t="e">
        <f t="shared" si="2"/>
        <v>#REF!</v>
      </c>
      <c r="C106" s="112">
        <v>45077</v>
      </c>
      <c r="D106" s="98" t="s">
        <v>2214</v>
      </c>
      <c r="E106" s="98">
        <v>7601219</v>
      </c>
      <c r="F106" s="113" t="s">
        <v>2211</v>
      </c>
      <c r="G106" s="101" t="s">
        <v>2213</v>
      </c>
      <c r="H106" s="101" t="s">
        <v>2209</v>
      </c>
      <c r="I106" s="98" t="s">
        <v>2214</v>
      </c>
      <c r="J106" s="126">
        <v>2</v>
      </c>
      <c r="K106" s="124" t="s">
        <v>1784</v>
      </c>
      <c r="L106" s="124">
        <v>5</v>
      </c>
      <c r="M106" s="218" t="s">
        <v>1648</v>
      </c>
      <c r="N106" s="106" t="str">
        <f t="shared" si="3"/>
        <v>25</v>
      </c>
      <c r="O106" s="107"/>
      <c r="P106" s="114" t="s">
        <v>2212</v>
      </c>
      <c r="Q106" s="107"/>
      <c r="R106" s="115" t="s">
        <v>1643</v>
      </c>
      <c r="S106" s="302" t="s">
        <v>1579</v>
      </c>
      <c r="T106" s="92" t="s">
        <v>1577</v>
      </c>
      <c r="U106" s="110"/>
      <c r="V106" s="94" t="s">
        <v>1643</v>
      </c>
      <c r="W106" s="107"/>
      <c r="X106" s="117">
        <v>7600932</v>
      </c>
      <c r="Y106" s="109" t="s">
        <v>1643</v>
      </c>
      <c r="Z106" s="98" t="s">
        <v>2214</v>
      </c>
      <c r="AA106" s="124" t="s">
        <v>1784</v>
      </c>
      <c r="AB106" s="218" t="s">
        <v>1648</v>
      </c>
      <c r="AC106" s="155"/>
      <c r="AH106" s="88" t="s">
        <v>1778</v>
      </c>
      <c r="AI106" s="88" t="s">
        <v>1779</v>
      </c>
    </row>
    <row r="107" spans="2:35" ht="17.45" customHeight="1">
      <c r="B107" s="96" t="e">
        <f t="shared" si="2"/>
        <v>#REF!</v>
      </c>
      <c r="C107" s="112">
        <v>44356</v>
      </c>
      <c r="D107" s="98" t="s">
        <v>2216</v>
      </c>
      <c r="E107" s="98">
        <v>7601151</v>
      </c>
      <c r="F107" s="113" t="s">
        <v>2211</v>
      </c>
      <c r="G107" s="100" t="s">
        <v>487</v>
      </c>
      <c r="H107" s="101" t="s">
        <v>2209</v>
      </c>
      <c r="I107" s="98" t="s">
        <v>2216</v>
      </c>
      <c r="J107" s="126">
        <v>2</v>
      </c>
      <c r="K107" s="124" t="s">
        <v>1784</v>
      </c>
      <c r="L107" s="124">
        <v>5</v>
      </c>
      <c r="M107" s="218" t="s">
        <v>1648</v>
      </c>
      <c r="N107" s="106" t="str">
        <f t="shared" si="3"/>
        <v>25</v>
      </c>
      <c r="O107" s="107"/>
      <c r="P107" s="114" t="s">
        <v>2212</v>
      </c>
      <c r="Q107" s="107"/>
      <c r="R107" s="115" t="s">
        <v>1643</v>
      </c>
      <c r="S107" s="302" t="s">
        <v>1579</v>
      </c>
      <c r="T107" s="92" t="s">
        <v>1577</v>
      </c>
      <c r="U107" s="110"/>
      <c r="V107" s="94" t="s">
        <v>1643</v>
      </c>
      <c r="W107" s="107"/>
      <c r="X107" s="117">
        <v>7600932</v>
      </c>
      <c r="Y107" s="109" t="s">
        <v>1643</v>
      </c>
      <c r="Z107" s="98" t="s">
        <v>2216</v>
      </c>
      <c r="AA107" s="124" t="s">
        <v>1784</v>
      </c>
      <c r="AB107" s="218" t="s">
        <v>1648</v>
      </c>
      <c r="AC107" s="155"/>
      <c r="AH107" s="88" t="s">
        <v>1778</v>
      </c>
      <c r="AI107" s="88" t="s">
        <v>1779</v>
      </c>
    </row>
    <row r="108" spans="2:35" ht="17.45" customHeight="1">
      <c r="B108" s="96" t="e">
        <f t="shared" si="2"/>
        <v>#REF!</v>
      </c>
      <c r="C108" s="112">
        <v>42887</v>
      </c>
      <c r="D108" s="98" t="s">
        <v>2212</v>
      </c>
      <c r="E108" s="98">
        <v>7600932</v>
      </c>
      <c r="F108" s="113" t="s">
        <v>2211</v>
      </c>
      <c r="G108" s="100" t="s">
        <v>494</v>
      </c>
      <c r="H108" s="101" t="s">
        <v>2209</v>
      </c>
      <c r="I108" s="98" t="s">
        <v>2212</v>
      </c>
      <c r="J108" s="126">
        <v>2</v>
      </c>
      <c r="K108" s="124" t="s">
        <v>1784</v>
      </c>
      <c r="L108" s="124">
        <v>5</v>
      </c>
      <c r="M108" s="218" t="s">
        <v>1648</v>
      </c>
      <c r="N108" s="106" t="str">
        <f t="shared" si="3"/>
        <v>25</v>
      </c>
      <c r="O108" s="107"/>
      <c r="P108" s="114" t="s">
        <v>2212</v>
      </c>
      <c r="Q108" s="107"/>
      <c r="R108" s="115" t="s">
        <v>1643</v>
      </c>
      <c r="S108" s="302" t="s">
        <v>1579</v>
      </c>
      <c r="T108" s="92" t="s">
        <v>1577</v>
      </c>
      <c r="U108" s="110"/>
      <c r="V108" s="94" t="s">
        <v>1643</v>
      </c>
      <c r="W108" s="107"/>
      <c r="X108" s="117">
        <v>7600932</v>
      </c>
      <c r="Y108" s="109" t="s">
        <v>1643</v>
      </c>
      <c r="Z108" s="98" t="s">
        <v>2212</v>
      </c>
      <c r="AA108" s="124" t="s">
        <v>1784</v>
      </c>
      <c r="AB108" s="218" t="s">
        <v>1648</v>
      </c>
      <c r="AC108" s="155"/>
      <c r="AH108" s="88" t="s">
        <v>1778</v>
      </c>
      <c r="AI108" s="88" t="s">
        <v>1779</v>
      </c>
    </row>
    <row r="109" spans="2:35" ht="17.45" customHeight="1">
      <c r="B109" s="96" t="e">
        <f t="shared" si="2"/>
        <v>#REF!</v>
      </c>
      <c r="C109" s="112">
        <v>43787</v>
      </c>
      <c r="D109" s="98" t="s">
        <v>2242</v>
      </c>
      <c r="E109" s="98">
        <v>7601087</v>
      </c>
      <c r="F109" s="153" t="s">
        <v>2241</v>
      </c>
      <c r="G109" s="101" t="s">
        <v>538</v>
      </c>
      <c r="H109" s="154" t="s">
        <v>2069</v>
      </c>
      <c r="I109" s="98" t="s">
        <v>2242</v>
      </c>
      <c r="J109" s="126">
        <v>2</v>
      </c>
      <c r="K109" s="124" t="s">
        <v>1784</v>
      </c>
      <c r="L109" s="124">
        <v>5</v>
      </c>
      <c r="M109" s="218" t="s">
        <v>1648</v>
      </c>
      <c r="N109" s="106" t="str">
        <f t="shared" si="3"/>
        <v>25</v>
      </c>
      <c r="O109" s="107"/>
      <c r="P109" s="117" t="s">
        <v>2242</v>
      </c>
      <c r="Q109" s="107"/>
      <c r="R109" s="115" t="s">
        <v>1647</v>
      </c>
      <c r="S109" s="302" t="s">
        <v>1580</v>
      </c>
      <c r="T109" s="92" t="s">
        <v>1577</v>
      </c>
      <c r="U109" s="110"/>
      <c r="V109" s="94" t="s">
        <v>1647</v>
      </c>
      <c r="W109" s="163"/>
      <c r="X109" s="117">
        <v>7601087</v>
      </c>
      <c r="Y109" s="109" t="s">
        <v>1647</v>
      </c>
      <c r="Z109" s="98" t="s">
        <v>2242</v>
      </c>
      <c r="AA109" s="124" t="s">
        <v>1784</v>
      </c>
      <c r="AB109" s="218" t="s">
        <v>1648</v>
      </c>
      <c r="AC109" s="155"/>
      <c r="AH109" s="88" t="s">
        <v>1778</v>
      </c>
      <c r="AI109" s="88" t="s">
        <v>1779</v>
      </c>
    </row>
    <row r="110" spans="2:35" ht="17.45" customHeight="1">
      <c r="B110" s="96" t="e">
        <f t="shared" si="2"/>
        <v>#REF!</v>
      </c>
      <c r="C110" s="112">
        <v>44197</v>
      </c>
      <c r="D110" s="98" t="s">
        <v>2240</v>
      </c>
      <c r="E110" s="98">
        <v>7601141</v>
      </c>
      <c r="F110" s="113" t="s">
        <v>2238</v>
      </c>
      <c r="G110" s="100" t="s">
        <v>549</v>
      </c>
      <c r="H110" s="101" t="s">
        <v>2231</v>
      </c>
      <c r="I110" s="98" t="s">
        <v>2240</v>
      </c>
      <c r="J110" s="126">
        <v>2</v>
      </c>
      <c r="K110" s="124" t="s">
        <v>1784</v>
      </c>
      <c r="L110" s="124">
        <v>2</v>
      </c>
      <c r="M110" s="218" t="s">
        <v>1634</v>
      </c>
      <c r="N110" s="106" t="str">
        <f t="shared" si="3"/>
        <v>22</v>
      </c>
      <c r="O110" s="107"/>
      <c r="P110" s="117" t="s">
        <v>2234</v>
      </c>
      <c r="Q110" s="107"/>
      <c r="R110" s="115" t="s">
        <v>1645</v>
      </c>
      <c r="S110" s="302" t="s">
        <v>1580</v>
      </c>
      <c r="T110" s="92" t="s">
        <v>1580</v>
      </c>
      <c r="U110" s="110"/>
      <c r="V110" s="94" t="s">
        <v>1645</v>
      </c>
      <c r="W110" s="107"/>
      <c r="X110" s="211">
        <v>7600075</v>
      </c>
      <c r="Y110" s="109" t="s">
        <v>1645</v>
      </c>
      <c r="Z110" s="98" t="s">
        <v>2240</v>
      </c>
      <c r="AA110" s="124" t="s">
        <v>1784</v>
      </c>
      <c r="AB110" s="218" t="s">
        <v>1634</v>
      </c>
      <c r="AC110" s="155"/>
      <c r="AH110" s="88" t="s">
        <v>1778</v>
      </c>
      <c r="AI110" s="88" t="s">
        <v>1779</v>
      </c>
    </row>
    <row r="111" spans="2:35" ht="17.45" customHeight="1">
      <c r="B111" s="96" t="e">
        <f t="shared" si="2"/>
        <v>#REF!</v>
      </c>
      <c r="C111" s="112">
        <v>35962</v>
      </c>
      <c r="D111" s="98" t="s">
        <v>2234</v>
      </c>
      <c r="E111" s="98">
        <v>7600075</v>
      </c>
      <c r="F111" s="113" t="s">
        <v>2233</v>
      </c>
      <c r="G111" s="100" t="s">
        <v>556</v>
      </c>
      <c r="H111" s="101" t="s">
        <v>2231</v>
      </c>
      <c r="I111" s="98" t="s">
        <v>2234</v>
      </c>
      <c r="J111" s="126">
        <v>2</v>
      </c>
      <c r="K111" s="124" t="s">
        <v>1784</v>
      </c>
      <c r="L111" s="124">
        <v>2</v>
      </c>
      <c r="M111" s="218" t="s">
        <v>1634</v>
      </c>
      <c r="N111" s="106" t="str">
        <f t="shared" si="3"/>
        <v>22</v>
      </c>
      <c r="O111" s="107"/>
      <c r="P111" s="114" t="s">
        <v>2234</v>
      </c>
      <c r="Q111" s="107"/>
      <c r="R111" s="115" t="s">
        <v>1645</v>
      </c>
      <c r="S111" s="302" t="s">
        <v>1580</v>
      </c>
      <c r="T111" s="92" t="s">
        <v>1580</v>
      </c>
      <c r="U111" s="110"/>
      <c r="V111" s="94" t="s">
        <v>1645</v>
      </c>
      <c r="W111" s="107"/>
      <c r="X111" s="117">
        <v>7600075</v>
      </c>
      <c r="Y111" s="109" t="s">
        <v>1645</v>
      </c>
      <c r="Z111" s="98" t="s">
        <v>2234</v>
      </c>
      <c r="AA111" s="124" t="s">
        <v>1784</v>
      </c>
      <c r="AB111" s="218" t="s">
        <v>1634</v>
      </c>
      <c r="AC111" s="155"/>
      <c r="AH111" s="88" t="s">
        <v>1778</v>
      </c>
      <c r="AI111" s="88" t="s">
        <v>1779</v>
      </c>
    </row>
    <row r="112" spans="2:35" ht="17.45" customHeight="1">
      <c r="B112" s="96" t="e">
        <f t="shared" si="2"/>
        <v>#REF!</v>
      </c>
      <c r="C112" s="112">
        <v>38433</v>
      </c>
      <c r="D112" s="98" t="s">
        <v>2236</v>
      </c>
      <c r="E112" s="98">
        <v>7600383</v>
      </c>
      <c r="F112" s="113" t="s">
        <v>2233</v>
      </c>
      <c r="G112" s="100" t="s">
        <v>559</v>
      </c>
      <c r="H112" s="101" t="s">
        <v>2231</v>
      </c>
      <c r="I112" s="98" t="s">
        <v>2236</v>
      </c>
      <c r="J112" s="126">
        <v>2</v>
      </c>
      <c r="K112" s="124" t="s">
        <v>1784</v>
      </c>
      <c r="L112" s="124">
        <v>2</v>
      </c>
      <c r="M112" s="218" t="s">
        <v>1634</v>
      </c>
      <c r="N112" s="106" t="str">
        <f t="shared" si="3"/>
        <v>22</v>
      </c>
      <c r="O112" s="107"/>
      <c r="P112" s="114" t="s">
        <v>2234</v>
      </c>
      <c r="Q112" s="107"/>
      <c r="R112" s="115" t="s">
        <v>1645</v>
      </c>
      <c r="S112" s="302" t="s">
        <v>1580</v>
      </c>
      <c r="T112" s="92" t="s">
        <v>1580</v>
      </c>
      <c r="U112" s="110"/>
      <c r="V112" s="94" t="s">
        <v>1645</v>
      </c>
      <c r="W112" s="107"/>
      <c r="X112" s="117">
        <v>7600075</v>
      </c>
      <c r="Y112" s="109" t="s">
        <v>1645</v>
      </c>
      <c r="Z112" s="98" t="s">
        <v>2236</v>
      </c>
      <c r="AA112" s="124" t="s">
        <v>1784</v>
      </c>
      <c r="AB112" s="218" t="s">
        <v>1634</v>
      </c>
      <c r="AC112" s="155"/>
      <c r="AH112" s="88" t="s">
        <v>1778</v>
      </c>
      <c r="AI112" s="88" t="s">
        <v>1779</v>
      </c>
    </row>
    <row r="113" spans="1:55" ht="17.45" customHeight="1">
      <c r="B113" s="96" t="e">
        <f t="shared" si="2"/>
        <v>#REF!</v>
      </c>
      <c r="C113" s="112">
        <v>36791</v>
      </c>
      <c r="D113" s="98" t="s">
        <v>2235</v>
      </c>
      <c r="E113" s="98">
        <v>7600156</v>
      </c>
      <c r="F113" s="113" t="s">
        <v>2233</v>
      </c>
      <c r="G113" s="100" t="s">
        <v>562</v>
      </c>
      <c r="H113" s="101" t="s">
        <v>2231</v>
      </c>
      <c r="I113" s="98" t="s">
        <v>2235</v>
      </c>
      <c r="J113" s="126">
        <v>2</v>
      </c>
      <c r="K113" s="124" t="s">
        <v>1784</v>
      </c>
      <c r="L113" s="124">
        <v>2</v>
      </c>
      <c r="M113" s="218" t="s">
        <v>1634</v>
      </c>
      <c r="N113" s="106" t="str">
        <f t="shared" si="3"/>
        <v>22</v>
      </c>
      <c r="O113" s="107"/>
      <c r="P113" s="114" t="s">
        <v>2234</v>
      </c>
      <c r="Q113" s="107"/>
      <c r="R113" s="115" t="s">
        <v>1645</v>
      </c>
      <c r="S113" s="302" t="s">
        <v>1580</v>
      </c>
      <c r="T113" s="92" t="s">
        <v>1580</v>
      </c>
      <c r="U113" s="110"/>
      <c r="V113" s="94" t="s">
        <v>1645</v>
      </c>
      <c r="W113" s="107"/>
      <c r="X113" s="117">
        <v>7600075</v>
      </c>
      <c r="Y113" s="109" t="s">
        <v>1645</v>
      </c>
      <c r="Z113" s="98" t="s">
        <v>2235</v>
      </c>
      <c r="AA113" s="124" t="s">
        <v>1784</v>
      </c>
      <c r="AB113" s="218" t="s">
        <v>1634</v>
      </c>
      <c r="AC113" s="155"/>
      <c r="AH113" s="88" t="s">
        <v>1778</v>
      </c>
      <c r="AI113" s="88" t="s">
        <v>1779</v>
      </c>
    </row>
    <row r="114" spans="1:55" ht="17.45" customHeight="1">
      <c r="B114" s="96" t="e">
        <f t="shared" si="2"/>
        <v>#REF!</v>
      </c>
      <c r="C114" s="112">
        <v>40864</v>
      </c>
      <c r="D114" s="98" t="s">
        <v>2237</v>
      </c>
      <c r="E114" s="98">
        <v>7600608</v>
      </c>
      <c r="F114" s="113" t="s">
        <v>2233</v>
      </c>
      <c r="G114" s="100" t="s">
        <v>565</v>
      </c>
      <c r="H114" s="101" t="s">
        <v>2231</v>
      </c>
      <c r="I114" s="98" t="s">
        <v>2237</v>
      </c>
      <c r="J114" s="126">
        <v>2</v>
      </c>
      <c r="K114" s="124" t="s">
        <v>1784</v>
      </c>
      <c r="L114" s="124">
        <v>2</v>
      </c>
      <c r="M114" s="218" t="s">
        <v>1634</v>
      </c>
      <c r="N114" s="106" t="str">
        <f t="shared" si="3"/>
        <v>22</v>
      </c>
      <c r="O114" s="107"/>
      <c r="P114" s="114" t="s">
        <v>2234</v>
      </c>
      <c r="Q114" s="107"/>
      <c r="R114" s="115" t="s">
        <v>1645</v>
      </c>
      <c r="S114" s="302" t="s">
        <v>1580</v>
      </c>
      <c r="T114" s="92" t="s">
        <v>1580</v>
      </c>
      <c r="U114" s="110"/>
      <c r="V114" s="94" t="s">
        <v>1645</v>
      </c>
      <c r="W114" s="107"/>
      <c r="X114" s="117">
        <v>7600075</v>
      </c>
      <c r="Y114" s="109" t="s">
        <v>1645</v>
      </c>
      <c r="Z114" s="98" t="s">
        <v>2237</v>
      </c>
      <c r="AA114" s="124" t="s">
        <v>1784</v>
      </c>
      <c r="AB114" s="218" t="s">
        <v>1634</v>
      </c>
      <c r="AC114" s="155"/>
      <c r="AH114" s="88" t="s">
        <v>1778</v>
      </c>
      <c r="AI114" s="88" t="s">
        <v>1779</v>
      </c>
    </row>
    <row r="115" spans="1:55" ht="17.45" customHeight="1">
      <c r="B115" s="96" t="e">
        <f t="shared" si="2"/>
        <v>#REF!</v>
      </c>
      <c r="C115" s="148">
        <v>40864</v>
      </c>
      <c r="D115" s="98" t="s">
        <v>1868</v>
      </c>
      <c r="E115" s="118">
        <v>7601123</v>
      </c>
      <c r="F115" s="242" t="s">
        <v>1866</v>
      </c>
      <c r="G115" s="171" t="s">
        <v>394</v>
      </c>
      <c r="H115" s="154" t="s">
        <v>1966</v>
      </c>
      <c r="I115" s="98" t="s">
        <v>1868</v>
      </c>
      <c r="J115" s="126">
        <v>2</v>
      </c>
      <c r="K115" s="124" t="s">
        <v>1784</v>
      </c>
      <c r="L115" s="124">
        <v>5</v>
      </c>
      <c r="M115" s="218" t="s">
        <v>1648</v>
      </c>
      <c r="N115" s="106" t="str">
        <f t="shared" si="3"/>
        <v>25</v>
      </c>
      <c r="O115" s="107"/>
      <c r="P115" s="114" t="s">
        <v>2290</v>
      </c>
      <c r="Q115" s="107"/>
      <c r="R115" s="115" t="s">
        <v>1649</v>
      </c>
      <c r="S115" s="302" t="s">
        <v>2291</v>
      </c>
      <c r="T115" s="92" t="s">
        <v>1577</v>
      </c>
      <c r="U115" s="110"/>
      <c r="V115" s="94" t="s">
        <v>1649</v>
      </c>
      <c r="W115" s="107"/>
      <c r="X115" s="117">
        <v>7601122</v>
      </c>
      <c r="Y115" s="109" t="s">
        <v>1649</v>
      </c>
      <c r="Z115" s="98" t="s">
        <v>1868</v>
      </c>
      <c r="AA115" s="124" t="s">
        <v>1784</v>
      </c>
      <c r="AB115" s="218" t="s">
        <v>1648</v>
      </c>
      <c r="AC115" s="110" t="s">
        <v>1671</v>
      </c>
      <c r="AH115" s="88" t="s">
        <v>1778</v>
      </c>
      <c r="AI115" s="88" t="s">
        <v>1779</v>
      </c>
    </row>
    <row r="116" spans="1:55" ht="17.45" customHeight="1">
      <c r="B116" s="96" t="e">
        <f t="shared" si="2"/>
        <v>#REF!</v>
      </c>
      <c r="C116" s="112">
        <v>43801</v>
      </c>
      <c r="D116" s="98" t="s">
        <v>2142</v>
      </c>
      <c r="E116" s="98">
        <v>7601110</v>
      </c>
      <c r="F116" s="113" t="s">
        <v>2137</v>
      </c>
      <c r="G116" s="100" t="s">
        <v>376</v>
      </c>
      <c r="H116" s="101" t="s">
        <v>2133</v>
      </c>
      <c r="I116" s="98" t="s">
        <v>2142</v>
      </c>
      <c r="J116" s="126">
        <v>2</v>
      </c>
      <c r="K116" s="124" t="s">
        <v>1784</v>
      </c>
      <c r="L116" s="124">
        <v>4</v>
      </c>
      <c r="M116" s="218" t="s">
        <v>1644</v>
      </c>
      <c r="N116" s="106" t="str">
        <f t="shared" si="3"/>
        <v>24</v>
      </c>
      <c r="O116" s="107"/>
      <c r="P116" s="114" t="s">
        <v>2138</v>
      </c>
      <c r="Q116" s="107"/>
      <c r="R116" s="115" t="s">
        <v>1650</v>
      </c>
      <c r="S116" s="302" t="s">
        <v>2292</v>
      </c>
      <c r="T116" s="92" t="s">
        <v>1630</v>
      </c>
      <c r="U116" s="110"/>
      <c r="V116" s="94" t="s">
        <v>1650</v>
      </c>
      <c r="W116" s="107"/>
      <c r="X116" s="117">
        <v>7600895</v>
      </c>
      <c r="Y116" s="109" t="s">
        <v>1650</v>
      </c>
      <c r="Z116" s="98" t="s">
        <v>2142</v>
      </c>
      <c r="AA116" s="124" t="s">
        <v>1784</v>
      </c>
      <c r="AB116" s="218" t="s">
        <v>1644</v>
      </c>
      <c r="AC116" s="155"/>
      <c r="AH116" s="88" t="s">
        <v>1778</v>
      </c>
      <c r="AI116" s="88" t="s">
        <v>1779</v>
      </c>
    </row>
    <row r="117" spans="1:55" ht="17.45" customHeight="1">
      <c r="B117" s="96" t="e">
        <f t="shared" si="2"/>
        <v>#REF!</v>
      </c>
      <c r="C117" s="112">
        <v>40473</v>
      </c>
      <c r="D117" s="98" t="s">
        <v>2138</v>
      </c>
      <c r="E117" s="98">
        <v>7600895</v>
      </c>
      <c r="F117" s="113" t="s">
        <v>2137</v>
      </c>
      <c r="G117" s="100" t="s">
        <v>383</v>
      </c>
      <c r="H117" s="101" t="s">
        <v>2133</v>
      </c>
      <c r="I117" s="98" t="s">
        <v>2138</v>
      </c>
      <c r="J117" s="126">
        <v>2</v>
      </c>
      <c r="K117" s="124" t="s">
        <v>1784</v>
      </c>
      <c r="L117" s="124">
        <v>4</v>
      </c>
      <c r="M117" s="218" t="s">
        <v>1644</v>
      </c>
      <c r="N117" s="106" t="str">
        <f t="shared" si="3"/>
        <v>24</v>
      </c>
      <c r="O117" s="107"/>
      <c r="P117" s="114" t="s">
        <v>2138</v>
      </c>
      <c r="Q117" s="107"/>
      <c r="R117" s="115" t="s">
        <v>1650</v>
      </c>
      <c r="S117" s="302" t="s">
        <v>2292</v>
      </c>
      <c r="T117" s="92" t="s">
        <v>1630</v>
      </c>
      <c r="U117" s="110"/>
      <c r="V117" s="94" t="s">
        <v>1650</v>
      </c>
      <c r="W117" s="107"/>
      <c r="X117" s="117">
        <v>7600895</v>
      </c>
      <c r="Y117" s="109" t="s">
        <v>1650</v>
      </c>
      <c r="Z117" s="98" t="s">
        <v>2138</v>
      </c>
      <c r="AA117" s="124" t="s">
        <v>1784</v>
      </c>
      <c r="AB117" s="218" t="s">
        <v>1644</v>
      </c>
      <c r="AC117" s="155"/>
      <c r="AH117" s="88" t="s">
        <v>1778</v>
      </c>
      <c r="AI117" s="88" t="s">
        <v>1779</v>
      </c>
    </row>
    <row r="118" spans="1:55" ht="17.45" customHeight="1">
      <c r="B118" s="96" t="e">
        <f t="shared" si="2"/>
        <v>#REF!</v>
      </c>
      <c r="C118" s="112">
        <v>40473</v>
      </c>
      <c r="D118" s="98" t="s">
        <v>2140</v>
      </c>
      <c r="E118" s="98">
        <v>7600920</v>
      </c>
      <c r="F118" s="113" t="s">
        <v>2137</v>
      </c>
      <c r="G118" s="100" t="s">
        <v>387</v>
      </c>
      <c r="H118" s="101" t="s">
        <v>2133</v>
      </c>
      <c r="I118" s="98" t="s">
        <v>2140</v>
      </c>
      <c r="J118" s="126">
        <v>2</v>
      </c>
      <c r="K118" s="124" t="s">
        <v>1784</v>
      </c>
      <c r="L118" s="124">
        <v>4</v>
      </c>
      <c r="M118" s="218" t="s">
        <v>1644</v>
      </c>
      <c r="N118" s="106" t="str">
        <f t="shared" si="3"/>
        <v>24</v>
      </c>
      <c r="O118" s="107"/>
      <c r="P118" s="114" t="s">
        <v>2138</v>
      </c>
      <c r="Q118" s="107"/>
      <c r="R118" s="115" t="s">
        <v>1650</v>
      </c>
      <c r="S118" s="302" t="s">
        <v>2292</v>
      </c>
      <c r="T118" s="92" t="s">
        <v>1630</v>
      </c>
      <c r="U118" s="110"/>
      <c r="V118" s="94" t="s">
        <v>1650</v>
      </c>
      <c r="W118" s="107"/>
      <c r="X118" s="117">
        <v>7600895</v>
      </c>
      <c r="Y118" s="109" t="s">
        <v>1650</v>
      </c>
      <c r="Z118" s="98" t="s">
        <v>2140</v>
      </c>
      <c r="AA118" s="124" t="s">
        <v>1784</v>
      </c>
      <c r="AB118" s="218" t="s">
        <v>1644</v>
      </c>
      <c r="AC118" s="155"/>
      <c r="AH118" s="88" t="s">
        <v>1778</v>
      </c>
      <c r="AI118" s="88" t="s">
        <v>1779</v>
      </c>
    </row>
    <row r="119" spans="1:55" ht="17.45" customHeight="1">
      <c r="B119" s="96" t="e">
        <f t="shared" si="2"/>
        <v>#REF!</v>
      </c>
      <c r="C119" s="112">
        <v>41269</v>
      </c>
      <c r="D119" s="98" t="s">
        <v>2139</v>
      </c>
      <c r="E119" s="98">
        <v>7600918</v>
      </c>
      <c r="F119" s="113" t="s">
        <v>2137</v>
      </c>
      <c r="G119" s="100" t="s">
        <v>389</v>
      </c>
      <c r="H119" s="101" t="s">
        <v>2133</v>
      </c>
      <c r="I119" s="98" t="s">
        <v>2139</v>
      </c>
      <c r="J119" s="126">
        <v>2</v>
      </c>
      <c r="K119" s="124" t="s">
        <v>1784</v>
      </c>
      <c r="L119" s="124">
        <v>4</v>
      </c>
      <c r="M119" s="218" t="s">
        <v>1644</v>
      </c>
      <c r="N119" s="106" t="str">
        <f t="shared" si="3"/>
        <v>24</v>
      </c>
      <c r="O119" s="107"/>
      <c r="P119" s="114" t="s">
        <v>2138</v>
      </c>
      <c r="Q119" s="107"/>
      <c r="R119" s="115" t="s">
        <v>1650</v>
      </c>
      <c r="S119" s="302" t="s">
        <v>2292</v>
      </c>
      <c r="T119" s="92" t="s">
        <v>1630</v>
      </c>
      <c r="U119" s="110"/>
      <c r="V119" s="94" t="s">
        <v>1650</v>
      </c>
      <c r="W119" s="107"/>
      <c r="X119" s="117">
        <v>7600895</v>
      </c>
      <c r="Y119" s="109" t="s">
        <v>1650</v>
      </c>
      <c r="Z119" s="98" t="s">
        <v>2139</v>
      </c>
      <c r="AA119" s="124" t="s">
        <v>1784</v>
      </c>
      <c r="AB119" s="218" t="s">
        <v>1644</v>
      </c>
      <c r="AC119" s="155"/>
      <c r="AH119" s="88" t="s">
        <v>1778</v>
      </c>
      <c r="AI119" s="88" t="s">
        <v>1779</v>
      </c>
    </row>
    <row r="120" spans="1:55" ht="17.45" customHeight="1">
      <c r="B120" s="96" t="e">
        <f t="shared" si="2"/>
        <v>#REF!</v>
      </c>
      <c r="C120" s="112">
        <v>40473</v>
      </c>
      <c r="D120" s="98" t="s">
        <v>2141</v>
      </c>
      <c r="E120" s="98">
        <v>7600921</v>
      </c>
      <c r="F120" s="113" t="s">
        <v>2137</v>
      </c>
      <c r="G120" s="100" t="s">
        <v>392</v>
      </c>
      <c r="H120" s="101" t="s">
        <v>2133</v>
      </c>
      <c r="I120" s="98" t="s">
        <v>2141</v>
      </c>
      <c r="J120" s="126">
        <v>2</v>
      </c>
      <c r="K120" s="124" t="s">
        <v>1784</v>
      </c>
      <c r="L120" s="124">
        <v>4</v>
      </c>
      <c r="M120" s="218" t="s">
        <v>1644</v>
      </c>
      <c r="N120" s="106" t="str">
        <f t="shared" si="3"/>
        <v>24</v>
      </c>
      <c r="O120" s="107"/>
      <c r="P120" s="114" t="s">
        <v>2138</v>
      </c>
      <c r="Q120" s="107"/>
      <c r="R120" s="115" t="s">
        <v>1650</v>
      </c>
      <c r="S120" s="302" t="s">
        <v>2292</v>
      </c>
      <c r="T120" s="92" t="s">
        <v>1630</v>
      </c>
      <c r="U120" s="110"/>
      <c r="V120" s="94" t="s">
        <v>1650</v>
      </c>
      <c r="W120" s="107"/>
      <c r="X120" s="117">
        <v>7600895</v>
      </c>
      <c r="Y120" s="109" t="s">
        <v>1650</v>
      </c>
      <c r="Z120" s="98" t="s">
        <v>2141</v>
      </c>
      <c r="AA120" s="124" t="s">
        <v>1784</v>
      </c>
      <c r="AB120" s="218" t="s">
        <v>1644</v>
      </c>
      <c r="AC120" s="155"/>
      <c r="AH120" s="88" t="s">
        <v>1778</v>
      </c>
      <c r="AI120" s="88" t="s">
        <v>1779</v>
      </c>
    </row>
    <row r="121" spans="1:55" ht="17.45" customHeight="1">
      <c r="B121" s="96" t="e">
        <f>#REF!+1</f>
        <v>#REF!</v>
      </c>
      <c r="C121" s="112">
        <v>39692</v>
      </c>
      <c r="D121" s="98" t="s">
        <v>1940</v>
      </c>
      <c r="E121" s="98">
        <v>7600992</v>
      </c>
      <c r="F121" s="113" t="s">
        <v>1937</v>
      </c>
      <c r="G121" s="100" t="s">
        <v>568</v>
      </c>
      <c r="H121" s="101" t="s">
        <v>1946</v>
      </c>
      <c r="I121" s="98" t="s">
        <v>1940</v>
      </c>
      <c r="J121" s="102">
        <v>2</v>
      </c>
      <c r="K121" s="103" t="s">
        <v>1784</v>
      </c>
      <c r="L121" s="124">
        <v>1</v>
      </c>
      <c r="M121" s="218" t="s">
        <v>1628</v>
      </c>
      <c r="N121" s="106" t="str">
        <f t="shared" si="3"/>
        <v>21</v>
      </c>
      <c r="O121" s="107"/>
      <c r="P121" s="114" t="s">
        <v>1939</v>
      </c>
      <c r="Q121" s="107"/>
      <c r="R121" s="115" t="s">
        <v>1653</v>
      </c>
      <c r="S121" s="302" t="s">
        <v>1582</v>
      </c>
      <c r="T121" s="92" t="s">
        <v>1582</v>
      </c>
      <c r="U121" s="110"/>
      <c r="V121" s="94" t="s">
        <v>1653</v>
      </c>
      <c r="W121" s="107"/>
      <c r="X121" s="117">
        <v>7600973</v>
      </c>
      <c r="Y121" s="109" t="s">
        <v>1653</v>
      </c>
      <c r="Z121" s="98" t="s">
        <v>1940</v>
      </c>
      <c r="AA121" s="103" t="s">
        <v>1784</v>
      </c>
      <c r="AB121" s="218" t="s">
        <v>1628</v>
      </c>
      <c r="AC121" s="110" t="s">
        <v>1637</v>
      </c>
      <c r="AH121" s="88" t="s">
        <v>1778</v>
      </c>
      <c r="AI121" s="88" t="s">
        <v>1779</v>
      </c>
    </row>
    <row r="122" spans="1:55" ht="17.45" customHeight="1">
      <c r="A122" s="132"/>
      <c r="B122" s="96" t="e">
        <f t="shared" si="2"/>
        <v>#REF!</v>
      </c>
      <c r="C122" s="112" t="s">
        <v>1948</v>
      </c>
      <c r="D122" s="98" t="s">
        <v>1939</v>
      </c>
      <c r="E122" s="98">
        <v>7600973</v>
      </c>
      <c r="F122" s="113" t="s">
        <v>1937</v>
      </c>
      <c r="G122" s="100" t="s">
        <v>574</v>
      </c>
      <c r="H122" s="101" t="s">
        <v>1946</v>
      </c>
      <c r="I122" s="98" t="s">
        <v>1939</v>
      </c>
      <c r="J122" s="102">
        <v>2</v>
      </c>
      <c r="K122" s="103" t="s">
        <v>1784</v>
      </c>
      <c r="L122" s="124">
        <v>1</v>
      </c>
      <c r="M122" s="218" t="s">
        <v>1628</v>
      </c>
      <c r="N122" s="106" t="str">
        <f t="shared" si="3"/>
        <v>21</v>
      </c>
      <c r="O122" s="107"/>
      <c r="P122" s="114" t="s">
        <v>1939</v>
      </c>
      <c r="Q122" s="107"/>
      <c r="R122" s="115" t="s">
        <v>1653</v>
      </c>
      <c r="S122" s="302" t="s">
        <v>1582</v>
      </c>
      <c r="T122" s="92" t="s">
        <v>1582</v>
      </c>
      <c r="U122" s="110"/>
      <c r="V122" s="94" t="s">
        <v>1653</v>
      </c>
      <c r="W122" s="107"/>
      <c r="X122" s="117">
        <v>7600973</v>
      </c>
      <c r="Y122" s="109" t="s">
        <v>1653</v>
      </c>
      <c r="Z122" s="98" t="s">
        <v>1939</v>
      </c>
      <c r="AA122" s="103" t="s">
        <v>1784</v>
      </c>
      <c r="AB122" s="218" t="s">
        <v>1628</v>
      </c>
      <c r="AC122" s="110" t="s">
        <v>1734</v>
      </c>
      <c r="AH122" s="88" t="s">
        <v>1778</v>
      </c>
      <c r="AI122" s="88" t="s">
        <v>1779</v>
      </c>
      <c r="AJ122" s="132"/>
      <c r="AK122" s="132"/>
      <c r="AL122" s="132"/>
      <c r="AM122" s="132"/>
      <c r="AN122" s="132"/>
      <c r="AO122" s="132"/>
      <c r="AP122" s="132"/>
      <c r="AQ122" s="132"/>
      <c r="AR122" s="132"/>
      <c r="AS122" s="132"/>
      <c r="AT122" s="132"/>
      <c r="AU122" s="132"/>
      <c r="AV122" s="132"/>
      <c r="AW122" s="132"/>
      <c r="AX122" s="132"/>
      <c r="AY122" s="132"/>
      <c r="AZ122" s="132"/>
      <c r="BA122" s="132"/>
      <c r="BB122" s="132"/>
      <c r="BC122" s="132"/>
    </row>
    <row r="123" spans="1:55" ht="17.45" customHeight="1">
      <c r="B123" s="96" t="e">
        <f t="shared" si="2"/>
        <v>#REF!</v>
      </c>
      <c r="C123" s="112">
        <v>40658</v>
      </c>
      <c r="D123" s="98" t="s">
        <v>2207</v>
      </c>
      <c r="E123" s="98">
        <v>7600567</v>
      </c>
      <c r="F123" s="113" t="s">
        <v>2205</v>
      </c>
      <c r="G123" s="100" t="s">
        <v>466</v>
      </c>
      <c r="H123" s="101" t="s">
        <v>2187</v>
      </c>
      <c r="I123" s="98" t="s">
        <v>2207</v>
      </c>
      <c r="J123" s="126">
        <v>2</v>
      </c>
      <c r="K123" s="124" t="s">
        <v>1784</v>
      </c>
      <c r="L123" s="124">
        <v>1</v>
      </c>
      <c r="M123" s="218" t="s">
        <v>1628</v>
      </c>
      <c r="N123" s="106" t="str">
        <f t="shared" si="3"/>
        <v>21</v>
      </c>
      <c r="O123" s="107"/>
      <c r="P123" s="114" t="s">
        <v>2206</v>
      </c>
      <c r="Q123" s="107"/>
      <c r="R123" s="115" t="s">
        <v>1656</v>
      </c>
      <c r="S123" s="302" t="s">
        <v>1582</v>
      </c>
      <c r="T123" s="92" t="s">
        <v>1582</v>
      </c>
      <c r="U123" s="110"/>
      <c r="V123" s="94" t="s">
        <v>1656</v>
      </c>
      <c r="W123" s="107"/>
      <c r="X123" s="117">
        <v>7600519</v>
      </c>
      <c r="Y123" s="109" t="s">
        <v>1656</v>
      </c>
      <c r="Z123" s="98" t="s">
        <v>2207</v>
      </c>
      <c r="AA123" s="124" t="s">
        <v>1784</v>
      </c>
      <c r="AB123" s="218" t="s">
        <v>1628</v>
      </c>
      <c r="AC123" s="155"/>
      <c r="AH123" s="88" t="s">
        <v>1778</v>
      </c>
      <c r="AI123" s="88" t="s">
        <v>1779</v>
      </c>
    </row>
    <row r="124" spans="1:55" ht="17.45" customHeight="1">
      <c r="B124" s="96" t="e">
        <f t="shared" si="2"/>
        <v>#REF!</v>
      </c>
      <c r="C124" s="112">
        <v>40905</v>
      </c>
      <c r="D124" s="98" t="s">
        <v>2210</v>
      </c>
      <c r="E124" s="98">
        <v>7600614</v>
      </c>
      <c r="F124" s="113" t="s">
        <v>2205</v>
      </c>
      <c r="G124" s="100" t="s">
        <v>471</v>
      </c>
      <c r="H124" s="101" t="s">
        <v>2187</v>
      </c>
      <c r="I124" s="98" t="s">
        <v>2210</v>
      </c>
      <c r="J124" s="126">
        <v>2</v>
      </c>
      <c r="K124" s="124" t="s">
        <v>1784</v>
      </c>
      <c r="L124" s="124">
        <v>1</v>
      </c>
      <c r="M124" s="218" t="s">
        <v>1628</v>
      </c>
      <c r="N124" s="106" t="str">
        <f t="shared" si="3"/>
        <v>21</v>
      </c>
      <c r="O124" s="107"/>
      <c r="P124" s="114" t="s">
        <v>2206</v>
      </c>
      <c r="Q124" s="107"/>
      <c r="R124" s="115" t="s">
        <v>1656</v>
      </c>
      <c r="S124" s="302" t="s">
        <v>1582</v>
      </c>
      <c r="T124" s="92" t="s">
        <v>1582</v>
      </c>
      <c r="U124" s="110"/>
      <c r="V124" s="94" t="s">
        <v>1656</v>
      </c>
      <c r="W124" s="107"/>
      <c r="X124" s="117">
        <v>7600519</v>
      </c>
      <c r="Y124" s="109" t="s">
        <v>1656</v>
      </c>
      <c r="Z124" s="98" t="s">
        <v>2210</v>
      </c>
      <c r="AA124" s="124" t="s">
        <v>1784</v>
      </c>
      <c r="AB124" s="218" t="s">
        <v>1628</v>
      </c>
      <c r="AC124" s="155"/>
      <c r="AH124" s="88" t="s">
        <v>1778</v>
      </c>
      <c r="AI124" s="88" t="s">
        <v>1779</v>
      </c>
    </row>
    <row r="125" spans="1:55" ht="17.45" customHeight="1">
      <c r="B125" s="96" t="e">
        <f t="shared" si="2"/>
        <v>#REF!</v>
      </c>
      <c r="C125" s="112">
        <v>40189</v>
      </c>
      <c r="D125" s="98" t="s">
        <v>2206</v>
      </c>
      <c r="E125" s="98">
        <v>7600519</v>
      </c>
      <c r="F125" s="113" t="s">
        <v>2205</v>
      </c>
      <c r="G125" s="100" t="s">
        <v>425</v>
      </c>
      <c r="H125" s="101" t="s">
        <v>2187</v>
      </c>
      <c r="I125" s="98" t="s">
        <v>2206</v>
      </c>
      <c r="J125" s="126">
        <v>2</v>
      </c>
      <c r="K125" s="124" t="s">
        <v>1784</v>
      </c>
      <c r="L125" s="124">
        <v>1</v>
      </c>
      <c r="M125" s="218" t="s">
        <v>1628</v>
      </c>
      <c r="N125" s="106" t="str">
        <f t="shared" si="3"/>
        <v>21</v>
      </c>
      <c r="O125" s="107"/>
      <c r="P125" s="114" t="s">
        <v>2206</v>
      </c>
      <c r="Q125" s="107"/>
      <c r="R125" s="115" t="s">
        <v>1656</v>
      </c>
      <c r="S125" s="302" t="s">
        <v>1582</v>
      </c>
      <c r="T125" s="92" t="s">
        <v>1582</v>
      </c>
      <c r="U125" s="110"/>
      <c r="V125" s="94" t="s">
        <v>1656</v>
      </c>
      <c r="W125" s="107"/>
      <c r="X125" s="117">
        <v>7600519</v>
      </c>
      <c r="Y125" s="109" t="s">
        <v>1656</v>
      </c>
      <c r="Z125" s="98" t="s">
        <v>2206</v>
      </c>
      <c r="AA125" s="124" t="s">
        <v>1784</v>
      </c>
      <c r="AB125" s="218" t="s">
        <v>1628</v>
      </c>
      <c r="AC125" s="155"/>
      <c r="AH125" s="88" t="s">
        <v>1778</v>
      </c>
      <c r="AI125" s="88" t="s">
        <v>1779</v>
      </c>
    </row>
    <row r="126" spans="1:55" ht="17.45" customHeight="1">
      <c r="B126" s="96" t="e">
        <f t="shared" si="2"/>
        <v>#REF!</v>
      </c>
      <c r="C126" s="156">
        <v>39157</v>
      </c>
      <c r="D126" s="89" t="s">
        <v>2232</v>
      </c>
      <c r="E126" s="89">
        <v>7601097</v>
      </c>
      <c r="F126" s="284" t="s">
        <v>2230</v>
      </c>
      <c r="G126" s="157" t="s">
        <v>579</v>
      </c>
      <c r="H126" s="158" t="s">
        <v>2090</v>
      </c>
      <c r="I126" s="89" t="s">
        <v>2232</v>
      </c>
      <c r="J126" s="159">
        <v>2</v>
      </c>
      <c r="K126" s="104" t="s">
        <v>1784</v>
      </c>
      <c r="L126" s="124">
        <v>5</v>
      </c>
      <c r="M126" s="218" t="s">
        <v>1648</v>
      </c>
      <c r="N126" s="160" t="str">
        <f t="shared" si="3"/>
        <v>25</v>
      </c>
      <c r="O126" s="91"/>
      <c r="P126" s="161" t="s">
        <v>2232</v>
      </c>
      <c r="Q126" s="91"/>
      <c r="R126" s="162" t="s">
        <v>1655</v>
      </c>
      <c r="S126" s="302" t="s">
        <v>1582</v>
      </c>
      <c r="T126" s="92" t="s">
        <v>1577</v>
      </c>
      <c r="U126" s="93"/>
      <c r="V126" s="94" t="s">
        <v>1655</v>
      </c>
      <c r="W126" s="91"/>
      <c r="X126" s="213">
        <v>7601097</v>
      </c>
      <c r="Y126" s="109" t="s">
        <v>1655</v>
      </c>
      <c r="Z126" s="89" t="s">
        <v>2232</v>
      </c>
      <c r="AA126" s="104" t="s">
        <v>1784</v>
      </c>
      <c r="AB126" s="218" t="s">
        <v>1648</v>
      </c>
      <c r="AC126" s="155"/>
      <c r="AH126" s="88" t="s">
        <v>1778</v>
      </c>
      <c r="AI126" s="88" t="s">
        <v>1779</v>
      </c>
    </row>
    <row r="127" spans="1:55" ht="17.45" customHeight="1">
      <c r="B127" s="96" t="e">
        <f t="shared" si="2"/>
        <v>#REF!</v>
      </c>
      <c r="C127" s="112">
        <v>36134</v>
      </c>
      <c r="D127" s="98" t="s">
        <v>1788</v>
      </c>
      <c r="E127" s="98">
        <v>7600093</v>
      </c>
      <c r="F127" s="113" t="s">
        <v>1781</v>
      </c>
      <c r="G127" s="100" t="s">
        <v>454</v>
      </c>
      <c r="H127" s="101" t="s">
        <v>1791</v>
      </c>
      <c r="I127" s="98" t="s">
        <v>1788</v>
      </c>
      <c r="J127" s="102">
        <v>2</v>
      </c>
      <c r="K127" s="103" t="s">
        <v>1784</v>
      </c>
      <c r="L127" s="124">
        <v>3</v>
      </c>
      <c r="M127" s="218" t="s">
        <v>1638</v>
      </c>
      <c r="N127" s="106" t="str">
        <f t="shared" si="3"/>
        <v>23</v>
      </c>
      <c r="O127" s="107"/>
      <c r="P127" s="114" t="s">
        <v>1783</v>
      </c>
      <c r="Q127" s="107"/>
      <c r="R127" s="115" t="s">
        <v>1658</v>
      </c>
      <c r="S127" s="302" t="s">
        <v>1579</v>
      </c>
      <c r="T127" s="92" t="s">
        <v>1577</v>
      </c>
      <c r="U127" s="110"/>
      <c r="V127" s="94" t="s">
        <v>1658</v>
      </c>
      <c r="W127" s="107"/>
      <c r="X127" s="117">
        <v>7600033</v>
      </c>
      <c r="Y127" s="109" t="s">
        <v>1658</v>
      </c>
      <c r="Z127" s="98" t="s">
        <v>1788</v>
      </c>
      <c r="AA127" s="103" t="s">
        <v>1784</v>
      </c>
      <c r="AB127" s="218" t="s">
        <v>1638</v>
      </c>
      <c r="AC127" s="110" t="s">
        <v>1690</v>
      </c>
      <c r="AH127" s="88" t="s">
        <v>1778</v>
      </c>
      <c r="AI127" s="88" t="s">
        <v>1779</v>
      </c>
    </row>
    <row r="128" spans="1:55" ht="17.45" customHeight="1">
      <c r="B128" s="96" t="e">
        <f>#REF!+1</f>
        <v>#REF!</v>
      </c>
      <c r="C128" s="112">
        <v>41271</v>
      </c>
      <c r="D128" s="98" t="s">
        <v>1790</v>
      </c>
      <c r="E128" s="98">
        <v>7600713</v>
      </c>
      <c r="F128" s="113" t="s">
        <v>1781</v>
      </c>
      <c r="G128" s="100" t="s">
        <v>456</v>
      </c>
      <c r="H128" s="101" t="s">
        <v>1791</v>
      </c>
      <c r="I128" s="98" t="s">
        <v>1790</v>
      </c>
      <c r="J128" s="102">
        <v>2</v>
      </c>
      <c r="K128" s="103" t="s">
        <v>1784</v>
      </c>
      <c r="L128" s="124">
        <v>3</v>
      </c>
      <c r="M128" s="218" t="s">
        <v>1638</v>
      </c>
      <c r="N128" s="106" t="str">
        <f t="shared" si="3"/>
        <v>23</v>
      </c>
      <c r="O128" s="107"/>
      <c r="P128" s="114" t="s">
        <v>1783</v>
      </c>
      <c r="Q128" s="107"/>
      <c r="R128" s="115" t="s">
        <v>1658</v>
      </c>
      <c r="S128" s="302" t="s">
        <v>1579</v>
      </c>
      <c r="T128" s="92" t="s">
        <v>1577</v>
      </c>
      <c r="U128" s="110"/>
      <c r="V128" s="94" t="s">
        <v>1658</v>
      </c>
      <c r="W128" s="107"/>
      <c r="X128" s="117">
        <v>7600033</v>
      </c>
      <c r="Y128" s="109" t="s">
        <v>1658</v>
      </c>
      <c r="Z128" s="98" t="s">
        <v>1790</v>
      </c>
      <c r="AA128" s="103" t="s">
        <v>1784</v>
      </c>
      <c r="AB128" s="218" t="s">
        <v>1638</v>
      </c>
      <c r="AC128" s="110" t="s">
        <v>1798</v>
      </c>
      <c r="AH128" s="88" t="s">
        <v>1778</v>
      </c>
      <c r="AI128" s="88" t="s">
        <v>1779</v>
      </c>
    </row>
    <row r="129" spans="1:55" ht="17.45" customHeight="1">
      <c r="B129" s="96" t="e">
        <f t="shared" ref="B129:B144" si="4">B128+1</f>
        <v>#REF!</v>
      </c>
      <c r="C129" s="112">
        <v>35781</v>
      </c>
      <c r="D129" s="98" t="s">
        <v>1783</v>
      </c>
      <c r="E129" s="98">
        <v>7600033</v>
      </c>
      <c r="F129" s="113" t="s">
        <v>1781</v>
      </c>
      <c r="G129" s="100" t="s">
        <v>461</v>
      </c>
      <c r="H129" s="101" t="s">
        <v>1791</v>
      </c>
      <c r="I129" s="98" t="s">
        <v>1783</v>
      </c>
      <c r="J129" s="102">
        <v>2</v>
      </c>
      <c r="K129" s="103" t="s">
        <v>1784</v>
      </c>
      <c r="L129" s="124">
        <v>3</v>
      </c>
      <c r="M129" s="218" t="s">
        <v>1638</v>
      </c>
      <c r="N129" s="106" t="str">
        <f t="shared" si="3"/>
        <v>23</v>
      </c>
      <c r="O129" s="107"/>
      <c r="P129" s="117" t="s">
        <v>1783</v>
      </c>
      <c r="Q129" s="107"/>
      <c r="R129" s="115" t="s">
        <v>1658</v>
      </c>
      <c r="S129" s="302" t="s">
        <v>1579</v>
      </c>
      <c r="T129" s="92" t="s">
        <v>1577</v>
      </c>
      <c r="U129" s="110"/>
      <c r="V129" s="94" t="s">
        <v>1658</v>
      </c>
      <c r="W129" s="107"/>
      <c r="X129" s="117">
        <v>7600033</v>
      </c>
      <c r="Y129" s="109" t="s">
        <v>1658</v>
      </c>
      <c r="Z129" s="98" t="s">
        <v>1783</v>
      </c>
      <c r="AA129" s="103" t="s">
        <v>1784</v>
      </c>
      <c r="AB129" s="218" t="s">
        <v>1638</v>
      </c>
      <c r="AC129" s="110" t="s">
        <v>1635</v>
      </c>
      <c r="AH129" s="88" t="s">
        <v>1778</v>
      </c>
      <c r="AI129" s="88" t="s">
        <v>1779</v>
      </c>
    </row>
    <row r="130" spans="1:55" ht="17.45" customHeight="1">
      <c r="B130" s="96" t="e">
        <f t="shared" si="4"/>
        <v>#REF!</v>
      </c>
      <c r="C130" s="112">
        <v>42733</v>
      </c>
      <c r="D130" s="98" t="s">
        <v>1792</v>
      </c>
      <c r="E130" s="98">
        <v>7600951</v>
      </c>
      <c r="F130" s="113" t="s">
        <v>1781</v>
      </c>
      <c r="G130" s="100" t="s">
        <v>464</v>
      </c>
      <c r="H130" s="101" t="s">
        <v>1791</v>
      </c>
      <c r="I130" s="98" t="s">
        <v>1792</v>
      </c>
      <c r="J130" s="102">
        <v>2</v>
      </c>
      <c r="K130" s="103" t="s">
        <v>1784</v>
      </c>
      <c r="L130" s="124">
        <v>3</v>
      </c>
      <c r="M130" s="218" t="s">
        <v>1638</v>
      </c>
      <c r="N130" s="106" t="str">
        <f t="shared" si="3"/>
        <v>23</v>
      </c>
      <c r="O130" s="107"/>
      <c r="P130" s="114" t="s">
        <v>1783</v>
      </c>
      <c r="Q130" s="107"/>
      <c r="R130" s="115" t="s">
        <v>1658</v>
      </c>
      <c r="S130" s="302" t="s">
        <v>1579</v>
      </c>
      <c r="T130" s="92" t="s">
        <v>1577</v>
      </c>
      <c r="U130" s="110"/>
      <c r="V130" s="94" t="s">
        <v>1658</v>
      </c>
      <c r="W130" s="107"/>
      <c r="X130" s="117">
        <v>7600033</v>
      </c>
      <c r="Y130" s="109" t="s">
        <v>1658</v>
      </c>
      <c r="Z130" s="98" t="s">
        <v>1792</v>
      </c>
      <c r="AA130" s="103" t="s">
        <v>1784</v>
      </c>
      <c r="AB130" s="218" t="s">
        <v>1638</v>
      </c>
      <c r="AC130" s="110" t="s">
        <v>1678</v>
      </c>
      <c r="AH130" s="88" t="s">
        <v>1778</v>
      </c>
      <c r="AI130" s="88" t="s">
        <v>1779</v>
      </c>
    </row>
    <row r="131" spans="1:55" ht="17.45" customHeight="1">
      <c r="B131" s="96" t="e">
        <f t="shared" si="4"/>
        <v>#REF!</v>
      </c>
      <c r="C131" s="112">
        <v>39973</v>
      </c>
      <c r="D131" s="98" t="s">
        <v>2148</v>
      </c>
      <c r="E131" s="98">
        <v>7600917</v>
      </c>
      <c r="F131" s="113" t="s">
        <v>2143</v>
      </c>
      <c r="G131" s="100" t="s">
        <v>542</v>
      </c>
      <c r="H131" s="101" t="s">
        <v>2117</v>
      </c>
      <c r="I131" s="98" t="s">
        <v>2148</v>
      </c>
      <c r="J131" s="102">
        <v>2</v>
      </c>
      <c r="K131" s="103" t="s">
        <v>1784</v>
      </c>
      <c r="L131" s="124">
        <v>2</v>
      </c>
      <c r="M131" s="218" t="s">
        <v>1634</v>
      </c>
      <c r="N131" s="106" t="str">
        <f t="shared" si="3"/>
        <v>22</v>
      </c>
      <c r="O131" s="107"/>
      <c r="P131" s="114" t="s">
        <v>2144</v>
      </c>
      <c r="Q131" s="107"/>
      <c r="R131" s="115" t="s">
        <v>1660</v>
      </c>
      <c r="S131" s="302" t="s">
        <v>1580</v>
      </c>
      <c r="T131" s="92" t="s">
        <v>1580</v>
      </c>
      <c r="U131" s="110"/>
      <c r="V131" s="94" t="s">
        <v>1660</v>
      </c>
      <c r="W131" s="107"/>
      <c r="X131" s="117">
        <v>7600528</v>
      </c>
      <c r="Y131" s="109" t="s">
        <v>1660</v>
      </c>
      <c r="Z131" s="98" t="s">
        <v>2148</v>
      </c>
      <c r="AA131" s="103" t="s">
        <v>1784</v>
      </c>
      <c r="AB131" s="218" t="s">
        <v>1634</v>
      </c>
      <c r="AC131" s="155"/>
      <c r="AH131" s="88" t="s">
        <v>1778</v>
      </c>
      <c r="AI131" s="88" t="s">
        <v>1779</v>
      </c>
    </row>
    <row r="132" spans="1:55" ht="17.45" customHeight="1">
      <c r="B132" s="96" t="e">
        <f t="shared" si="4"/>
        <v>#REF!</v>
      </c>
      <c r="C132" s="112">
        <v>39973</v>
      </c>
      <c r="D132" s="98" t="s">
        <v>2146</v>
      </c>
      <c r="E132" s="98">
        <v>7600916</v>
      </c>
      <c r="F132" s="113" t="s">
        <v>2143</v>
      </c>
      <c r="G132" s="100" t="s">
        <v>546</v>
      </c>
      <c r="H132" s="101" t="s">
        <v>2117</v>
      </c>
      <c r="I132" s="98" t="s">
        <v>2146</v>
      </c>
      <c r="J132" s="102">
        <v>2</v>
      </c>
      <c r="K132" s="103" t="s">
        <v>1784</v>
      </c>
      <c r="L132" s="124">
        <v>2</v>
      </c>
      <c r="M132" s="218" t="s">
        <v>1634</v>
      </c>
      <c r="N132" s="106" t="str">
        <f t="shared" si="3"/>
        <v>22</v>
      </c>
      <c r="O132" s="107"/>
      <c r="P132" s="114" t="s">
        <v>2144</v>
      </c>
      <c r="Q132" s="107"/>
      <c r="R132" s="115" t="s">
        <v>1660</v>
      </c>
      <c r="S132" s="302" t="s">
        <v>1580</v>
      </c>
      <c r="T132" s="92" t="s">
        <v>1580</v>
      </c>
      <c r="U132" s="110"/>
      <c r="V132" s="94" t="s">
        <v>1660</v>
      </c>
      <c r="W132" s="107"/>
      <c r="X132" s="117">
        <v>7600528</v>
      </c>
      <c r="Y132" s="109" t="s">
        <v>1660</v>
      </c>
      <c r="Z132" s="98" t="s">
        <v>2146</v>
      </c>
      <c r="AA132" s="103" t="s">
        <v>1784</v>
      </c>
      <c r="AB132" s="218" t="s">
        <v>1634</v>
      </c>
      <c r="AC132" s="155"/>
      <c r="AH132" s="88" t="s">
        <v>1778</v>
      </c>
      <c r="AI132" s="88" t="s">
        <v>1779</v>
      </c>
    </row>
    <row r="133" spans="1:55" ht="17.45" customHeight="1">
      <c r="B133" s="96" t="e">
        <f t="shared" si="4"/>
        <v>#REF!</v>
      </c>
      <c r="C133" s="112">
        <v>40294</v>
      </c>
      <c r="D133" s="98" t="s">
        <v>2144</v>
      </c>
      <c r="E133" s="98">
        <v>7600528</v>
      </c>
      <c r="F133" s="113" t="s">
        <v>2143</v>
      </c>
      <c r="G133" s="100" t="s">
        <v>498</v>
      </c>
      <c r="H133" s="101" t="s">
        <v>2117</v>
      </c>
      <c r="I133" s="98" t="s">
        <v>2144</v>
      </c>
      <c r="J133" s="102">
        <v>2</v>
      </c>
      <c r="K133" s="103" t="s">
        <v>1784</v>
      </c>
      <c r="L133" s="124">
        <v>2</v>
      </c>
      <c r="M133" s="218" t="s">
        <v>1634</v>
      </c>
      <c r="N133" s="106" t="str">
        <f t="shared" ref="N133:N196" si="5">J133&amp;L133</f>
        <v>22</v>
      </c>
      <c r="O133" s="107"/>
      <c r="P133" s="114" t="s">
        <v>2144</v>
      </c>
      <c r="Q133" s="107"/>
      <c r="R133" s="115" t="s">
        <v>1660</v>
      </c>
      <c r="S133" s="302" t="s">
        <v>1580</v>
      </c>
      <c r="T133" s="92" t="s">
        <v>1580</v>
      </c>
      <c r="U133" s="110"/>
      <c r="V133" s="94" t="s">
        <v>1660</v>
      </c>
      <c r="W133" s="107"/>
      <c r="X133" s="117">
        <v>7600528</v>
      </c>
      <c r="Y133" s="109" t="s">
        <v>1660</v>
      </c>
      <c r="Z133" s="98" t="s">
        <v>2144</v>
      </c>
      <c r="AA133" s="103" t="s">
        <v>1784</v>
      </c>
      <c r="AB133" s="218" t="s">
        <v>1634</v>
      </c>
      <c r="AC133" s="155"/>
      <c r="AH133" s="88" t="s">
        <v>1778</v>
      </c>
      <c r="AI133" s="88" t="s">
        <v>1779</v>
      </c>
    </row>
    <row r="134" spans="1:55" ht="17.45" customHeight="1">
      <c r="B134" s="96" t="e">
        <f t="shared" si="4"/>
        <v>#REF!</v>
      </c>
      <c r="C134" s="112">
        <v>40698</v>
      </c>
      <c r="D134" s="98" t="s">
        <v>2145</v>
      </c>
      <c r="E134" s="98">
        <v>7600584</v>
      </c>
      <c r="F134" s="113" t="s">
        <v>2143</v>
      </c>
      <c r="G134" s="100" t="s">
        <v>504</v>
      </c>
      <c r="H134" s="101" t="s">
        <v>2117</v>
      </c>
      <c r="I134" s="98" t="s">
        <v>2145</v>
      </c>
      <c r="J134" s="102">
        <v>2</v>
      </c>
      <c r="K134" s="103" t="s">
        <v>1784</v>
      </c>
      <c r="L134" s="124">
        <v>2</v>
      </c>
      <c r="M134" s="218" t="s">
        <v>1634</v>
      </c>
      <c r="N134" s="106" t="str">
        <f t="shared" si="5"/>
        <v>22</v>
      </c>
      <c r="O134" s="107"/>
      <c r="P134" s="114" t="s">
        <v>2144</v>
      </c>
      <c r="Q134" s="107"/>
      <c r="R134" s="115" t="s">
        <v>1660</v>
      </c>
      <c r="S134" s="302" t="s">
        <v>1580</v>
      </c>
      <c r="T134" s="92" t="s">
        <v>1580</v>
      </c>
      <c r="U134" s="110"/>
      <c r="V134" s="94" t="s">
        <v>1660</v>
      </c>
      <c r="W134" s="107"/>
      <c r="X134" s="117">
        <v>7600528</v>
      </c>
      <c r="Y134" s="109" t="s">
        <v>1660</v>
      </c>
      <c r="Z134" s="98" t="s">
        <v>2145</v>
      </c>
      <c r="AA134" s="103" t="s">
        <v>1784</v>
      </c>
      <c r="AB134" s="218" t="s">
        <v>1634</v>
      </c>
      <c r="AC134" s="155"/>
      <c r="AH134" s="88" t="s">
        <v>1778</v>
      </c>
      <c r="AI134" s="88" t="s">
        <v>1779</v>
      </c>
    </row>
    <row r="135" spans="1:55" ht="17.45" customHeight="1">
      <c r="B135" s="96" t="e">
        <f t="shared" si="4"/>
        <v>#REF!</v>
      </c>
      <c r="C135" s="112">
        <v>35770</v>
      </c>
      <c r="D135" s="98" t="s">
        <v>1841</v>
      </c>
      <c r="E135" s="98">
        <v>7600922</v>
      </c>
      <c r="F135" s="113" t="s">
        <v>1835</v>
      </c>
      <c r="G135" s="100" t="s">
        <v>430</v>
      </c>
      <c r="H135" s="101" t="s">
        <v>2197</v>
      </c>
      <c r="I135" s="98" t="s">
        <v>1841</v>
      </c>
      <c r="J135" s="102">
        <v>2</v>
      </c>
      <c r="K135" s="103" t="s">
        <v>1784</v>
      </c>
      <c r="L135" s="124">
        <v>1</v>
      </c>
      <c r="M135" s="218" t="s">
        <v>1628</v>
      </c>
      <c r="N135" s="106" t="str">
        <f t="shared" si="5"/>
        <v>21</v>
      </c>
      <c r="O135" s="107"/>
      <c r="P135" s="114" t="s">
        <v>1836</v>
      </c>
      <c r="Q135" s="107"/>
      <c r="R135" s="115" t="s">
        <v>1659</v>
      </c>
      <c r="S135" s="302" t="s">
        <v>1582</v>
      </c>
      <c r="T135" s="92" t="s">
        <v>1582</v>
      </c>
      <c r="U135" s="110"/>
      <c r="V135" s="94" t="s">
        <v>1659</v>
      </c>
      <c r="W135" s="107"/>
      <c r="X135" s="117">
        <v>7600549</v>
      </c>
      <c r="Y135" s="109" t="s">
        <v>1659</v>
      </c>
      <c r="Z135" s="98" t="s">
        <v>1841</v>
      </c>
      <c r="AA135" s="103" t="s">
        <v>1784</v>
      </c>
      <c r="AB135" s="218" t="s">
        <v>1628</v>
      </c>
      <c r="AC135" s="110" t="s">
        <v>1614</v>
      </c>
      <c r="AH135" s="88" t="s">
        <v>1778</v>
      </c>
      <c r="AI135" s="88" t="s">
        <v>1779</v>
      </c>
    </row>
    <row r="136" spans="1:55" ht="17.45" customHeight="1">
      <c r="B136" s="96" t="e">
        <f t="shared" si="4"/>
        <v>#REF!</v>
      </c>
      <c r="C136" s="112">
        <v>35934</v>
      </c>
      <c r="D136" s="98" t="s">
        <v>1844</v>
      </c>
      <c r="E136" s="98">
        <v>7600929</v>
      </c>
      <c r="F136" s="113" t="s">
        <v>1835</v>
      </c>
      <c r="G136" s="100" t="s">
        <v>433</v>
      </c>
      <c r="H136" s="101" t="s">
        <v>2197</v>
      </c>
      <c r="I136" s="98" t="s">
        <v>1844</v>
      </c>
      <c r="J136" s="102">
        <v>2</v>
      </c>
      <c r="K136" s="103" t="s">
        <v>1784</v>
      </c>
      <c r="L136" s="124">
        <v>1</v>
      </c>
      <c r="M136" s="218" t="s">
        <v>1628</v>
      </c>
      <c r="N136" s="106" t="str">
        <f t="shared" si="5"/>
        <v>21</v>
      </c>
      <c r="O136" s="107"/>
      <c r="P136" s="114" t="s">
        <v>1836</v>
      </c>
      <c r="Q136" s="107"/>
      <c r="R136" s="115" t="s">
        <v>1659</v>
      </c>
      <c r="S136" s="302" t="s">
        <v>1582</v>
      </c>
      <c r="T136" s="92" t="s">
        <v>1582</v>
      </c>
      <c r="U136" s="110"/>
      <c r="V136" s="94" t="s">
        <v>1659</v>
      </c>
      <c r="W136" s="107"/>
      <c r="X136" s="117">
        <v>7600549</v>
      </c>
      <c r="Y136" s="109" t="s">
        <v>1659</v>
      </c>
      <c r="Z136" s="98" t="s">
        <v>1844</v>
      </c>
      <c r="AA136" s="103" t="s">
        <v>1784</v>
      </c>
      <c r="AB136" s="218" t="s">
        <v>1628</v>
      </c>
      <c r="AC136" s="110" t="s">
        <v>1741</v>
      </c>
      <c r="AH136" s="88" t="s">
        <v>1778</v>
      </c>
      <c r="AI136" s="88" t="s">
        <v>1779</v>
      </c>
    </row>
    <row r="137" spans="1:55" ht="17.45" customHeight="1">
      <c r="B137" s="96" t="e">
        <f t="shared" si="4"/>
        <v>#REF!</v>
      </c>
      <c r="C137" s="112">
        <v>40455</v>
      </c>
      <c r="D137" s="98" t="s">
        <v>1836</v>
      </c>
      <c r="E137" s="98">
        <v>7600549</v>
      </c>
      <c r="F137" s="113" t="s">
        <v>1835</v>
      </c>
      <c r="G137" s="100" t="s">
        <v>410</v>
      </c>
      <c r="H137" s="101" t="s">
        <v>2194</v>
      </c>
      <c r="I137" s="98" t="s">
        <v>1836</v>
      </c>
      <c r="J137" s="102">
        <v>2</v>
      </c>
      <c r="K137" s="103" t="s">
        <v>1784</v>
      </c>
      <c r="L137" s="124">
        <v>1</v>
      </c>
      <c r="M137" s="218" t="s">
        <v>1628</v>
      </c>
      <c r="N137" s="106" t="str">
        <f t="shared" si="5"/>
        <v>21</v>
      </c>
      <c r="O137" s="107"/>
      <c r="P137" s="114" t="s">
        <v>1836</v>
      </c>
      <c r="Q137" s="107"/>
      <c r="R137" s="115" t="s">
        <v>1659</v>
      </c>
      <c r="S137" s="302" t="s">
        <v>1582</v>
      </c>
      <c r="T137" s="92" t="s">
        <v>1582</v>
      </c>
      <c r="U137" s="110"/>
      <c r="V137" s="94" t="s">
        <v>1659</v>
      </c>
      <c r="W137" s="107"/>
      <c r="X137" s="117">
        <v>7600549</v>
      </c>
      <c r="Y137" s="109" t="s">
        <v>1659</v>
      </c>
      <c r="Z137" s="98" t="s">
        <v>1836</v>
      </c>
      <c r="AA137" s="103" t="s">
        <v>1784</v>
      </c>
      <c r="AB137" s="218" t="s">
        <v>1628</v>
      </c>
      <c r="AC137" s="110" t="s">
        <v>1717</v>
      </c>
      <c r="AH137" s="88" t="s">
        <v>1778</v>
      </c>
      <c r="AI137" s="88" t="s">
        <v>1779</v>
      </c>
    </row>
    <row r="138" spans="1:55" ht="17.45" customHeight="1">
      <c r="B138" s="96" t="e">
        <f t="shared" si="4"/>
        <v>#REF!</v>
      </c>
      <c r="C138" s="112">
        <v>36648</v>
      </c>
      <c r="D138" s="98" t="s">
        <v>1842</v>
      </c>
      <c r="E138" s="98">
        <v>7600939</v>
      </c>
      <c r="F138" s="113" t="s">
        <v>1835</v>
      </c>
      <c r="G138" s="100" t="s">
        <v>435</v>
      </c>
      <c r="H138" s="101" t="s">
        <v>2197</v>
      </c>
      <c r="I138" s="98" t="s">
        <v>1842</v>
      </c>
      <c r="J138" s="102">
        <v>2</v>
      </c>
      <c r="K138" s="103" t="s">
        <v>1784</v>
      </c>
      <c r="L138" s="124">
        <v>1</v>
      </c>
      <c r="M138" s="218" t="s">
        <v>1628</v>
      </c>
      <c r="N138" s="106" t="str">
        <f t="shared" si="5"/>
        <v>21</v>
      </c>
      <c r="O138" s="107"/>
      <c r="P138" s="114" t="s">
        <v>1836</v>
      </c>
      <c r="Q138" s="107"/>
      <c r="R138" s="115" t="s">
        <v>1659</v>
      </c>
      <c r="S138" s="302" t="s">
        <v>1582</v>
      </c>
      <c r="T138" s="92" t="s">
        <v>1582</v>
      </c>
      <c r="U138" s="110"/>
      <c r="V138" s="94" t="s">
        <v>1659</v>
      </c>
      <c r="W138" s="107"/>
      <c r="X138" s="117">
        <v>7600549</v>
      </c>
      <c r="Y138" s="109" t="s">
        <v>1659</v>
      </c>
      <c r="Z138" s="98" t="s">
        <v>1842</v>
      </c>
      <c r="AA138" s="103" t="s">
        <v>1784</v>
      </c>
      <c r="AB138" s="218" t="s">
        <v>1628</v>
      </c>
      <c r="AC138" s="110" t="s">
        <v>1739</v>
      </c>
      <c r="AH138" s="88" t="s">
        <v>1778</v>
      </c>
      <c r="AI138" s="88" t="s">
        <v>1779</v>
      </c>
    </row>
    <row r="139" spans="1:55" ht="17.45" customHeight="1">
      <c r="B139" s="96" t="e">
        <f t="shared" si="4"/>
        <v>#REF!</v>
      </c>
      <c r="C139" s="112" t="s">
        <v>2192</v>
      </c>
      <c r="D139" s="98" t="s">
        <v>1840</v>
      </c>
      <c r="E139" s="98">
        <v>7600819</v>
      </c>
      <c r="F139" s="113" t="s">
        <v>1835</v>
      </c>
      <c r="G139" s="100" t="s">
        <v>416</v>
      </c>
      <c r="H139" s="101" t="s">
        <v>2194</v>
      </c>
      <c r="I139" s="98" t="s">
        <v>1840</v>
      </c>
      <c r="J139" s="102">
        <v>2</v>
      </c>
      <c r="K139" s="103" t="s">
        <v>1784</v>
      </c>
      <c r="L139" s="124">
        <v>1</v>
      </c>
      <c r="M139" s="218" t="s">
        <v>1628</v>
      </c>
      <c r="N139" s="106" t="str">
        <f t="shared" si="5"/>
        <v>21</v>
      </c>
      <c r="O139" s="107"/>
      <c r="P139" s="114" t="s">
        <v>1836</v>
      </c>
      <c r="Q139" s="107"/>
      <c r="R139" s="115" t="s">
        <v>1659</v>
      </c>
      <c r="S139" s="302" t="s">
        <v>1582</v>
      </c>
      <c r="T139" s="92" t="s">
        <v>1582</v>
      </c>
      <c r="U139" s="110"/>
      <c r="V139" s="94" t="s">
        <v>1659</v>
      </c>
      <c r="W139" s="107"/>
      <c r="X139" s="117">
        <v>7600549</v>
      </c>
      <c r="Y139" s="109" t="s">
        <v>1659</v>
      </c>
      <c r="Z139" s="98" t="s">
        <v>1840</v>
      </c>
      <c r="AA139" s="103" t="s">
        <v>1784</v>
      </c>
      <c r="AB139" s="218" t="s">
        <v>1628</v>
      </c>
      <c r="AC139" s="110" t="s">
        <v>1681</v>
      </c>
      <c r="AH139" s="88" t="s">
        <v>1778</v>
      </c>
      <c r="AI139" s="88" t="s">
        <v>1779</v>
      </c>
    </row>
    <row r="140" spans="1:55" ht="17.45" customHeight="1">
      <c r="B140" s="96" t="e">
        <f t="shared" si="4"/>
        <v>#REF!</v>
      </c>
      <c r="C140" s="112" t="s">
        <v>2203</v>
      </c>
      <c r="D140" s="98" t="s">
        <v>1838</v>
      </c>
      <c r="E140" s="98">
        <v>7600817</v>
      </c>
      <c r="F140" s="113" t="s">
        <v>1835</v>
      </c>
      <c r="G140" s="100" t="s">
        <v>419</v>
      </c>
      <c r="H140" s="101" t="s">
        <v>2194</v>
      </c>
      <c r="I140" s="98" t="s">
        <v>1838</v>
      </c>
      <c r="J140" s="102">
        <v>2</v>
      </c>
      <c r="K140" s="103" t="s">
        <v>1784</v>
      </c>
      <c r="L140" s="124">
        <v>1</v>
      </c>
      <c r="M140" s="218" t="s">
        <v>1628</v>
      </c>
      <c r="N140" s="106" t="str">
        <f t="shared" si="5"/>
        <v>21</v>
      </c>
      <c r="O140" s="107"/>
      <c r="P140" s="114" t="s">
        <v>1836</v>
      </c>
      <c r="Q140" s="107"/>
      <c r="R140" s="115" t="s">
        <v>1659</v>
      </c>
      <c r="S140" s="302" t="s">
        <v>1582</v>
      </c>
      <c r="T140" s="92" t="s">
        <v>1582</v>
      </c>
      <c r="U140" s="110"/>
      <c r="V140" s="94" t="s">
        <v>1659</v>
      </c>
      <c r="W140" s="107"/>
      <c r="X140" s="117">
        <v>7600549</v>
      </c>
      <c r="Y140" s="109" t="s">
        <v>1659</v>
      </c>
      <c r="Z140" s="98" t="s">
        <v>1838</v>
      </c>
      <c r="AA140" s="103" t="s">
        <v>1784</v>
      </c>
      <c r="AB140" s="218" t="s">
        <v>1628</v>
      </c>
      <c r="AC140" s="93" t="s">
        <v>1597</v>
      </c>
      <c r="AH140" s="88" t="s">
        <v>1778</v>
      </c>
      <c r="AI140" s="88" t="s">
        <v>1779</v>
      </c>
    </row>
    <row r="141" spans="1:55" ht="17.45" customHeight="1">
      <c r="B141" s="96" t="e">
        <f t="shared" si="4"/>
        <v>#REF!</v>
      </c>
      <c r="C141" s="112">
        <v>40999</v>
      </c>
      <c r="D141" s="98" t="s">
        <v>1837</v>
      </c>
      <c r="E141" s="98">
        <v>7600618</v>
      </c>
      <c r="F141" s="99" t="s">
        <v>1835</v>
      </c>
      <c r="G141" s="100" t="s">
        <v>422</v>
      </c>
      <c r="H141" s="101" t="s">
        <v>2194</v>
      </c>
      <c r="I141" s="98" t="s">
        <v>1837</v>
      </c>
      <c r="J141" s="102">
        <v>2</v>
      </c>
      <c r="K141" s="103" t="s">
        <v>1784</v>
      </c>
      <c r="L141" s="124">
        <v>1</v>
      </c>
      <c r="M141" s="218" t="s">
        <v>1628</v>
      </c>
      <c r="N141" s="106" t="str">
        <f t="shared" si="5"/>
        <v>21</v>
      </c>
      <c r="O141" s="107"/>
      <c r="P141" s="114" t="s">
        <v>1836</v>
      </c>
      <c r="Q141" s="107"/>
      <c r="R141" s="115" t="s">
        <v>1659</v>
      </c>
      <c r="S141" s="302" t="s">
        <v>1582</v>
      </c>
      <c r="T141" s="92" t="s">
        <v>1582</v>
      </c>
      <c r="U141" s="110"/>
      <c r="V141" s="94" t="s">
        <v>1659</v>
      </c>
      <c r="W141" s="107"/>
      <c r="X141" s="117">
        <v>7600549</v>
      </c>
      <c r="Y141" s="109" t="s">
        <v>1659</v>
      </c>
      <c r="Z141" s="98" t="s">
        <v>1837</v>
      </c>
      <c r="AA141" s="103" t="s">
        <v>1784</v>
      </c>
      <c r="AB141" s="218" t="s">
        <v>1628</v>
      </c>
      <c r="AC141" s="110" t="s">
        <v>1623</v>
      </c>
      <c r="AH141" s="88" t="s">
        <v>1778</v>
      </c>
      <c r="AI141" s="88" t="s">
        <v>1779</v>
      </c>
    </row>
    <row r="142" spans="1:55" s="166" customFormat="1" ht="17.45" customHeight="1">
      <c r="A142" s="56"/>
      <c r="B142" s="96" t="e">
        <f t="shared" si="4"/>
        <v>#REF!</v>
      </c>
      <c r="C142" s="112">
        <v>41351</v>
      </c>
      <c r="D142" s="98" t="s">
        <v>2293</v>
      </c>
      <c r="E142" s="98">
        <v>7600931</v>
      </c>
      <c r="F142" s="113" t="s">
        <v>1835</v>
      </c>
      <c r="G142" s="100" t="s">
        <v>438</v>
      </c>
      <c r="H142" s="101" t="s">
        <v>2194</v>
      </c>
      <c r="I142" s="98" t="s">
        <v>2293</v>
      </c>
      <c r="J142" s="288">
        <v>2</v>
      </c>
      <c r="K142" s="289" t="s">
        <v>1784</v>
      </c>
      <c r="L142" s="124">
        <v>1</v>
      </c>
      <c r="M142" s="218" t="s">
        <v>1628</v>
      </c>
      <c r="N142" s="106" t="str">
        <f t="shared" si="5"/>
        <v>21</v>
      </c>
      <c r="O142" s="107"/>
      <c r="P142" s="117" t="s">
        <v>1836</v>
      </c>
      <c r="Q142" s="107"/>
      <c r="R142" s="115" t="s">
        <v>1659</v>
      </c>
      <c r="S142" s="302" t="s">
        <v>1582</v>
      </c>
      <c r="T142" s="92" t="s">
        <v>1582</v>
      </c>
      <c r="U142" s="110"/>
      <c r="V142" s="94" t="s">
        <v>1659</v>
      </c>
      <c r="W142" s="107"/>
      <c r="X142" s="117">
        <v>7600549</v>
      </c>
      <c r="Y142" s="109" t="s">
        <v>1659</v>
      </c>
      <c r="Z142" s="98" t="s">
        <v>2293</v>
      </c>
      <c r="AA142" s="289" t="s">
        <v>1784</v>
      </c>
      <c r="AB142" s="218" t="s">
        <v>1628</v>
      </c>
      <c r="AC142" s="110" t="s">
        <v>2208</v>
      </c>
      <c r="AD142" s="129"/>
      <c r="AE142" s="74"/>
      <c r="AF142" s="74"/>
      <c r="AG142" s="74"/>
      <c r="AH142" s="88" t="s">
        <v>1778</v>
      </c>
      <c r="AI142" s="88" t="s">
        <v>1779</v>
      </c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</row>
    <row r="143" spans="1:55" ht="17.45" customHeight="1">
      <c r="B143" s="96" t="e">
        <f t="shared" si="4"/>
        <v>#REF!</v>
      </c>
      <c r="C143" s="112">
        <v>37225</v>
      </c>
      <c r="D143" s="98" t="s">
        <v>2084</v>
      </c>
      <c r="E143" s="98">
        <v>7600848</v>
      </c>
      <c r="F143" s="113" t="s">
        <v>2083</v>
      </c>
      <c r="G143" s="100" t="s">
        <v>694</v>
      </c>
      <c r="H143" s="101" t="s">
        <v>2095</v>
      </c>
      <c r="I143" s="98" t="s">
        <v>2084</v>
      </c>
      <c r="J143" s="102">
        <v>3</v>
      </c>
      <c r="K143" s="103" t="s">
        <v>1802</v>
      </c>
      <c r="L143" s="124">
        <v>1</v>
      </c>
      <c r="M143" s="218" t="s">
        <v>1661</v>
      </c>
      <c r="N143" s="106" t="str">
        <f t="shared" si="5"/>
        <v>31</v>
      </c>
      <c r="O143" s="107"/>
      <c r="P143" s="114" t="s">
        <v>2084</v>
      </c>
      <c r="Q143" s="107"/>
      <c r="R143" s="115" t="s">
        <v>1667</v>
      </c>
      <c r="S143" s="302" t="s">
        <v>1663</v>
      </c>
      <c r="T143" s="92" t="s">
        <v>1663</v>
      </c>
      <c r="U143" s="110"/>
      <c r="V143" s="94" t="s">
        <v>1667</v>
      </c>
      <c r="W143" s="107"/>
      <c r="X143" s="117">
        <v>7600848</v>
      </c>
      <c r="Y143" s="109" t="s">
        <v>1667</v>
      </c>
      <c r="Z143" s="98" t="s">
        <v>2084</v>
      </c>
      <c r="AA143" s="103" t="s">
        <v>1802</v>
      </c>
      <c r="AB143" s="218" t="s">
        <v>1661</v>
      </c>
      <c r="AC143" s="155"/>
      <c r="AH143" s="88" t="s">
        <v>1778</v>
      </c>
      <c r="AI143" s="88" t="s">
        <v>1779</v>
      </c>
    </row>
    <row r="144" spans="1:55" ht="17.45" customHeight="1">
      <c r="A144" s="166"/>
      <c r="B144" s="96" t="e">
        <f t="shared" si="4"/>
        <v>#REF!</v>
      </c>
      <c r="C144" s="112">
        <v>36686</v>
      </c>
      <c r="D144" s="98" t="s">
        <v>2086</v>
      </c>
      <c r="E144" s="98">
        <v>7600839</v>
      </c>
      <c r="F144" s="99" t="s">
        <v>2085</v>
      </c>
      <c r="G144" s="100" t="s">
        <v>585</v>
      </c>
      <c r="H144" s="101" t="s">
        <v>2098</v>
      </c>
      <c r="I144" s="98" t="s">
        <v>2086</v>
      </c>
      <c r="J144" s="102">
        <v>3</v>
      </c>
      <c r="K144" s="102" t="s">
        <v>1802</v>
      </c>
      <c r="L144" s="126">
        <v>1</v>
      </c>
      <c r="M144" s="218" t="s">
        <v>1661</v>
      </c>
      <c r="N144" s="106" t="str">
        <f t="shared" si="5"/>
        <v>31</v>
      </c>
      <c r="O144" s="107"/>
      <c r="P144" s="114" t="s">
        <v>2086</v>
      </c>
      <c r="Q144" s="107"/>
      <c r="R144" s="115" t="s">
        <v>1662</v>
      </c>
      <c r="S144" s="302" t="s">
        <v>1663</v>
      </c>
      <c r="T144" s="92" t="s">
        <v>1663</v>
      </c>
      <c r="U144" s="110"/>
      <c r="V144" s="94" t="s">
        <v>1662</v>
      </c>
      <c r="W144" s="107"/>
      <c r="X144" s="117">
        <v>7600839</v>
      </c>
      <c r="Y144" s="109" t="s">
        <v>1662</v>
      </c>
      <c r="Z144" s="98" t="s">
        <v>2086</v>
      </c>
      <c r="AA144" s="102" t="s">
        <v>1802</v>
      </c>
      <c r="AB144" s="218" t="s">
        <v>1661</v>
      </c>
      <c r="AC144" s="155"/>
      <c r="AH144" s="88" t="s">
        <v>1778</v>
      </c>
      <c r="AI144" s="88" t="s">
        <v>1779</v>
      </c>
      <c r="AJ144" s="166"/>
      <c r="AK144" s="166"/>
      <c r="AL144" s="166"/>
      <c r="AM144" s="166"/>
      <c r="AN144" s="166"/>
      <c r="AO144" s="166"/>
      <c r="AP144" s="166"/>
      <c r="AQ144" s="166"/>
      <c r="AR144" s="166"/>
      <c r="AS144" s="166"/>
      <c r="AT144" s="166"/>
      <c r="AU144" s="166"/>
      <c r="AV144" s="166"/>
      <c r="AW144" s="166"/>
      <c r="AX144" s="166"/>
      <c r="AY144" s="166"/>
      <c r="AZ144" s="166"/>
      <c r="BA144" s="166"/>
      <c r="BB144" s="166"/>
      <c r="BC144" s="166"/>
    </row>
    <row r="145" spans="2:35" ht="17.45" customHeight="1">
      <c r="B145" s="96" t="e">
        <f>#REF!+1</f>
        <v>#REF!</v>
      </c>
      <c r="C145" s="112">
        <v>38516</v>
      </c>
      <c r="D145" s="98" t="s">
        <v>2151</v>
      </c>
      <c r="E145" s="98">
        <v>7600832</v>
      </c>
      <c r="F145" s="113" t="s">
        <v>2149</v>
      </c>
      <c r="G145" s="100" t="s">
        <v>596</v>
      </c>
      <c r="H145" s="101" t="s">
        <v>2147</v>
      </c>
      <c r="I145" s="98" t="s">
        <v>2151</v>
      </c>
      <c r="J145" s="102">
        <v>3</v>
      </c>
      <c r="K145" s="103" t="s">
        <v>1802</v>
      </c>
      <c r="L145" s="124">
        <v>1</v>
      </c>
      <c r="M145" s="218" t="s">
        <v>1661</v>
      </c>
      <c r="N145" s="106" t="str">
        <f t="shared" si="5"/>
        <v>31</v>
      </c>
      <c r="O145" s="107"/>
      <c r="P145" s="114" t="s">
        <v>2151</v>
      </c>
      <c r="Q145" s="107"/>
      <c r="R145" s="115" t="s">
        <v>1665</v>
      </c>
      <c r="S145" s="302" t="s">
        <v>1663</v>
      </c>
      <c r="T145" s="92" t="s">
        <v>1663</v>
      </c>
      <c r="U145" s="110"/>
      <c r="V145" s="94" t="s">
        <v>1665</v>
      </c>
      <c r="W145" s="107"/>
      <c r="X145" s="117">
        <v>7600832</v>
      </c>
      <c r="Y145" s="109" t="s">
        <v>1665</v>
      </c>
      <c r="Z145" s="98" t="s">
        <v>2151</v>
      </c>
      <c r="AA145" s="103" t="s">
        <v>1802</v>
      </c>
      <c r="AB145" s="218" t="s">
        <v>1661</v>
      </c>
      <c r="AC145" s="155"/>
      <c r="AD145" s="166"/>
      <c r="AE145" s="166"/>
      <c r="AF145" s="166"/>
      <c r="AG145" s="166"/>
      <c r="AH145" s="88" t="s">
        <v>1778</v>
      </c>
      <c r="AI145" s="88" t="s">
        <v>1779</v>
      </c>
    </row>
    <row r="146" spans="2:35" ht="17.45" customHeight="1">
      <c r="B146" s="96" t="e">
        <f t="shared" ref="B146:B209" si="6">B145+1</f>
        <v>#REF!</v>
      </c>
      <c r="C146" s="112">
        <v>40087</v>
      </c>
      <c r="D146" s="98" t="s">
        <v>2223</v>
      </c>
      <c r="E146" s="98">
        <v>7600520</v>
      </c>
      <c r="F146" s="113" t="s">
        <v>2219</v>
      </c>
      <c r="G146" s="100" t="s">
        <v>601</v>
      </c>
      <c r="H146" s="101" t="s">
        <v>2215</v>
      </c>
      <c r="I146" s="98" t="s">
        <v>2223</v>
      </c>
      <c r="J146" s="102">
        <v>3</v>
      </c>
      <c r="K146" s="103" t="s">
        <v>1802</v>
      </c>
      <c r="L146" s="124">
        <v>1</v>
      </c>
      <c r="M146" s="218" t="s">
        <v>1661</v>
      </c>
      <c r="N146" s="106" t="str">
        <f t="shared" si="5"/>
        <v>31</v>
      </c>
      <c r="O146" s="107"/>
      <c r="P146" s="114" t="s">
        <v>2221</v>
      </c>
      <c r="Q146" s="107"/>
      <c r="R146" s="115" t="s">
        <v>1666</v>
      </c>
      <c r="S146" s="302" t="s">
        <v>1663</v>
      </c>
      <c r="T146" s="92" t="s">
        <v>1663</v>
      </c>
      <c r="U146" s="110"/>
      <c r="V146" s="94" t="s">
        <v>1666</v>
      </c>
      <c r="W146" s="107"/>
      <c r="X146" s="117">
        <v>7600520</v>
      </c>
      <c r="Y146" s="109" t="s">
        <v>1666</v>
      </c>
      <c r="Z146" s="98" t="s">
        <v>2223</v>
      </c>
      <c r="AA146" s="103" t="s">
        <v>1802</v>
      </c>
      <c r="AB146" s="218" t="s">
        <v>1661</v>
      </c>
      <c r="AC146" s="155"/>
      <c r="AH146" s="88" t="s">
        <v>1778</v>
      </c>
      <c r="AI146" s="88" t="s">
        <v>1779</v>
      </c>
    </row>
    <row r="147" spans="2:35" ht="17.45" customHeight="1">
      <c r="B147" s="96" t="e">
        <f t="shared" si="6"/>
        <v>#REF!</v>
      </c>
      <c r="C147" s="112">
        <v>37388</v>
      </c>
      <c r="D147" s="98" t="s">
        <v>2059</v>
      </c>
      <c r="E147" s="98">
        <v>7600312</v>
      </c>
      <c r="F147" s="113" t="s">
        <v>2055</v>
      </c>
      <c r="G147" s="100" t="s">
        <v>607</v>
      </c>
      <c r="H147" s="101" t="s">
        <v>2051</v>
      </c>
      <c r="I147" s="98" t="s">
        <v>2059</v>
      </c>
      <c r="J147" s="102">
        <v>3</v>
      </c>
      <c r="K147" s="103" t="s">
        <v>1802</v>
      </c>
      <c r="L147" s="124">
        <v>2</v>
      </c>
      <c r="M147" s="218" t="s">
        <v>1668</v>
      </c>
      <c r="N147" s="106" t="str">
        <f t="shared" si="5"/>
        <v>32</v>
      </c>
      <c r="O147" s="107"/>
      <c r="P147" s="114" t="s">
        <v>2056</v>
      </c>
      <c r="Q147" s="107"/>
      <c r="R147" s="115" t="s">
        <v>1671</v>
      </c>
      <c r="S147" s="302" t="s">
        <v>1585</v>
      </c>
      <c r="T147" s="92" t="s">
        <v>1577</v>
      </c>
      <c r="U147" s="110"/>
      <c r="V147" s="94" t="s">
        <v>1671</v>
      </c>
      <c r="W147" s="107"/>
      <c r="X147" s="117">
        <v>7600013</v>
      </c>
      <c r="Y147" s="109" t="s">
        <v>1671</v>
      </c>
      <c r="Z147" s="98" t="s">
        <v>2059</v>
      </c>
      <c r="AA147" s="103" t="s">
        <v>1802</v>
      </c>
      <c r="AB147" s="218" t="s">
        <v>1668</v>
      </c>
      <c r="AC147" s="155"/>
      <c r="AH147" s="88" t="s">
        <v>1778</v>
      </c>
      <c r="AI147" s="88" t="s">
        <v>1779</v>
      </c>
    </row>
    <row r="148" spans="2:35" ht="17.45" customHeight="1">
      <c r="B148" s="96" t="e">
        <f t="shared" si="6"/>
        <v>#REF!</v>
      </c>
      <c r="C148" s="112">
        <v>35466</v>
      </c>
      <c r="D148" s="98" t="s">
        <v>2056</v>
      </c>
      <c r="E148" s="98">
        <v>7600013</v>
      </c>
      <c r="F148" s="113" t="s">
        <v>2055</v>
      </c>
      <c r="G148" s="100" t="s">
        <v>614</v>
      </c>
      <c r="H148" s="101" t="s">
        <v>2051</v>
      </c>
      <c r="I148" s="98" t="s">
        <v>2056</v>
      </c>
      <c r="J148" s="102">
        <v>3</v>
      </c>
      <c r="K148" s="103" t="s">
        <v>1802</v>
      </c>
      <c r="L148" s="124">
        <v>2</v>
      </c>
      <c r="M148" s="218" t="s">
        <v>1668</v>
      </c>
      <c r="N148" s="106" t="str">
        <f t="shared" si="5"/>
        <v>32</v>
      </c>
      <c r="O148" s="107"/>
      <c r="P148" s="114" t="s">
        <v>2056</v>
      </c>
      <c r="Q148" s="107"/>
      <c r="R148" s="115" t="s">
        <v>1671</v>
      </c>
      <c r="S148" s="302" t="s">
        <v>1585</v>
      </c>
      <c r="T148" s="92" t="s">
        <v>1577</v>
      </c>
      <c r="U148" s="110"/>
      <c r="V148" s="94" t="s">
        <v>1671</v>
      </c>
      <c r="W148" s="107"/>
      <c r="X148" s="117">
        <v>7600013</v>
      </c>
      <c r="Y148" s="109" t="s">
        <v>1671</v>
      </c>
      <c r="Z148" s="98" t="s">
        <v>2056</v>
      </c>
      <c r="AA148" s="103" t="s">
        <v>1802</v>
      </c>
      <c r="AB148" s="218" t="s">
        <v>1668</v>
      </c>
      <c r="AC148" s="155"/>
      <c r="AH148" s="88" t="s">
        <v>1778</v>
      </c>
      <c r="AI148" s="88" t="s">
        <v>1779</v>
      </c>
    </row>
    <row r="149" spans="2:35" ht="17.45" customHeight="1">
      <c r="B149" s="96" t="e">
        <f t="shared" si="6"/>
        <v>#REF!</v>
      </c>
      <c r="C149" s="112">
        <v>40183</v>
      </c>
      <c r="D149" s="98" t="s">
        <v>2061</v>
      </c>
      <c r="E149" s="98">
        <v>7600526</v>
      </c>
      <c r="F149" s="113" t="s">
        <v>2055</v>
      </c>
      <c r="G149" s="100" t="s">
        <v>618</v>
      </c>
      <c r="H149" s="101" t="s">
        <v>2051</v>
      </c>
      <c r="I149" s="98" t="s">
        <v>2061</v>
      </c>
      <c r="J149" s="102">
        <v>3</v>
      </c>
      <c r="K149" s="103" t="s">
        <v>1802</v>
      </c>
      <c r="L149" s="124">
        <v>2</v>
      </c>
      <c r="M149" s="218" t="s">
        <v>1668</v>
      </c>
      <c r="N149" s="106" t="str">
        <f t="shared" si="5"/>
        <v>32</v>
      </c>
      <c r="O149" s="107"/>
      <c r="P149" s="114" t="s">
        <v>2056</v>
      </c>
      <c r="Q149" s="107"/>
      <c r="R149" s="115" t="s">
        <v>1671</v>
      </c>
      <c r="S149" s="302" t="s">
        <v>1585</v>
      </c>
      <c r="T149" s="92" t="s">
        <v>1577</v>
      </c>
      <c r="U149" s="110"/>
      <c r="V149" s="94" t="s">
        <v>1671</v>
      </c>
      <c r="W149" s="107"/>
      <c r="X149" s="117">
        <v>7600013</v>
      </c>
      <c r="Y149" s="109" t="s">
        <v>1671</v>
      </c>
      <c r="Z149" s="98" t="s">
        <v>2061</v>
      </c>
      <c r="AA149" s="103" t="s">
        <v>1802</v>
      </c>
      <c r="AB149" s="218" t="s">
        <v>1668</v>
      </c>
      <c r="AC149" s="155"/>
      <c r="AH149" s="88" t="s">
        <v>1778</v>
      </c>
      <c r="AI149" s="88" t="s">
        <v>1779</v>
      </c>
    </row>
    <row r="150" spans="2:35" ht="17.45" customHeight="1">
      <c r="B150" s="96" t="e">
        <f t="shared" si="6"/>
        <v>#REF!</v>
      </c>
      <c r="C150" s="112">
        <v>36972</v>
      </c>
      <c r="D150" s="98" t="s">
        <v>2057</v>
      </c>
      <c r="E150" s="98">
        <v>7600213</v>
      </c>
      <c r="F150" s="99" t="s">
        <v>2055</v>
      </c>
      <c r="G150" s="100" t="s">
        <v>621</v>
      </c>
      <c r="H150" s="101" t="s">
        <v>2051</v>
      </c>
      <c r="I150" s="98" t="s">
        <v>2057</v>
      </c>
      <c r="J150" s="102">
        <v>3</v>
      </c>
      <c r="K150" s="102" t="s">
        <v>1802</v>
      </c>
      <c r="L150" s="126">
        <v>2</v>
      </c>
      <c r="M150" s="218" t="s">
        <v>1668</v>
      </c>
      <c r="N150" s="106" t="str">
        <f t="shared" si="5"/>
        <v>32</v>
      </c>
      <c r="O150" s="107"/>
      <c r="P150" s="114" t="s">
        <v>2056</v>
      </c>
      <c r="Q150" s="107"/>
      <c r="R150" s="115" t="s">
        <v>1671</v>
      </c>
      <c r="S150" s="302" t="s">
        <v>1585</v>
      </c>
      <c r="T150" s="92" t="s">
        <v>1577</v>
      </c>
      <c r="U150" s="110"/>
      <c r="V150" s="94" t="s">
        <v>1671</v>
      </c>
      <c r="W150" s="107"/>
      <c r="X150" s="117">
        <v>7600013</v>
      </c>
      <c r="Y150" s="109" t="s">
        <v>1671</v>
      </c>
      <c r="Z150" s="98" t="s">
        <v>2057</v>
      </c>
      <c r="AA150" s="102" t="s">
        <v>1802</v>
      </c>
      <c r="AB150" s="218" t="s">
        <v>1668</v>
      </c>
      <c r="AC150" s="155"/>
      <c r="AH150" s="88" t="s">
        <v>1778</v>
      </c>
      <c r="AI150" s="88" t="s">
        <v>1779</v>
      </c>
    </row>
    <row r="151" spans="2:35" ht="17.45" customHeight="1">
      <c r="B151" s="96" t="e">
        <f t="shared" si="6"/>
        <v>#REF!</v>
      </c>
      <c r="C151" s="112">
        <v>43172</v>
      </c>
      <c r="D151" s="98" t="s">
        <v>2177</v>
      </c>
      <c r="E151" s="98">
        <v>7600989</v>
      </c>
      <c r="F151" s="113" t="s">
        <v>2176</v>
      </c>
      <c r="G151" s="100" t="s">
        <v>779</v>
      </c>
      <c r="H151" s="101" t="s">
        <v>2167</v>
      </c>
      <c r="I151" s="98" t="s">
        <v>2177</v>
      </c>
      <c r="J151" s="102">
        <v>3</v>
      </c>
      <c r="K151" s="103" t="s">
        <v>1802</v>
      </c>
      <c r="L151" s="124">
        <v>2</v>
      </c>
      <c r="M151" s="218" t="s">
        <v>1668</v>
      </c>
      <c r="N151" s="106" t="str">
        <f t="shared" si="5"/>
        <v>32</v>
      </c>
      <c r="O151" s="107"/>
      <c r="P151" s="114" t="s">
        <v>2177</v>
      </c>
      <c r="Q151" s="107"/>
      <c r="R151" s="115" t="s">
        <v>1692</v>
      </c>
      <c r="S151" s="302" t="s">
        <v>1584</v>
      </c>
      <c r="T151" s="92" t="s">
        <v>1577</v>
      </c>
      <c r="U151" s="110"/>
      <c r="V151" s="94" t="s">
        <v>1692</v>
      </c>
      <c r="W151" s="107"/>
      <c r="X151" s="117">
        <v>7600989</v>
      </c>
      <c r="Y151" s="109" t="s">
        <v>1692</v>
      </c>
      <c r="Z151" s="98" t="s">
        <v>2177</v>
      </c>
      <c r="AA151" s="103" t="s">
        <v>1802</v>
      </c>
      <c r="AB151" s="218" t="s">
        <v>1668</v>
      </c>
      <c r="AC151" s="155"/>
      <c r="AH151" s="88" t="s">
        <v>1778</v>
      </c>
      <c r="AI151" s="88" t="s">
        <v>1779</v>
      </c>
    </row>
    <row r="152" spans="2:35" ht="17.45" customHeight="1">
      <c r="B152" s="96" t="e">
        <f t="shared" si="6"/>
        <v>#REF!</v>
      </c>
      <c r="C152" s="112">
        <v>44362</v>
      </c>
      <c r="D152" s="98" t="s">
        <v>2183</v>
      </c>
      <c r="E152" s="98">
        <v>7601160</v>
      </c>
      <c r="F152" s="113" t="s">
        <v>2182</v>
      </c>
      <c r="G152" s="100" t="s">
        <v>784</v>
      </c>
      <c r="H152" s="101" t="s">
        <v>2173</v>
      </c>
      <c r="I152" s="98" t="s">
        <v>2183</v>
      </c>
      <c r="J152" s="126">
        <v>3</v>
      </c>
      <c r="K152" s="124" t="s">
        <v>1802</v>
      </c>
      <c r="L152" s="124">
        <v>2</v>
      </c>
      <c r="M152" s="218" t="s">
        <v>1668</v>
      </c>
      <c r="N152" s="106" t="str">
        <f t="shared" si="5"/>
        <v>32</v>
      </c>
      <c r="O152" s="107"/>
      <c r="P152" s="167" t="s">
        <v>2183</v>
      </c>
      <c r="Q152" s="107"/>
      <c r="R152" s="115" t="s">
        <v>1693</v>
      </c>
      <c r="S152" s="302" t="s">
        <v>1583</v>
      </c>
      <c r="T152" s="92" t="s">
        <v>1577</v>
      </c>
      <c r="U152" s="110"/>
      <c r="V152" s="94" t="s">
        <v>1693</v>
      </c>
      <c r="W152" s="107"/>
      <c r="X152" s="211">
        <v>7601160</v>
      </c>
      <c r="Y152" s="109" t="s">
        <v>1693</v>
      </c>
      <c r="Z152" s="98" t="s">
        <v>2183</v>
      </c>
      <c r="AA152" s="124" t="s">
        <v>1802</v>
      </c>
      <c r="AB152" s="218" t="s">
        <v>1668</v>
      </c>
      <c r="AH152" s="88" t="s">
        <v>1778</v>
      </c>
      <c r="AI152" s="88" t="s">
        <v>1779</v>
      </c>
    </row>
    <row r="153" spans="2:35" ht="17.45" customHeight="1">
      <c r="B153" s="96" t="e">
        <f t="shared" si="6"/>
        <v>#REF!</v>
      </c>
      <c r="C153" s="112">
        <v>45442</v>
      </c>
      <c r="D153" s="98" t="s">
        <v>2188</v>
      </c>
      <c r="E153" s="98">
        <v>7601240</v>
      </c>
      <c r="F153" s="113" t="s">
        <v>2182</v>
      </c>
      <c r="G153" s="100" t="s">
        <v>791</v>
      </c>
      <c r="H153" s="101" t="s">
        <v>2173</v>
      </c>
      <c r="I153" s="98" t="s">
        <v>2188</v>
      </c>
      <c r="J153" s="126">
        <v>3</v>
      </c>
      <c r="K153" s="124" t="s">
        <v>1802</v>
      </c>
      <c r="L153" s="124">
        <v>2</v>
      </c>
      <c r="M153" s="218" t="s">
        <v>1668</v>
      </c>
      <c r="N153" s="106" t="str">
        <f t="shared" si="5"/>
        <v>32</v>
      </c>
      <c r="O153" s="107"/>
      <c r="P153" s="167" t="s">
        <v>2183</v>
      </c>
      <c r="Q153" s="107"/>
      <c r="R153" s="115" t="s">
        <v>1693</v>
      </c>
      <c r="S153" s="302" t="s">
        <v>1583</v>
      </c>
      <c r="T153" s="92" t="s">
        <v>1577</v>
      </c>
      <c r="U153" s="110"/>
      <c r="V153" s="94" t="s">
        <v>1693</v>
      </c>
      <c r="W153" s="107"/>
      <c r="X153" s="211">
        <v>7601160</v>
      </c>
      <c r="Y153" s="109" t="s">
        <v>1693</v>
      </c>
      <c r="Z153" s="98" t="s">
        <v>2188</v>
      </c>
      <c r="AA153" s="124" t="s">
        <v>1802</v>
      </c>
      <c r="AB153" s="218" t="s">
        <v>1668</v>
      </c>
      <c r="AH153" s="88" t="s">
        <v>1778</v>
      </c>
      <c r="AI153" s="88" t="s">
        <v>1779</v>
      </c>
    </row>
    <row r="154" spans="2:35" ht="17.45" customHeight="1">
      <c r="B154" s="96" t="e">
        <f t="shared" si="6"/>
        <v>#REF!</v>
      </c>
      <c r="C154" s="112">
        <v>41247</v>
      </c>
      <c r="D154" s="98" t="s">
        <v>2294</v>
      </c>
      <c r="E154" s="98">
        <v>7600770</v>
      </c>
      <c r="F154" s="113" t="s">
        <v>1978</v>
      </c>
      <c r="G154" s="100" t="s">
        <v>646</v>
      </c>
      <c r="H154" s="101" t="s">
        <v>1806</v>
      </c>
      <c r="I154" s="98" t="s">
        <v>2294</v>
      </c>
      <c r="J154" s="126">
        <v>3</v>
      </c>
      <c r="K154" s="124" t="s">
        <v>1802</v>
      </c>
      <c r="L154" s="124">
        <v>3</v>
      </c>
      <c r="M154" s="218" t="s">
        <v>1677</v>
      </c>
      <c r="N154" s="106" t="str">
        <f t="shared" si="5"/>
        <v>33</v>
      </c>
      <c r="O154" s="107"/>
      <c r="P154" s="114" t="s">
        <v>1980</v>
      </c>
      <c r="Q154" s="107"/>
      <c r="R154" s="115" t="s">
        <v>1681</v>
      </c>
      <c r="S154" s="302" t="s">
        <v>1583</v>
      </c>
      <c r="T154" s="92" t="s">
        <v>1583</v>
      </c>
      <c r="U154" s="110"/>
      <c r="V154" s="94" t="s">
        <v>1681</v>
      </c>
      <c r="W154" s="107"/>
      <c r="X154" s="117">
        <v>7600690</v>
      </c>
      <c r="Y154" s="109" t="s">
        <v>1681</v>
      </c>
      <c r="Z154" s="98" t="s">
        <v>2294</v>
      </c>
      <c r="AA154" s="124" t="s">
        <v>1802</v>
      </c>
      <c r="AB154" s="218" t="s">
        <v>1677</v>
      </c>
      <c r="AC154" s="155"/>
      <c r="AH154" s="88" t="s">
        <v>1778</v>
      </c>
      <c r="AI154" s="88" t="s">
        <v>1779</v>
      </c>
    </row>
    <row r="155" spans="2:35" ht="17.45" customHeight="1">
      <c r="B155" s="96" t="e">
        <f t="shared" si="6"/>
        <v>#REF!</v>
      </c>
      <c r="C155" s="112">
        <v>41600</v>
      </c>
      <c r="D155" s="98" t="s">
        <v>1980</v>
      </c>
      <c r="E155" s="98">
        <v>7600690</v>
      </c>
      <c r="F155" s="99" t="s">
        <v>1978</v>
      </c>
      <c r="G155" s="100" t="s">
        <v>652</v>
      </c>
      <c r="H155" s="101" t="s">
        <v>1806</v>
      </c>
      <c r="I155" s="98" t="s">
        <v>1980</v>
      </c>
      <c r="J155" s="102">
        <v>3</v>
      </c>
      <c r="K155" s="103" t="s">
        <v>1802</v>
      </c>
      <c r="L155" s="124">
        <v>3</v>
      </c>
      <c r="M155" s="218" t="s">
        <v>1677</v>
      </c>
      <c r="N155" s="106" t="str">
        <f t="shared" si="5"/>
        <v>33</v>
      </c>
      <c r="O155" s="107"/>
      <c r="P155" s="114" t="s">
        <v>1980</v>
      </c>
      <c r="Q155" s="107"/>
      <c r="R155" s="115" t="s">
        <v>1681</v>
      </c>
      <c r="S155" s="302" t="s">
        <v>1583</v>
      </c>
      <c r="T155" s="92" t="s">
        <v>1583</v>
      </c>
      <c r="U155" s="110"/>
      <c r="V155" s="94" t="s">
        <v>1681</v>
      </c>
      <c r="W155" s="107"/>
      <c r="X155" s="117">
        <v>7600690</v>
      </c>
      <c r="Y155" s="109" t="s">
        <v>1681</v>
      </c>
      <c r="Z155" s="98" t="s">
        <v>1980</v>
      </c>
      <c r="AA155" s="103" t="s">
        <v>1802</v>
      </c>
      <c r="AB155" s="218" t="s">
        <v>1677</v>
      </c>
      <c r="AC155" s="155"/>
      <c r="AH155" s="88" t="s">
        <v>1778</v>
      </c>
      <c r="AI155" s="88" t="s">
        <v>1779</v>
      </c>
    </row>
    <row r="156" spans="2:35" ht="17.45" customHeight="1">
      <c r="B156" s="96" t="e">
        <f t="shared" si="6"/>
        <v>#REF!</v>
      </c>
      <c r="C156" s="112">
        <v>41999</v>
      </c>
      <c r="D156" s="98" t="s">
        <v>1982</v>
      </c>
      <c r="E156" s="98">
        <v>7600820</v>
      </c>
      <c r="F156" s="99" t="s">
        <v>1978</v>
      </c>
      <c r="G156" s="100" t="s">
        <v>657</v>
      </c>
      <c r="H156" s="101" t="s">
        <v>1806</v>
      </c>
      <c r="I156" s="98" t="s">
        <v>1982</v>
      </c>
      <c r="J156" s="126">
        <v>3</v>
      </c>
      <c r="K156" s="124" t="s">
        <v>1802</v>
      </c>
      <c r="L156" s="124">
        <v>3</v>
      </c>
      <c r="M156" s="218" t="s">
        <v>1677</v>
      </c>
      <c r="N156" s="106" t="str">
        <f t="shared" si="5"/>
        <v>33</v>
      </c>
      <c r="O156" s="107"/>
      <c r="P156" s="114" t="s">
        <v>1980</v>
      </c>
      <c r="Q156" s="107"/>
      <c r="R156" s="115" t="s">
        <v>1681</v>
      </c>
      <c r="S156" s="302" t="s">
        <v>1583</v>
      </c>
      <c r="T156" s="92" t="s">
        <v>1583</v>
      </c>
      <c r="U156" s="110"/>
      <c r="V156" s="94" t="s">
        <v>1681</v>
      </c>
      <c r="W156" s="107"/>
      <c r="X156" s="117">
        <v>7600690</v>
      </c>
      <c r="Y156" s="109" t="s">
        <v>1681</v>
      </c>
      <c r="Z156" s="98" t="s">
        <v>1982</v>
      </c>
      <c r="AA156" s="124" t="s">
        <v>1802</v>
      </c>
      <c r="AB156" s="218" t="s">
        <v>1677</v>
      </c>
      <c r="AC156" s="155"/>
      <c r="AH156" s="88" t="s">
        <v>1778</v>
      </c>
      <c r="AI156" s="88" t="s">
        <v>1779</v>
      </c>
    </row>
    <row r="157" spans="2:35" ht="17.45" customHeight="1">
      <c r="B157" s="96" t="e">
        <f t="shared" si="6"/>
        <v>#REF!</v>
      </c>
      <c r="C157" s="112">
        <v>41989</v>
      </c>
      <c r="D157" s="98" t="s">
        <v>1981</v>
      </c>
      <c r="E157" s="98">
        <v>7600813</v>
      </c>
      <c r="F157" s="99" t="s">
        <v>1978</v>
      </c>
      <c r="G157" s="100" t="s">
        <v>662</v>
      </c>
      <c r="H157" s="101" t="s">
        <v>1806</v>
      </c>
      <c r="I157" s="98" t="s">
        <v>1981</v>
      </c>
      <c r="J157" s="126">
        <v>3</v>
      </c>
      <c r="K157" s="124" t="s">
        <v>1802</v>
      </c>
      <c r="L157" s="124">
        <v>3</v>
      </c>
      <c r="M157" s="218" t="s">
        <v>1677</v>
      </c>
      <c r="N157" s="106" t="str">
        <f t="shared" si="5"/>
        <v>33</v>
      </c>
      <c r="O157" s="107"/>
      <c r="P157" s="114" t="s">
        <v>1980</v>
      </c>
      <c r="Q157" s="107"/>
      <c r="R157" s="115" t="s">
        <v>1681</v>
      </c>
      <c r="S157" s="302" t="s">
        <v>1583</v>
      </c>
      <c r="T157" s="92" t="s">
        <v>1583</v>
      </c>
      <c r="U157" s="110"/>
      <c r="V157" s="94" t="s">
        <v>1681</v>
      </c>
      <c r="W157" s="107"/>
      <c r="X157" s="117">
        <v>7600690</v>
      </c>
      <c r="Y157" s="109" t="s">
        <v>1681</v>
      </c>
      <c r="Z157" s="98" t="s">
        <v>1981</v>
      </c>
      <c r="AA157" s="124" t="s">
        <v>1802</v>
      </c>
      <c r="AB157" s="218" t="s">
        <v>1677</v>
      </c>
      <c r="AC157" s="155"/>
      <c r="AH157" s="88" t="s">
        <v>1778</v>
      </c>
      <c r="AI157" s="88" t="s">
        <v>1779</v>
      </c>
    </row>
    <row r="158" spans="2:35" ht="17.45" customHeight="1">
      <c r="B158" s="96" t="e">
        <f t="shared" si="6"/>
        <v>#REF!</v>
      </c>
      <c r="C158" s="112">
        <v>42094</v>
      </c>
      <c r="D158" s="98" t="s">
        <v>1829</v>
      </c>
      <c r="E158" s="98">
        <v>7600878</v>
      </c>
      <c r="F158" s="113" t="s">
        <v>1824</v>
      </c>
      <c r="G158" s="100" t="s">
        <v>1156</v>
      </c>
      <c r="H158" s="101" t="s">
        <v>1839</v>
      </c>
      <c r="I158" s="98" t="s">
        <v>1829</v>
      </c>
      <c r="J158" s="126">
        <v>3</v>
      </c>
      <c r="K158" s="124" t="s">
        <v>1802</v>
      </c>
      <c r="L158" s="124">
        <v>3</v>
      </c>
      <c r="M158" s="218" t="s">
        <v>1677</v>
      </c>
      <c r="N158" s="106" t="str">
        <f t="shared" si="5"/>
        <v>33</v>
      </c>
      <c r="O158" s="107"/>
      <c r="P158" s="114" t="s">
        <v>1829</v>
      </c>
      <c r="Q158" s="107"/>
      <c r="R158" s="115" t="s">
        <v>1678</v>
      </c>
      <c r="S158" s="302" t="s">
        <v>1583</v>
      </c>
      <c r="T158" s="92" t="s">
        <v>1583</v>
      </c>
      <c r="U158" s="110"/>
      <c r="V158" s="94" t="s">
        <v>1678</v>
      </c>
      <c r="W158" s="107"/>
      <c r="X158" s="117">
        <v>7600878</v>
      </c>
      <c r="Y158" s="109" t="s">
        <v>1678</v>
      </c>
      <c r="Z158" s="98" t="s">
        <v>1829</v>
      </c>
      <c r="AA158" s="124" t="s">
        <v>1802</v>
      </c>
      <c r="AB158" s="218" t="s">
        <v>1677</v>
      </c>
      <c r="AC158" s="110" t="s">
        <v>1619</v>
      </c>
      <c r="AH158" s="88" t="s">
        <v>1778</v>
      </c>
      <c r="AI158" s="88" t="s">
        <v>1779</v>
      </c>
    </row>
    <row r="159" spans="2:35" ht="17.45" customHeight="1">
      <c r="B159" s="96" t="e">
        <f t="shared" si="6"/>
        <v>#REF!</v>
      </c>
      <c r="C159" s="112">
        <v>35468</v>
      </c>
      <c r="D159" s="98" t="s">
        <v>1830</v>
      </c>
      <c r="E159" s="98">
        <v>7601134</v>
      </c>
      <c r="F159" s="113" t="s">
        <v>1824</v>
      </c>
      <c r="G159" s="100" t="s">
        <v>666</v>
      </c>
      <c r="H159" s="101" t="s">
        <v>1839</v>
      </c>
      <c r="I159" s="98" t="s">
        <v>1830</v>
      </c>
      <c r="J159" s="126">
        <v>3</v>
      </c>
      <c r="K159" s="124" t="s">
        <v>1802</v>
      </c>
      <c r="L159" s="124">
        <v>3</v>
      </c>
      <c r="M159" s="218" t="s">
        <v>1677</v>
      </c>
      <c r="N159" s="106" t="str">
        <f t="shared" si="5"/>
        <v>33</v>
      </c>
      <c r="O159" s="107"/>
      <c r="P159" s="114" t="s">
        <v>1829</v>
      </c>
      <c r="Q159" s="107"/>
      <c r="R159" s="115" t="s">
        <v>1678</v>
      </c>
      <c r="S159" s="302" t="s">
        <v>1583</v>
      </c>
      <c r="T159" s="92" t="s">
        <v>1583</v>
      </c>
      <c r="U159" s="110"/>
      <c r="V159" s="94" t="s">
        <v>1678</v>
      </c>
      <c r="W159" s="107"/>
      <c r="X159" s="117">
        <v>7600878</v>
      </c>
      <c r="Y159" s="109" t="s">
        <v>1678</v>
      </c>
      <c r="Z159" s="98" t="s">
        <v>1830</v>
      </c>
      <c r="AA159" s="124" t="s">
        <v>1802</v>
      </c>
      <c r="AB159" s="218" t="s">
        <v>1677</v>
      </c>
      <c r="AC159" s="110" t="s">
        <v>1639</v>
      </c>
      <c r="AH159" s="88" t="s">
        <v>1778</v>
      </c>
      <c r="AI159" s="88" t="s">
        <v>1779</v>
      </c>
    </row>
    <row r="160" spans="2:35" ht="17.45" customHeight="1">
      <c r="B160" s="96" t="e">
        <f t="shared" si="6"/>
        <v>#REF!</v>
      </c>
      <c r="C160" s="112">
        <v>40542</v>
      </c>
      <c r="D160" s="98" t="s">
        <v>1825</v>
      </c>
      <c r="E160" s="98">
        <v>7600968</v>
      </c>
      <c r="F160" s="113" t="s">
        <v>1824</v>
      </c>
      <c r="G160" s="100" t="s">
        <v>673</v>
      </c>
      <c r="H160" s="101" t="s">
        <v>1839</v>
      </c>
      <c r="I160" s="98" t="s">
        <v>1825</v>
      </c>
      <c r="J160" s="102">
        <v>3</v>
      </c>
      <c r="K160" s="103" t="s">
        <v>1802</v>
      </c>
      <c r="L160" s="124">
        <v>3</v>
      </c>
      <c r="M160" s="218" t="s">
        <v>1677</v>
      </c>
      <c r="N160" s="106" t="str">
        <f t="shared" si="5"/>
        <v>33</v>
      </c>
      <c r="O160" s="107"/>
      <c r="P160" s="114" t="s">
        <v>1829</v>
      </c>
      <c r="Q160" s="107"/>
      <c r="R160" s="115" t="s">
        <v>1678</v>
      </c>
      <c r="S160" s="302" t="s">
        <v>1583</v>
      </c>
      <c r="T160" s="92" t="s">
        <v>1583</v>
      </c>
      <c r="U160" s="110"/>
      <c r="V160" s="94" t="s">
        <v>1678</v>
      </c>
      <c r="W160" s="107"/>
      <c r="X160" s="117">
        <v>7600878</v>
      </c>
      <c r="Y160" s="109" t="s">
        <v>1678</v>
      </c>
      <c r="Z160" s="98" t="s">
        <v>1825</v>
      </c>
      <c r="AA160" s="103" t="s">
        <v>1802</v>
      </c>
      <c r="AB160" s="218" t="s">
        <v>1677</v>
      </c>
      <c r="AC160" s="110" t="s">
        <v>1691</v>
      </c>
      <c r="AH160" s="88" t="s">
        <v>1778</v>
      </c>
      <c r="AI160" s="88" t="s">
        <v>1779</v>
      </c>
    </row>
    <row r="161" spans="1:55" ht="17.45" customHeight="1">
      <c r="B161" s="96" t="e">
        <f t="shared" si="6"/>
        <v>#REF!</v>
      </c>
      <c r="C161" s="112">
        <v>42366</v>
      </c>
      <c r="D161" s="98" t="s">
        <v>2295</v>
      </c>
      <c r="E161" s="98">
        <v>7600969</v>
      </c>
      <c r="F161" s="113" t="s">
        <v>1824</v>
      </c>
      <c r="G161" s="100" t="s">
        <v>2275</v>
      </c>
      <c r="H161" s="101" t="s">
        <v>1839</v>
      </c>
      <c r="I161" s="98" t="s">
        <v>2295</v>
      </c>
      <c r="J161" s="102">
        <v>3</v>
      </c>
      <c r="K161" s="103" t="s">
        <v>1802</v>
      </c>
      <c r="L161" s="124">
        <v>3</v>
      </c>
      <c r="M161" s="218" t="s">
        <v>1677</v>
      </c>
      <c r="N161" s="106" t="str">
        <f t="shared" si="5"/>
        <v>33</v>
      </c>
      <c r="O161" s="107"/>
      <c r="P161" s="114" t="s">
        <v>1829</v>
      </c>
      <c r="Q161" s="107"/>
      <c r="R161" s="115" t="s">
        <v>1678</v>
      </c>
      <c r="S161" s="302" t="s">
        <v>1583</v>
      </c>
      <c r="T161" s="92" t="s">
        <v>1583</v>
      </c>
      <c r="U161" s="110"/>
      <c r="V161" s="94" t="s">
        <v>1678</v>
      </c>
      <c r="W161" s="107"/>
      <c r="X161" s="117">
        <v>7600878</v>
      </c>
      <c r="Y161" s="109" t="s">
        <v>1678</v>
      </c>
      <c r="Z161" s="98" t="s">
        <v>2295</v>
      </c>
      <c r="AA161" s="103" t="s">
        <v>1802</v>
      </c>
      <c r="AB161" s="218" t="s">
        <v>1677</v>
      </c>
      <c r="AC161" s="110" t="s">
        <v>1680</v>
      </c>
      <c r="AH161" s="88" t="s">
        <v>1778</v>
      </c>
      <c r="AI161" s="88" t="s">
        <v>1779</v>
      </c>
    </row>
    <row r="162" spans="1:55" ht="17.45" customHeight="1">
      <c r="B162" s="96" t="e">
        <f t="shared" si="6"/>
        <v>#REF!</v>
      </c>
      <c r="C162" s="112">
        <v>36091</v>
      </c>
      <c r="D162" s="98" t="s">
        <v>1914</v>
      </c>
      <c r="E162" s="98">
        <v>7600088</v>
      </c>
      <c r="F162" s="113" t="s">
        <v>1913</v>
      </c>
      <c r="G162" s="100" t="s">
        <v>771</v>
      </c>
      <c r="H162" s="101" t="s">
        <v>1894</v>
      </c>
      <c r="I162" s="98" t="s">
        <v>1914</v>
      </c>
      <c r="J162" s="102">
        <v>3</v>
      </c>
      <c r="K162" s="103" t="s">
        <v>1802</v>
      </c>
      <c r="L162" s="124">
        <v>3</v>
      </c>
      <c r="M162" s="218" t="s">
        <v>1677</v>
      </c>
      <c r="N162" s="106" t="str">
        <f t="shared" si="5"/>
        <v>33</v>
      </c>
      <c r="O162" s="107"/>
      <c r="P162" s="114" t="s">
        <v>1914</v>
      </c>
      <c r="Q162" s="107"/>
      <c r="R162" s="115" t="s">
        <v>1691</v>
      </c>
      <c r="S162" s="302" t="s">
        <v>1583</v>
      </c>
      <c r="T162" s="92" t="s">
        <v>1583</v>
      </c>
      <c r="U162" s="110"/>
      <c r="V162" s="94" t="s">
        <v>1691</v>
      </c>
      <c r="W162" s="107"/>
      <c r="X162" s="117">
        <v>7600088</v>
      </c>
      <c r="Y162" s="109" t="s">
        <v>1691</v>
      </c>
      <c r="Z162" s="98" t="s">
        <v>1914</v>
      </c>
      <c r="AA162" s="103" t="s">
        <v>1802</v>
      </c>
      <c r="AB162" s="218" t="s">
        <v>1677</v>
      </c>
      <c r="AC162" s="110" t="s">
        <v>1704</v>
      </c>
      <c r="AH162" s="88" t="s">
        <v>1778</v>
      </c>
      <c r="AI162" s="88" t="s">
        <v>1779</v>
      </c>
    </row>
    <row r="163" spans="1:55" ht="17.45" customHeight="1">
      <c r="B163" s="96" t="e">
        <f t="shared" si="6"/>
        <v>#REF!</v>
      </c>
      <c r="C163" s="112">
        <v>36301</v>
      </c>
      <c r="D163" s="98" t="s">
        <v>1915</v>
      </c>
      <c r="E163" s="98">
        <v>7600111</v>
      </c>
      <c r="F163" s="113" t="s">
        <v>1913</v>
      </c>
      <c r="G163" s="100" t="s">
        <v>776</v>
      </c>
      <c r="H163" s="101" t="s">
        <v>1894</v>
      </c>
      <c r="I163" s="98" t="s">
        <v>1915</v>
      </c>
      <c r="J163" s="102">
        <v>3</v>
      </c>
      <c r="K163" s="103" t="s">
        <v>1802</v>
      </c>
      <c r="L163" s="124">
        <v>3</v>
      </c>
      <c r="M163" s="218" t="s">
        <v>1677</v>
      </c>
      <c r="N163" s="106" t="str">
        <f t="shared" si="5"/>
        <v>33</v>
      </c>
      <c r="O163" s="107"/>
      <c r="P163" s="114" t="s">
        <v>1914</v>
      </c>
      <c r="Q163" s="107"/>
      <c r="R163" s="115" t="s">
        <v>1691</v>
      </c>
      <c r="S163" s="302" t="s">
        <v>1583</v>
      </c>
      <c r="T163" s="92" t="s">
        <v>1583</v>
      </c>
      <c r="U163" s="110"/>
      <c r="V163" s="94" t="s">
        <v>1691</v>
      </c>
      <c r="W163" s="107"/>
      <c r="X163" s="117">
        <v>7600088</v>
      </c>
      <c r="Y163" s="109" t="s">
        <v>1691</v>
      </c>
      <c r="Z163" s="98" t="s">
        <v>1915</v>
      </c>
      <c r="AA163" s="103" t="s">
        <v>1802</v>
      </c>
      <c r="AB163" s="218" t="s">
        <v>1677</v>
      </c>
      <c r="AC163" s="110" t="s">
        <v>1897</v>
      </c>
      <c r="AD163" s="182"/>
      <c r="AE163" s="182"/>
      <c r="AF163" s="182"/>
      <c r="AG163" s="182"/>
      <c r="AH163" s="88" t="s">
        <v>1778</v>
      </c>
      <c r="AI163" s="88" t="s">
        <v>1779</v>
      </c>
    </row>
    <row r="164" spans="1:55" ht="17.45" customHeight="1">
      <c r="B164" s="96" t="e">
        <f t="shared" si="6"/>
        <v>#REF!</v>
      </c>
      <c r="C164" s="112">
        <v>40725</v>
      </c>
      <c r="D164" s="98" t="s">
        <v>2174</v>
      </c>
      <c r="E164" s="98">
        <v>7600592</v>
      </c>
      <c r="F164" s="113" t="s">
        <v>2172</v>
      </c>
      <c r="G164" s="100" t="s">
        <v>624</v>
      </c>
      <c r="H164" s="101" t="s">
        <v>2058</v>
      </c>
      <c r="I164" s="98" t="s">
        <v>2174</v>
      </c>
      <c r="J164" s="102">
        <v>3</v>
      </c>
      <c r="K164" s="103" t="s">
        <v>1802</v>
      </c>
      <c r="L164" s="124">
        <v>4</v>
      </c>
      <c r="M164" s="218" t="s">
        <v>1682</v>
      </c>
      <c r="N164" s="106" t="str">
        <f t="shared" si="5"/>
        <v>34</v>
      </c>
      <c r="O164" s="107"/>
      <c r="P164" s="114" t="s">
        <v>2174</v>
      </c>
      <c r="Q164" s="107"/>
      <c r="R164" s="115" t="s">
        <v>1673</v>
      </c>
      <c r="S164" s="302" t="s">
        <v>1584</v>
      </c>
      <c r="T164" s="92" t="s">
        <v>1584</v>
      </c>
      <c r="U164" s="110"/>
      <c r="V164" s="94" t="s">
        <v>1673</v>
      </c>
      <c r="W164" s="107"/>
      <c r="X164" s="117">
        <v>7600592</v>
      </c>
      <c r="Y164" s="109" t="s">
        <v>1673</v>
      </c>
      <c r="Z164" s="98" t="s">
        <v>2174</v>
      </c>
      <c r="AA164" s="103" t="s">
        <v>1802</v>
      </c>
      <c r="AB164" s="218" t="s">
        <v>1682</v>
      </c>
      <c r="AC164" s="155"/>
      <c r="AH164" s="88" t="s">
        <v>1778</v>
      </c>
      <c r="AI164" s="88" t="s">
        <v>1779</v>
      </c>
    </row>
    <row r="165" spans="1:55" ht="17.45" customHeight="1">
      <c r="B165" s="96" t="e">
        <f t="shared" si="6"/>
        <v>#REF!</v>
      </c>
      <c r="C165" s="146">
        <v>42625</v>
      </c>
      <c r="D165" s="98" t="s">
        <v>2175</v>
      </c>
      <c r="E165" s="118">
        <v>7601201</v>
      </c>
      <c r="F165" s="168" t="s">
        <v>2172</v>
      </c>
      <c r="G165" s="169" t="s">
        <v>630</v>
      </c>
      <c r="H165" s="170" t="s">
        <v>2060</v>
      </c>
      <c r="I165" s="98" t="s">
        <v>2175</v>
      </c>
      <c r="J165" s="189">
        <v>3</v>
      </c>
      <c r="K165" s="131" t="s">
        <v>1802</v>
      </c>
      <c r="L165" s="124">
        <v>4</v>
      </c>
      <c r="M165" s="218" t="s">
        <v>1682</v>
      </c>
      <c r="N165" s="106" t="str">
        <f t="shared" si="5"/>
        <v>34</v>
      </c>
      <c r="O165" s="107"/>
      <c r="P165" s="108" t="s">
        <v>2174</v>
      </c>
      <c r="Q165" s="107"/>
      <c r="R165" s="109" t="s">
        <v>1673</v>
      </c>
      <c r="S165" s="302" t="s">
        <v>1584</v>
      </c>
      <c r="T165" s="92" t="s">
        <v>1584</v>
      </c>
      <c r="U165" s="110"/>
      <c r="V165" s="94" t="s">
        <v>1673</v>
      </c>
      <c r="W165" s="107"/>
      <c r="X165" s="214">
        <v>7600592</v>
      </c>
      <c r="Y165" s="109" t="s">
        <v>1673</v>
      </c>
      <c r="Z165" s="98" t="s">
        <v>2175</v>
      </c>
      <c r="AA165" s="131" t="s">
        <v>1802</v>
      </c>
      <c r="AB165" s="218" t="s">
        <v>1682</v>
      </c>
      <c r="AC165" s="155"/>
      <c r="AH165" s="88" t="s">
        <v>1778</v>
      </c>
      <c r="AI165" s="88" t="s">
        <v>1779</v>
      </c>
    </row>
    <row r="166" spans="1:55" s="86" customFormat="1" ht="17.45" customHeight="1">
      <c r="A166" s="56"/>
      <c r="B166" s="96" t="e">
        <f t="shared" si="6"/>
        <v>#REF!</v>
      </c>
      <c r="C166" s="148">
        <v>43829</v>
      </c>
      <c r="D166" s="98" t="s">
        <v>2054</v>
      </c>
      <c r="E166" s="118">
        <v>7601104</v>
      </c>
      <c r="F166" s="242" t="s">
        <v>2053</v>
      </c>
      <c r="G166" s="171" t="s">
        <v>635</v>
      </c>
      <c r="H166" s="175" t="s">
        <v>2092</v>
      </c>
      <c r="I166" s="98" t="s">
        <v>2054</v>
      </c>
      <c r="J166" s="172">
        <v>3</v>
      </c>
      <c r="K166" s="130" t="s">
        <v>1802</v>
      </c>
      <c r="L166" s="124">
        <v>4</v>
      </c>
      <c r="M166" s="218" t="s">
        <v>1682</v>
      </c>
      <c r="N166" s="106" t="str">
        <f t="shared" si="5"/>
        <v>34</v>
      </c>
      <c r="O166" s="107"/>
      <c r="P166" s="174" t="s">
        <v>2054</v>
      </c>
      <c r="Q166" s="107"/>
      <c r="R166" s="115" t="s">
        <v>1669</v>
      </c>
      <c r="S166" s="302" t="s">
        <v>1584</v>
      </c>
      <c r="T166" s="92" t="s">
        <v>1584</v>
      </c>
      <c r="U166" s="110"/>
      <c r="V166" s="94" t="s">
        <v>1669</v>
      </c>
      <c r="W166" s="107"/>
      <c r="X166" s="214">
        <v>7601104</v>
      </c>
      <c r="Y166" s="109" t="s">
        <v>1669</v>
      </c>
      <c r="Z166" s="98" t="s">
        <v>2054</v>
      </c>
      <c r="AA166" s="130" t="s">
        <v>1802</v>
      </c>
      <c r="AB166" s="218" t="s">
        <v>1682</v>
      </c>
      <c r="AC166" s="155"/>
      <c r="AD166" s="129"/>
      <c r="AE166" s="74"/>
      <c r="AF166" s="74"/>
      <c r="AG166" s="74"/>
      <c r="AH166" s="88" t="s">
        <v>1778</v>
      </c>
      <c r="AI166" s="88" t="s">
        <v>1779</v>
      </c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</row>
    <row r="167" spans="1:55" ht="17.45" customHeight="1">
      <c r="B167" s="96" t="e">
        <f t="shared" si="6"/>
        <v>#REF!</v>
      </c>
      <c r="C167" s="112">
        <v>41273</v>
      </c>
      <c r="D167" s="98" t="s">
        <v>2121</v>
      </c>
      <c r="E167" s="98">
        <v>7601180</v>
      </c>
      <c r="F167" s="113" t="s">
        <v>2114</v>
      </c>
      <c r="G167" s="100" t="s">
        <v>699</v>
      </c>
      <c r="H167" s="154" t="s">
        <v>2119</v>
      </c>
      <c r="I167" s="98" t="s">
        <v>2121</v>
      </c>
      <c r="J167" s="295">
        <v>3</v>
      </c>
      <c r="K167" s="130" t="s">
        <v>1802</v>
      </c>
      <c r="L167" s="103">
        <v>4</v>
      </c>
      <c r="M167" s="218" t="s">
        <v>1682</v>
      </c>
      <c r="N167" s="106" t="str">
        <f t="shared" si="5"/>
        <v>34</v>
      </c>
      <c r="O167" s="107"/>
      <c r="P167" s="174" t="s">
        <v>2115</v>
      </c>
      <c r="Q167" s="107"/>
      <c r="R167" s="115" t="s">
        <v>1683</v>
      </c>
      <c r="S167" s="302" t="s">
        <v>1584</v>
      </c>
      <c r="T167" s="92" t="s">
        <v>1584</v>
      </c>
      <c r="U167" s="110"/>
      <c r="V167" s="94" t="s">
        <v>1683</v>
      </c>
      <c r="W167" s="107"/>
      <c r="X167" s="214">
        <v>7600822</v>
      </c>
      <c r="Y167" s="109" t="s">
        <v>1683</v>
      </c>
      <c r="Z167" s="98" t="s">
        <v>2121</v>
      </c>
      <c r="AA167" s="130" t="s">
        <v>1802</v>
      </c>
      <c r="AB167" s="218" t="s">
        <v>1682</v>
      </c>
      <c r="AC167" s="155"/>
      <c r="AH167" s="88" t="s">
        <v>1778</v>
      </c>
      <c r="AI167" s="88" t="s">
        <v>1779</v>
      </c>
    </row>
    <row r="168" spans="1:55" ht="17.45" customHeight="1">
      <c r="A168" s="86"/>
      <c r="B168" s="96" t="e">
        <f t="shared" si="6"/>
        <v>#REF!</v>
      </c>
      <c r="C168" s="148">
        <v>41638</v>
      </c>
      <c r="D168" s="98" t="s">
        <v>2118</v>
      </c>
      <c r="E168" s="118">
        <v>7600875</v>
      </c>
      <c r="F168" s="164" t="s">
        <v>2114</v>
      </c>
      <c r="G168" s="165" t="s">
        <v>707</v>
      </c>
      <c r="H168" s="171" t="s">
        <v>2119</v>
      </c>
      <c r="I168" s="98" t="s">
        <v>2118</v>
      </c>
      <c r="J168" s="172">
        <v>3</v>
      </c>
      <c r="K168" s="130" t="s">
        <v>1802</v>
      </c>
      <c r="L168" s="124">
        <v>4</v>
      </c>
      <c r="M168" s="218" t="s">
        <v>1682</v>
      </c>
      <c r="N168" s="106" t="str">
        <f t="shared" si="5"/>
        <v>34</v>
      </c>
      <c r="O168" s="107"/>
      <c r="P168" s="108" t="s">
        <v>2115</v>
      </c>
      <c r="Q168" s="107"/>
      <c r="R168" s="115" t="s">
        <v>1683</v>
      </c>
      <c r="S168" s="302" t="s">
        <v>1584</v>
      </c>
      <c r="T168" s="92" t="s">
        <v>1584</v>
      </c>
      <c r="U168" s="110"/>
      <c r="V168" s="94" t="s">
        <v>1683</v>
      </c>
      <c r="W168" s="107"/>
      <c r="X168" s="111">
        <v>7600822</v>
      </c>
      <c r="Y168" s="109" t="s">
        <v>1683</v>
      </c>
      <c r="Z168" s="98" t="s">
        <v>2118</v>
      </c>
      <c r="AA168" s="130" t="s">
        <v>1802</v>
      </c>
      <c r="AB168" s="218" t="s">
        <v>1682</v>
      </c>
      <c r="AC168" s="155"/>
      <c r="AD168" s="86"/>
      <c r="AE168" s="86"/>
      <c r="AF168" s="86"/>
      <c r="AG168" s="86"/>
      <c r="AH168" s="88" t="s">
        <v>1778</v>
      </c>
      <c r="AI168" s="88" t="s">
        <v>1779</v>
      </c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</row>
    <row r="169" spans="1:55" ht="17.45" customHeight="1">
      <c r="B169" s="96" t="e">
        <f t="shared" si="6"/>
        <v>#REF!</v>
      </c>
      <c r="C169" s="148">
        <v>36463</v>
      </c>
      <c r="D169" s="98" t="s">
        <v>2116</v>
      </c>
      <c r="E169" s="98">
        <v>7600826</v>
      </c>
      <c r="F169" s="113" t="s">
        <v>2114</v>
      </c>
      <c r="G169" s="100" t="s">
        <v>712</v>
      </c>
      <c r="H169" s="101" t="s">
        <v>2119</v>
      </c>
      <c r="I169" s="98" t="s">
        <v>2116</v>
      </c>
      <c r="J169" s="126">
        <v>3</v>
      </c>
      <c r="K169" s="124" t="s">
        <v>1802</v>
      </c>
      <c r="L169" s="124">
        <v>4</v>
      </c>
      <c r="M169" s="218" t="s">
        <v>1682</v>
      </c>
      <c r="N169" s="106" t="str">
        <f t="shared" si="5"/>
        <v>34</v>
      </c>
      <c r="O169" s="107"/>
      <c r="P169" s="114" t="s">
        <v>2115</v>
      </c>
      <c r="Q169" s="107"/>
      <c r="R169" s="115" t="s">
        <v>1683</v>
      </c>
      <c r="S169" s="302" t="s">
        <v>1584</v>
      </c>
      <c r="T169" s="92" t="s">
        <v>1584</v>
      </c>
      <c r="U169" s="110"/>
      <c r="V169" s="94" t="s">
        <v>1683</v>
      </c>
      <c r="W169" s="107"/>
      <c r="X169" s="117">
        <v>7600822</v>
      </c>
      <c r="Y169" s="109" t="s">
        <v>1683</v>
      </c>
      <c r="Z169" s="98" t="s">
        <v>2116</v>
      </c>
      <c r="AA169" s="124" t="s">
        <v>1802</v>
      </c>
      <c r="AB169" s="218" t="s">
        <v>1682</v>
      </c>
      <c r="AC169" s="155"/>
      <c r="AH169" s="88" t="s">
        <v>1778</v>
      </c>
      <c r="AI169" s="88" t="s">
        <v>1779</v>
      </c>
    </row>
    <row r="170" spans="1:55" ht="17.45" customHeight="1">
      <c r="B170" s="96" t="e">
        <f t="shared" si="6"/>
        <v>#REF!</v>
      </c>
      <c r="C170" s="112">
        <v>37601</v>
      </c>
      <c r="D170" s="98" t="s">
        <v>2120</v>
      </c>
      <c r="E170" s="98">
        <v>7601179</v>
      </c>
      <c r="F170" s="113" t="s">
        <v>2114</v>
      </c>
      <c r="G170" s="100" t="s">
        <v>715</v>
      </c>
      <c r="H170" s="154" t="s">
        <v>2119</v>
      </c>
      <c r="I170" s="98" t="s">
        <v>2120</v>
      </c>
      <c r="J170" s="126">
        <v>3</v>
      </c>
      <c r="K170" s="124" t="s">
        <v>1802</v>
      </c>
      <c r="L170" s="103">
        <v>4</v>
      </c>
      <c r="M170" s="218" t="s">
        <v>1682</v>
      </c>
      <c r="N170" s="106" t="str">
        <f t="shared" si="5"/>
        <v>34</v>
      </c>
      <c r="O170" s="107"/>
      <c r="P170" s="167" t="s">
        <v>2115</v>
      </c>
      <c r="Q170" s="107"/>
      <c r="R170" s="115" t="s">
        <v>1683</v>
      </c>
      <c r="S170" s="302" t="s">
        <v>1584</v>
      </c>
      <c r="T170" s="92" t="s">
        <v>1584</v>
      </c>
      <c r="U170" s="110"/>
      <c r="V170" s="94" t="s">
        <v>1683</v>
      </c>
      <c r="W170" s="107"/>
      <c r="X170" s="211">
        <v>7600822</v>
      </c>
      <c r="Y170" s="109" t="s">
        <v>1683</v>
      </c>
      <c r="Z170" s="98" t="s">
        <v>2120</v>
      </c>
      <c r="AA170" s="124" t="s">
        <v>1802</v>
      </c>
      <c r="AB170" s="218" t="s">
        <v>1682</v>
      </c>
      <c r="AC170" s="155"/>
      <c r="AH170" s="88" t="s">
        <v>1778</v>
      </c>
      <c r="AI170" s="88" t="s">
        <v>1779</v>
      </c>
    </row>
    <row r="171" spans="1:55" ht="17.45" customHeight="1">
      <c r="B171" s="96" t="e">
        <f t="shared" si="6"/>
        <v>#REF!</v>
      </c>
      <c r="C171" s="148">
        <v>39204</v>
      </c>
      <c r="D171" s="98" t="s">
        <v>2115</v>
      </c>
      <c r="E171" s="118">
        <v>7600822</v>
      </c>
      <c r="F171" s="164" t="s">
        <v>2114</v>
      </c>
      <c r="G171" s="165" t="s">
        <v>718</v>
      </c>
      <c r="H171" s="171" t="s">
        <v>2119</v>
      </c>
      <c r="I171" s="98" t="s">
        <v>2115</v>
      </c>
      <c r="J171" s="172">
        <v>3</v>
      </c>
      <c r="K171" s="130" t="s">
        <v>1802</v>
      </c>
      <c r="L171" s="124">
        <v>4</v>
      </c>
      <c r="M171" s="218" t="s">
        <v>1682</v>
      </c>
      <c r="N171" s="106" t="str">
        <f t="shared" si="5"/>
        <v>34</v>
      </c>
      <c r="O171" s="107"/>
      <c r="P171" s="108" t="s">
        <v>2115</v>
      </c>
      <c r="Q171" s="107"/>
      <c r="R171" s="115" t="s">
        <v>1683</v>
      </c>
      <c r="S171" s="302" t="s">
        <v>1584</v>
      </c>
      <c r="T171" s="92" t="s">
        <v>1584</v>
      </c>
      <c r="U171" s="110"/>
      <c r="V171" s="94" t="s">
        <v>1683</v>
      </c>
      <c r="W171" s="107"/>
      <c r="X171" s="111">
        <v>7600822</v>
      </c>
      <c r="Y171" s="109" t="s">
        <v>1683</v>
      </c>
      <c r="Z171" s="98" t="s">
        <v>2115</v>
      </c>
      <c r="AA171" s="130" t="s">
        <v>1802</v>
      </c>
      <c r="AB171" s="218" t="s">
        <v>1682</v>
      </c>
      <c r="AC171" s="155"/>
      <c r="AH171" s="88" t="s">
        <v>1778</v>
      </c>
      <c r="AI171" s="88" t="s">
        <v>1779</v>
      </c>
    </row>
    <row r="172" spans="1:55" ht="17.45" customHeight="1">
      <c r="B172" s="96" t="e">
        <f t="shared" si="6"/>
        <v>#REF!</v>
      </c>
      <c r="C172" s="112">
        <v>37153</v>
      </c>
      <c r="D172" s="98" t="s">
        <v>2221</v>
      </c>
      <c r="E172" s="98">
        <v>7600249</v>
      </c>
      <c r="F172" s="113" t="s">
        <v>2219</v>
      </c>
      <c r="G172" s="100" t="s">
        <v>640</v>
      </c>
      <c r="H172" s="101" t="s">
        <v>2215</v>
      </c>
      <c r="I172" s="98" t="s">
        <v>2221</v>
      </c>
      <c r="J172" s="102">
        <v>3</v>
      </c>
      <c r="K172" s="103" t="s">
        <v>1802</v>
      </c>
      <c r="L172" s="124">
        <v>4</v>
      </c>
      <c r="M172" s="218" t="s">
        <v>1682</v>
      </c>
      <c r="N172" s="106" t="str">
        <f t="shared" si="5"/>
        <v>34</v>
      </c>
      <c r="O172" s="107"/>
      <c r="P172" s="114" t="s">
        <v>2221</v>
      </c>
      <c r="Q172" s="107"/>
      <c r="R172" s="115" t="s">
        <v>1675</v>
      </c>
      <c r="S172" s="302" t="s">
        <v>1584</v>
      </c>
      <c r="T172" s="92" t="s">
        <v>1584</v>
      </c>
      <c r="U172" s="110"/>
      <c r="V172" s="94" t="s">
        <v>1675</v>
      </c>
      <c r="W172" s="107"/>
      <c r="X172" s="117">
        <v>7600249</v>
      </c>
      <c r="Y172" s="109" t="s">
        <v>1675</v>
      </c>
      <c r="Z172" s="98" t="s">
        <v>2221</v>
      </c>
      <c r="AA172" s="103" t="s">
        <v>1802</v>
      </c>
      <c r="AB172" s="218" t="s">
        <v>1682</v>
      </c>
      <c r="AC172" s="155"/>
      <c r="AH172" s="88" t="s">
        <v>1778</v>
      </c>
      <c r="AI172" s="88" t="s">
        <v>1779</v>
      </c>
    </row>
    <row r="173" spans="1:55" ht="17.45" customHeight="1">
      <c r="B173" s="96" t="e">
        <f t="shared" si="6"/>
        <v>#REF!</v>
      </c>
      <c r="C173" s="112">
        <v>40998</v>
      </c>
      <c r="D173" s="98" t="s">
        <v>1862</v>
      </c>
      <c r="E173" s="98">
        <v>7601004</v>
      </c>
      <c r="F173" s="113" t="s">
        <v>1858</v>
      </c>
      <c r="G173" s="100" t="s">
        <v>740</v>
      </c>
      <c r="H173" s="101" t="s">
        <v>1867</v>
      </c>
      <c r="I173" s="98" t="s">
        <v>1862</v>
      </c>
      <c r="J173" s="102">
        <v>3</v>
      </c>
      <c r="K173" s="103" t="s">
        <v>1802</v>
      </c>
      <c r="L173" s="124">
        <v>5</v>
      </c>
      <c r="M173" s="218" t="s">
        <v>1685</v>
      </c>
      <c r="N173" s="106" t="str">
        <f t="shared" si="5"/>
        <v>35</v>
      </c>
      <c r="O173" s="107"/>
      <c r="P173" s="114" t="s">
        <v>1860</v>
      </c>
      <c r="Q173" s="107"/>
      <c r="R173" s="115" t="s">
        <v>1688</v>
      </c>
      <c r="S173" s="302" t="s">
        <v>1585</v>
      </c>
      <c r="T173" s="92" t="s">
        <v>1585</v>
      </c>
      <c r="U173" s="110"/>
      <c r="V173" s="94" t="s">
        <v>1688</v>
      </c>
      <c r="W173" s="107"/>
      <c r="X173" s="117">
        <v>7600086</v>
      </c>
      <c r="Y173" s="109" t="s">
        <v>1688</v>
      </c>
      <c r="Z173" s="98" t="s">
        <v>1862</v>
      </c>
      <c r="AA173" s="103" t="s">
        <v>1802</v>
      </c>
      <c r="AB173" s="218" t="s">
        <v>1685</v>
      </c>
      <c r="AC173" s="110" t="s">
        <v>1725</v>
      </c>
      <c r="AH173" s="88" t="s">
        <v>1778</v>
      </c>
      <c r="AI173" s="88" t="s">
        <v>1779</v>
      </c>
    </row>
    <row r="174" spans="1:55" ht="17.45" customHeight="1">
      <c r="B174" s="96" t="e">
        <f t="shared" si="6"/>
        <v>#REF!</v>
      </c>
      <c r="C174" s="112">
        <v>36083</v>
      </c>
      <c r="D174" s="98" t="s">
        <v>1860</v>
      </c>
      <c r="E174" s="98">
        <v>7600086</v>
      </c>
      <c r="F174" s="113" t="s">
        <v>1858</v>
      </c>
      <c r="G174" s="100" t="s">
        <v>745</v>
      </c>
      <c r="H174" s="101" t="s">
        <v>1870</v>
      </c>
      <c r="I174" s="98" t="s">
        <v>1860</v>
      </c>
      <c r="J174" s="102">
        <v>3</v>
      </c>
      <c r="K174" s="103" t="s">
        <v>1802</v>
      </c>
      <c r="L174" s="124">
        <v>5</v>
      </c>
      <c r="M174" s="218" t="s">
        <v>1685</v>
      </c>
      <c r="N174" s="106" t="str">
        <f t="shared" si="5"/>
        <v>35</v>
      </c>
      <c r="O174" s="107"/>
      <c r="P174" s="114" t="s">
        <v>1860</v>
      </c>
      <c r="Q174" s="107"/>
      <c r="R174" s="115" t="s">
        <v>1688</v>
      </c>
      <c r="S174" s="302" t="s">
        <v>1585</v>
      </c>
      <c r="T174" s="92" t="s">
        <v>1585</v>
      </c>
      <c r="U174" s="110"/>
      <c r="V174" s="94" t="s">
        <v>1688</v>
      </c>
      <c r="W174" s="107"/>
      <c r="X174" s="117">
        <v>7600086</v>
      </c>
      <c r="Y174" s="109" t="s">
        <v>1688</v>
      </c>
      <c r="Z174" s="98" t="s">
        <v>1860</v>
      </c>
      <c r="AA174" s="103" t="s">
        <v>1802</v>
      </c>
      <c r="AB174" s="218" t="s">
        <v>1685</v>
      </c>
      <c r="AC174" s="110" t="s">
        <v>1709</v>
      </c>
      <c r="AH174" s="88" t="s">
        <v>1778</v>
      </c>
      <c r="AI174" s="88" t="s">
        <v>1779</v>
      </c>
    </row>
    <row r="175" spans="1:55" ht="17.45" customHeight="1">
      <c r="B175" s="96" t="e">
        <f t="shared" si="6"/>
        <v>#REF!</v>
      </c>
      <c r="C175" s="112">
        <v>41425</v>
      </c>
      <c r="D175" s="98" t="s">
        <v>1910</v>
      </c>
      <c r="E175" s="98">
        <v>7601188</v>
      </c>
      <c r="F175" s="113" t="s">
        <v>1908</v>
      </c>
      <c r="G175" s="100" t="s">
        <v>682</v>
      </c>
      <c r="H175" s="101" t="s">
        <v>1889</v>
      </c>
      <c r="I175" s="98" t="s">
        <v>1910</v>
      </c>
      <c r="J175" s="126">
        <v>3</v>
      </c>
      <c r="K175" s="126" t="s">
        <v>1802</v>
      </c>
      <c r="L175" s="126">
        <v>5</v>
      </c>
      <c r="M175" s="218" t="s">
        <v>1685</v>
      </c>
      <c r="N175" s="106" t="str">
        <f t="shared" si="5"/>
        <v>35</v>
      </c>
      <c r="O175" s="107"/>
      <c r="P175" s="114" t="s">
        <v>1909</v>
      </c>
      <c r="Q175" s="107"/>
      <c r="R175" s="115" t="s">
        <v>1680</v>
      </c>
      <c r="S175" s="302" t="s">
        <v>1585</v>
      </c>
      <c r="T175" s="92" t="s">
        <v>1585</v>
      </c>
      <c r="U175" s="110"/>
      <c r="V175" s="94" t="s">
        <v>1680</v>
      </c>
      <c r="W175" s="107"/>
      <c r="X175" s="117">
        <v>7600417</v>
      </c>
      <c r="Y175" s="109" t="s">
        <v>1680</v>
      </c>
      <c r="Z175" s="98" t="s">
        <v>1910</v>
      </c>
      <c r="AA175" s="126" t="s">
        <v>1802</v>
      </c>
      <c r="AB175" s="218" t="s">
        <v>1685</v>
      </c>
      <c r="AC175" s="110" t="s">
        <v>1673</v>
      </c>
      <c r="AH175" s="88" t="s">
        <v>1778</v>
      </c>
      <c r="AI175" s="88" t="s">
        <v>1779</v>
      </c>
    </row>
    <row r="176" spans="1:55" ht="17.45" customHeight="1">
      <c r="B176" s="96" t="e">
        <f t="shared" si="6"/>
        <v>#REF!</v>
      </c>
      <c r="C176" s="112">
        <v>39072</v>
      </c>
      <c r="D176" s="98" t="s">
        <v>1909</v>
      </c>
      <c r="E176" s="98">
        <v>7600417</v>
      </c>
      <c r="F176" s="113" t="s">
        <v>1908</v>
      </c>
      <c r="G176" s="100" t="s">
        <v>687</v>
      </c>
      <c r="H176" s="101" t="s">
        <v>1891</v>
      </c>
      <c r="I176" s="98" t="s">
        <v>1909</v>
      </c>
      <c r="J176" s="102">
        <v>3</v>
      </c>
      <c r="K176" s="102" t="s">
        <v>1802</v>
      </c>
      <c r="L176" s="126">
        <v>5</v>
      </c>
      <c r="M176" s="218" t="s">
        <v>1685</v>
      </c>
      <c r="N176" s="106" t="str">
        <f t="shared" si="5"/>
        <v>35</v>
      </c>
      <c r="O176" s="107"/>
      <c r="P176" s="114" t="s">
        <v>1909</v>
      </c>
      <c r="Q176" s="107"/>
      <c r="R176" s="115" t="s">
        <v>1680</v>
      </c>
      <c r="S176" s="302" t="s">
        <v>1585</v>
      </c>
      <c r="T176" s="92" t="s">
        <v>1585</v>
      </c>
      <c r="U176" s="110"/>
      <c r="V176" s="94" t="s">
        <v>1680</v>
      </c>
      <c r="W176" s="107"/>
      <c r="X176" s="117">
        <v>7600417</v>
      </c>
      <c r="Y176" s="109" t="s">
        <v>1680</v>
      </c>
      <c r="Z176" s="98" t="s">
        <v>1909</v>
      </c>
      <c r="AA176" s="102" t="s">
        <v>1802</v>
      </c>
      <c r="AB176" s="218" t="s">
        <v>1685</v>
      </c>
      <c r="AC176" s="110" t="s">
        <v>1626</v>
      </c>
      <c r="AH176" s="88" t="s">
        <v>1778</v>
      </c>
      <c r="AI176" s="88" t="s">
        <v>1779</v>
      </c>
    </row>
    <row r="177" spans="1:55" ht="17.45" customHeight="1">
      <c r="B177" s="96" t="e">
        <f t="shared" si="6"/>
        <v>#REF!</v>
      </c>
      <c r="C177" s="148">
        <v>43819</v>
      </c>
      <c r="D177" s="98" t="s">
        <v>1912</v>
      </c>
      <c r="E177" s="118">
        <v>7601109</v>
      </c>
      <c r="F177" s="164" t="s">
        <v>1908</v>
      </c>
      <c r="G177" s="165" t="s">
        <v>691</v>
      </c>
      <c r="H177" s="171" t="s">
        <v>1889</v>
      </c>
      <c r="I177" s="98" t="s">
        <v>1912</v>
      </c>
      <c r="J177" s="172">
        <v>3</v>
      </c>
      <c r="K177" s="130" t="s">
        <v>1802</v>
      </c>
      <c r="L177" s="124">
        <v>5</v>
      </c>
      <c r="M177" s="218" t="s">
        <v>1685</v>
      </c>
      <c r="N177" s="106" t="str">
        <f t="shared" si="5"/>
        <v>35</v>
      </c>
      <c r="O177" s="107"/>
      <c r="P177" s="108" t="s">
        <v>1909</v>
      </c>
      <c r="Q177" s="107"/>
      <c r="R177" s="115" t="s">
        <v>1680</v>
      </c>
      <c r="S177" s="302" t="s">
        <v>1585</v>
      </c>
      <c r="T177" s="92" t="s">
        <v>1585</v>
      </c>
      <c r="U177" s="110"/>
      <c r="V177" s="94" t="s">
        <v>1680</v>
      </c>
      <c r="W177" s="107"/>
      <c r="X177" s="111">
        <v>7600417</v>
      </c>
      <c r="Y177" s="109" t="s">
        <v>1680</v>
      </c>
      <c r="Z177" s="98" t="s">
        <v>1912</v>
      </c>
      <c r="AA177" s="130" t="s">
        <v>1802</v>
      </c>
      <c r="AB177" s="218" t="s">
        <v>1685</v>
      </c>
      <c r="AC177" s="110" t="s">
        <v>1692</v>
      </c>
      <c r="AH177" s="88" t="s">
        <v>1778</v>
      </c>
      <c r="AI177" s="88" t="s">
        <v>1779</v>
      </c>
    </row>
    <row r="178" spans="1:55" ht="17.45" customHeight="1">
      <c r="B178" s="96" t="e">
        <f t="shared" si="6"/>
        <v>#REF!</v>
      </c>
      <c r="C178" s="148">
        <v>36508</v>
      </c>
      <c r="D178" s="98" t="s">
        <v>1855</v>
      </c>
      <c r="E178" s="118">
        <v>7601169</v>
      </c>
      <c r="F178" s="164" t="s">
        <v>1851</v>
      </c>
      <c r="G178" s="165" t="s">
        <v>1437</v>
      </c>
      <c r="H178" s="171" t="s">
        <v>2025</v>
      </c>
      <c r="I178" s="98" t="s">
        <v>1855</v>
      </c>
      <c r="J178" s="172">
        <v>3</v>
      </c>
      <c r="K178" s="130" t="s">
        <v>1802</v>
      </c>
      <c r="L178" s="124">
        <v>5</v>
      </c>
      <c r="M178" s="218" t="s">
        <v>1685</v>
      </c>
      <c r="N178" s="106" t="str">
        <f t="shared" si="5"/>
        <v>35</v>
      </c>
      <c r="O178" s="107"/>
      <c r="P178" s="108" t="s">
        <v>1852</v>
      </c>
      <c r="Q178" s="107"/>
      <c r="R178" s="115" t="s">
        <v>1853</v>
      </c>
      <c r="S178" s="302" t="s">
        <v>1585</v>
      </c>
      <c r="T178" s="92" t="s">
        <v>1585</v>
      </c>
      <c r="U178" s="110"/>
      <c r="V178" s="94" t="s">
        <v>1687</v>
      </c>
      <c r="W178" s="107"/>
      <c r="X178" s="111">
        <v>7600546</v>
      </c>
      <c r="Y178" s="109" t="s">
        <v>1853</v>
      </c>
      <c r="Z178" s="98" t="s">
        <v>1855</v>
      </c>
      <c r="AA178" s="130" t="s">
        <v>1802</v>
      </c>
      <c r="AB178" s="218" t="s">
        <v>1685</v>
      </c>
      <c r="AC178" s="110" t="s">
        <v>1724</v>
      </c>
      <c r="AH178" s="88" t="s">
        <v>1778</v>
      </c>
      <c r="AI178" s="88" t="s">
        <v>1779</v>
      </c>
    </row>
    <row r="179" spans="1:55" ht="17.45" customHeight="1">
      <c r="B179" s="96" t="e">
        <f t="shared" si="6"/>
        <v>#REF!</v>
      </c>
      <c r="C179" s="148">
        <v>41264</v>
      </c>
      <c r="D179" s="98" t="s">
        <v>1854</v>
      </c>
      <c r="E179" s="118">
        <v>7600705</v>
      </c>
      <c r="F179" s="164" t="s">
        <v>1851</v>
      </c>
      <c r="G179" s="165" t="s">
        <v>1440</v>
      </c>
      <c r="H179" s="171" t="s">
        <v>2025</v>
      </c>
      <c r="I179" s="98" t="s">
        <v>1854</v>
      </c>
      <c r="J179" s="172">
        <v>3</v>
      </c>
      <c r="K179" s="130" t="s">
        <v>1802</v>
      </c>
      <c r="L179" s="124">
        <v>5</v>
      </c>
      <c r="M179" s="218" t="s">
        <v>1685</v>
      </c>
      <c r="N179" s="106" t="str">
        <f t="shared" si="5"/>
        <v>35</v>
      </c>
      <c r="O179" s="107"/>
      <c r="P179" s="108" t="s">
        <v>1852</v>
      </c>
      <c r="Q179" s="107"/>
      <c r="R179" s="115" t="s">
        <v>1853</v>
      </c>
      <c r="S179" s="302" t="s">
        <v>1585</v>
      </c>
      <c r="T179" s="92" t="s">
        <v>1585</v>
      </c>
      <c r="U179" s="110"/>
      <c r="V179" s="94" t="s">
        <v>1687</v>
      </c>
      <c r="W179" s="107"/>
      <c r="X179" s="111">
        <v>7600546</v>
      </c>
      <c r="Y179" s="109" t="s">
        <v>1853</v>
      </c>
      <c r="Z179" s="98" t="s">
        <v>1854</v>
      </c>
      <c r="AA179" s="130" t="s">
        <v>1802</v>
      </c>
      <c r="AB179" s="218" t="s">
        <v>1685</v>
      </c>
      <c r="AC179" s="110" t="s">
        <v>1729</v>
      </c>
      <c r="AH179" s="88" t="s">
        <v>1778</v>
      </c>
      <c r="AI179" s="88" t="s">
        <v>1779</v>
      </c>
    </row>
    <row r="180" spans="1:55" ht="17.45" customHeight="1">
      <c r="B180" s="96" t="e">
        <f t="shared" si="6"/>
        <v>#REF!</v>
      </c>
      <c r="C180" s="148">
        <v>40399</v>
      </c>
      <c r="D180" s="98" t="s">
        <v>1852</v>
      </c>
      <c r="E180" s="118">
        <v>7600546</v>
      </c>
      <c r="F180" s="164" t="s">
        <v>1851</v>
      </c>
      <c r="G180" s="165" t="s">
        <v>1442</v>
      </c>
      <c r="H180" s="171" t="s">
        <v>2025</v>
      </c>
      <c r="I180" s="98" t="s">
        <v>1852</v>
      </c>
      <c r="J180" s="181">
        <v>3</v>
      </c>
      <c r="K180" s="131" t="s">
        <v>1802</v>
      </c>
      <c r="L180" s="124">
        <v>5</v>
      </c>
      <c r="M180" s="218" t="s">
        <v>1685</v>
      </c>
      <c r="N180" s="106" t="str">
        <f t="shared" si="5"/>
        <v>35</v>
      </c>
      <c r="O180" s="107"/>
      <c r="P180" s="108" t="s">
        <v>1852</v>
      </c>
      <c r="Q180" s="107"/>
      <c r="R180" s="115" t="s">
        <v>1853</v>
      </c>
      <c r="S180" s="302" t="s">
        <v>1585</v>
      </c>
      <c r="T180" s="92" t="s">
        <v>1585</v>
      </c>
      <c r="U180" s="110"/>
      <c r="V180" s="94" t="s">
        <v>1687</v>
      </c>
      <c r="W180" s="107"/>
      <c r="X180" s="111">
        <v>7600546</v>
      </c>
      <c r="Y180" s="109" t="s">
        <v>1853</v>
      </c>
      <c r="Z180" s="98" t="s">
        <v>1852</v>
      </c>
      <c r="AA180" s="131" t="s">
        <v>1802</v>
      </c>
      <c r="AB180" s="218" t="s">
        <v>1685</v>
      </c>
      <c r="AC180" s="110" t="s">
        <v>1629</v>
      </c>
      <c r="AH180" s="88" t="s">
        <v>1778</v>
      </c>
      <c r="AI180" s="88" t="s">
        <v>1779</v>
      </c>
    </row>
    <row r="181" spans="1:55" ht="17.45" customHeight="1">
      <c r="B181" s="96" t="e">
        <f t="shared" si="6"/>
        <v>#REF!</v>
      </c>
      <c r="C181" s="222">
        <v>45463</v>
      </c>
      <c r="D181" s="98" t="s">
        <v>2129</v>
      </c>
      <c r="E181" s="118">
        <v>7600726</v>
      </c>
      <c r="F181" s="225" t="s">
        <v>2125</v>
      </c>
      <c r="G181" s="228" t="s">
        <v>722</v>
      </c>
      <c r="H181" s="231" t="s">
        <v>2128</v>
      </c>
      <c r="I181" s="98" t="s">
        <v>2129</v>
      </c>
      <c r="J181" s="232">
        <v>3</v>
      </c>
      <c r="K181" s="235" t="s">
        <v>1802</v>
      </c>
      <c r="L181" s="176">
        <v>5</v>
      </c>
      <c r="M181" s="218" t="s">
        <v>1685</v>
      </c>
      <c r="N181" s="178" t="str">
        <f t="shared" si="5"/>
        <v>35</v>
      </c>
      <c r="O181" s="107"/>
      <c r="P181" s="238" t="s">
        <v>2127</v>
      </c>
      <c r="Q181" s="179"/>
      <c r="R181" s="180" t="s">
        <v>1684</v>
      </c>
      <c r="S181" s="302" t="s">
        <v>1585</v>
      </c>
      <c r="T181" s="92" t="s">
        <v>1585</v>
      </c>
      <c r="U181" s="110"/>
      <c r="V181" s="94" t="s">
        <v>1684</v>
      </c>
      <c r="W181" s="179"/>
      <c r="X181" s="239">
        <v>7600062</v>
      </c>
      <c r="Y181" s="109" t="s">
        <v>1684</v>
      </c>
      <c r="Z181" s="98" t="s">
        <v>2129</v>
      </c>
      <c r="AA181" s="235" t="s">
        <v>1802</v>
      </c>
      <c r="AB181" s="218" t="s">
        <v>1685</v>
      </c>
      <c r="AC181" s="155"/>
      <c r="AH181" s="88" t="s">
        <v>1778</v>
      </c>
      <c r="AI181" s="88" t="s">
        <v>1779</v>
      </c>
    </row>
    <row r="182" spans="1:55" s="182" customFormat="1" ht="17.45" customHeight="1">
      <c r="A182" s="56"/>
      <c r="B182" s="96" t="e">
        <f t="shared" si="6"/>
        <v>#REF!</v>
      </c>
      <c r="C182" s="222">
        <v>35961</v>
      </c>
      <c r="D182" s="98" t="s">
        <v>2127</v>
      </c>
      <c r="E182" s="118">
        <v>7600062</v>
      </c>
      <c r="F182" s="225" t="s">
        <v>2125</v>
      </c>
      <c r="G182" s="228" t="s">
        <v>2126</v>
      </c>
      <c r="H182" s="231" t="s">
        <v>2128</v>
      </c>
      <c r="I182" s="98" t="s">
        <v>2127</v>
      </c>
      <c r="J182" s="232">
        <v>3</v>
      </c>
      <c r="K182" s="235" t="s">
        <v>1802</v>
      </c>
      <c r="L182" s="176">
        <v>5</v>
      </c>
      <c r="M182" s="218" t="s">
        <v>1685</v>
      </c>
      <c r="N182" s="178" t="str">
        <f t="shared" si="5"/>
        <v>35</v>
      </c>
      <c r="O182" s="107"/>
      <c r="P182" s="238" t="s">
        <v>2127</v>
      </c>
      <c r="Q182" s="179"/>
      <c r="R182" s="180" t="s">
        <v>1684</v>
      </c>
      <c r="S182" s="302" t="s">
        <v>1585</v>
      </c>
      <c r="T182" s="92" t="s">
        <v>1585</v>
      </c>
      <c r="U182" s="110"/>
      <c r="V182" s="94" t="s">
        <v>1684</v>
      </c>
      <c r="W182" s="179"/>
      <c r="X182" s="239">
        <v>7600062</v>
      </c>
      <c r="Y182" s="109" t="s">
        <v>1684</v>
      </c>
      <c r="Z182" s="98" t="s">
        <v>2127</v>
      </c>
      <c r="AA182" s="235" t="s">
        <v>1802</v>
      </c>
      <c r="AB182" s="218" t="s">
        <v>1685</v>
      </c>
      <c r="AC182" s="155"/>
      <c r="AD182" s="129"/>
      <c r="AE182" s="74"/>
      <c r="AF182" s="74"/>
      <c r="AG182" s="74"/>
      <c r="AH182" s="88" t="s">
        <v>1778</v>
      </c>
      <c r="AI182" s="88" t="s">
        <v>1779</v>
      </c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</row>
    <row r="183" spans="1:55" ht="17.45" customHeight="1">
      <c r="B183" s="96" t="e">
        <f t="shared" si="6"/>
        <v>#REF!</v>
      </c>
      <c r="C183" s="112">
        <v>41271</v>
      </c>
      <c r="D183" s="98" t="s">
        <v>1849</v>
      </c>
      <c r="E183" s="98">
        <v>7601038</v>
      </c>
      <c r="F183" s="113" t="s">
        <v>1845</v>
      </c>
      <c r="G183" s="100" t="s">
        <v>1424</v>
      </c>
      <c r="H183" s="101" t="s">
        <v>2025</v>
      </c>
      <c r="I183" s="98" t="s">
        <v>1849</v>
      </c>
      <c r="J183" s="102">
        <v>3</v>
      </c>
      <c r="K183" s="103" t="s">
        <v>1802</v>
      </c>
      <c r="L183" s="124">
        <v>6</v>
      </c>
      <c r="M183" s="218" t="s">
        <v>1689</v>
      </c>
      <c r="N183" s="106" t="str">
        <f t="shared" si="5"/>
        <v>36</v>
      </c>
      <c r="O183" s="107"/>
      <c r="P183" s="114" t="s">
        <v>1847</v>
      </c>
      <c r="Q183" s="107"/>
      <c r="R183" s="115" t="s">
        <v>1848</v>
      </c>
      <c r="S183" s="302" t="s">
        <v>1586</v>
      </c>
      <c r="T183" s="92" t="s">
        <v>1586</v>
      </c>
      <c r="U183" s="110"/>
      <c r="V183" s="94" t="s">
        <v>1686</v>
      </c>
      <c r="W183" s="107"/>
      <c r="X183" s="117">
        <v>7601037</v>
      </c>
      <c r="Y183" s="109" t="s">
        <v>1848</v>
      </c>
      <c r="Z183" s="98" t="s">
        <v>1849</v>
      </c>
      <c r="AA183" s="103" t="s">
        <v>1802</v>
      </c>
      <c r="AB183" s="218" t="s">
        <v>1689</v>
      </c>
      <c r="AC183" s="110" t="s">
        <v>1616</v>
      </c>
      <c r="AH183" s="88" t="s">
        <v>1778</v>
      </c>
      <c r="AI183" s="88" t="s">
        <v>1779</v>
      </c>
    </row>
    <row r="184" spans="1:55" ht="17.45" customHeight="1">
      <c r="A184" s="182"/>
      <c r="B184" s="96" t="e">
        <f t="shared" si="6"/>
        <v>#REF!</v>
      </c>
      <c r="C184" s="148">
        <v>44060</v>
      </c>
      <c r="D184" s="98" t="s">
        <v>1850</v>
      </c>
      <c r="E184" s="118">
        <v>7601128</v>
      </c>
      <c r="F184" s="242" t="s">
        <v>1845</v>
      </c>
      <c r="G184" s="171" t="s">
        <v>1430</v>
      </c>
      <c r="H184" s="175" t="s">
        <v>2029</v>
      </c>
      <c r="I184" s="98" t="s">
        <v>1850</v>
      </c>
      <c r="J184" s="172">
        <v>3</v>
      </c>
      <c r="K184" s="130" t="s">
        <v>1802</v>
      </c>
      <c r="L184" s="124">
        <v>6</v>
      </c>
      <c r="M184" s="218" t="s">
        <v>1689</v>
      </c>
      <c r="N184" s="106" t="str">
        <f t="shared" si="5"/>
        <v>36</v>
      </c>
      <c r="O184" s="107"/>
      <c r="P184" s="108" t="s">
        <v>1847</v>
      </c>
      <c r="Q184" s="107"/>
      <c r="R184" s="115" t="s">
        <v>1848</v>
      </c>
      <c r="S184" s="302" t="s">
        <v>1586</v>
      </c>
      <c r="T184" s="92" t="s">
        <v>1586</v>
      </c>
      <c r="U184" s="110"/>
      <c r="V184" s="94" t="s">
        <v>1686</v>
      </c>
      <c r="W184" s="107"/>
      <c r="X184" s="117">
        <v>7601037</v>
      </c>
      <c r="Y184" s="109" t="s">
        <v>1848</v>
      </c>
      <c r="Z184" s="98" t="s">
        <v>1850</v>
      </c>
      <c r="AA184" s="130" t="s">
        <v>1802</v>
      </c>
      <c r="AB184" s="218" t="s">
        <v>1689</v>
      </c>
      <c r="AC184" s="110" t="s">
        <v>1608</v>
      </c>
      <c r="AH184" s="88" t="s">
        <v>1778</v>
      </c>
      <c r="AI184" s="88" t="s">
        <v>1779</v>
      </c>
      <c r="AJ184" s="182"/>
      <c r="AK184" s="182"/>
      <c r="AL184" s="182"/>
      <c r="AM184" s="182"/>
      <c r="AN184" s="182"/>
      <c r="AO184" s="182"/>
      <c r="AP184" s="182"/>
      <c r="AQ184" s="182"/>
      <c r="AR184" s="182"/>
      <c r="AS184" s="182"/>
      <c r="AT184" s="182"/>
      <c r="AU184" s="182"/>
      <c r="AV184" s="182"/>
      <c r="AW184" s="182"/>
      <c r="AX184" s="182"/>
      <c r="AY184" s="182"/>
      <c r="AZ184" s="182"/>
      <c r="BA184" s="182"/>
      <c r="BB184" s="182"/>
      <c r="BC184" s="182"/>
    </row>
    <row r="185" spans="1:55" ht="17.45" customHeight="1">
      <c r="B185" s="96" t="e">
        <f t="shared" si="6"/>
        <v>#REF!</v>
      </c>
      <c r="C185" s="148">
        <v>41036</v>
      </c>
      <c r="D185" s="98" t="s">
        <v>1847</v>
      </c>
      <c r="E185" s="118">
        <v>7601037</v>
      </c>
      <c r="F185" s="164" t="s">
        <v>1845</v>
      </c>
      <c r="G185" s="165" t="s">
        <v>1433</v>
      </c>
      <c r="H185" s="171" t="s">
        <v>2025</v>
      </c>
      <c r="I185" s="98" t="s">
        <v>1847</v>
      </c>
      <c r="J185" s="181">
        <v>3</v>
      </c>
      <c r="K185" s="131" t="s">
        <v>1802</v>
      </c>
      <c r="L185" s="124">
        <v>6</v>
      </c>
      <c r="M185" s="218" t="s">
        <v>1689</v>
      </c>
      <c r="N185" s="106" t="str">
        <f t="shared" si="5"/>
        <v>36</v>
      </c>
      <c r="O185" s="107"/>
      <c r="P185" s="108" t="s">
        <v>1847</v>
      </c>
      <c r="Q185" s="107"/>
      <c r="R185" s="115" t="s">
        <v>1848</v>
      </c>
      <c r="S185" s="302" t="s">
        <v>1586</v>
      </c>
      <c r="T185" s="92" t="s">
        <v>1586</v>
      </c>
      <c r="U185" s="110"/>
      <c r="V185" s="94" t="s">
        <v>1686</v>
      </c>
      <c r="W185" s="107"/>
      <c r="X185" s="111">
        <v>7601037</v>
      </c>
      <c r="Y185" s="109" t="s">
        <v>1848</v>
      </c>
      <c r="Z185" s="98" t="s">
        <v>1847</v>
      </c>
      <c r="AA185" s="131" t="s">
        <v>1802</v>
      </c>
      <c r="AB185" s="218" t="s">
        <v>1689</v>
      </c>
      <c r="AC185" s="110" t="s">
        <v>1607</v>
      </c>
      <c r="AH185" s="88" t="s">
        <v>1778</v>
      </c>
      <c r="AI185" s="88" t="s">
        <v>1779</v>
      </c>
    </row>
    <row r="186" spans="1:55" ht="17.45" customHeight="1">
      <c r="B186" s="96" t="e">
        <f t="shared" si="6"/>
        <v>#REF!</v>
      </c>
      <c r="C186" s="148">
        <v>45135</v>
      </c>
      <c r="D186" s="98" t="s">
        <v>2296</v>
      </c>
      <c r="E186" s="118">
        <v>7601203</v>
      </c>
      <c r="F186" s="242" t="s">
        <v>2226</v>
      </c>
      <c r="G186" s="171" t="s">
        <v>805</v>
      </c>
      <c r="H186" s="175" t="s">
        <v>2227</v>
      </c>
      <c r="I186" s="98" t="s">
        <v>2296</v>
      </c>
      <c r="J186" s="172">
        <v>3</v>
      </c>
      <c r="K186" s="130" t="s">
        <v>1802</v>
      </c>
      <c r="L186" s="103">
        <v>6</v>
      </c>
      <c r="M186" s="218" t="s">
        <v>1689</v>
      </c>
      <c r="N186" s="106" t="str">
        <f t="shared" si="5"/>
        <v>36</v>
      </c>
      <c r="O186" s="107"/>
      <c r="P186" s="108" t="s">
        <v>2228</v>
      </c>
      <c r="Q186" s="107"/>
      <c r="R186" s="115" t="s">
        <v>1698</v>
      </c>
      <c r="S186" s="302" t="s">
        <v>1586</v>
      </c>
      <c r="T186" s="92" t="s">
        <v>1586</v>
      </c>
      <c r="U186" s="110"/>
      <c r="V186" s="94" t="s">
        <v>1698</v>
      </c>
      <c r="W186" s="107"/>
      <c r="X186" s="214">
        <v>7601175</v>
      </c>
      <c r="Y186" s="109" t="s">
        <v>1698</v>
      </c>
      <c r="Z186" s="98" t="s">
        <v>2296</v>
      </c>
      <c r="AA186" s="130" t="s">
        <v>1802</v>
      </c>
      <c r="AB186" s="218" t="s">
        <v>1689</v>
      </c>
      <c r="AH186" s="88" t="s">
        <v>1778</v>
      </c>
      <c r="AI186" s="88" t="s">
        <v>1779</v>
      </c>
    </row>
    <row r="187" spans="1:55" ht="17.45" customHeight="1">
      <c r="B187" s="96" t="e">
        <f t="shared" si="6"/>
        <v>#REF!</v>
      </c>
      <c r="C187" s="148">
        <v>44162</v>
      </c>
      <c r="D187" s="98" t="s">
        <v>2229</v>
      </c>
      <c r="E187" s="118">
        <v>7601176</v>
      </c>
      <c r="F187" s="164" t="s">
        <v>2226</v>
      </c>
      <c r="G187" s="165" t="s">
        <v>810</v>
      </c>
      <c r="H187" s="175" t="s">
        <v>2227</v>
      </c>
      <c r="I187" s="98" t="s">
        <v>2229</v>
      </c>
      <c r="J187" s="172">
        <v>3</v>
      </c>
      <c r="K187" s="130" t="s">
        <v>1802</v>
      </c>
      <c r="L187" s="103">
        <v>6</v>
      </c>
      <c r="M187" s="218" t="s">
        <v>1689</v>
      </c>
      <c r="N187" s="106" t="str">
        <f t="shared" si="5"/>
        <v>36</v>
      </c>
      <c r="O187" s="107"/>
      <c r="P187" s="108" t="s">
        <v>2228</v>
      </c>
      <c r="Q187" s="107"/>
      <c r="R187" s="115" t="s">
        <v>1698</v>
      </c>
      <c r="S187" s="302" t="s">
        <v>1586</v>
      </c>
      <c r="T187" s="92" t="s">
        <v>1586</v>
      </c>
      <c r="U187" s="110"/>
      <c r="V187" s="94" t="s">
        <v>1698</v>
      </c>
      <c r="W187" s="107"/>
      <c r="X187" s="214">
        <v>7601175</v>
      </c>
      <c r="Y187" s="109" t="s">
        <v>1698</v>
      </c>
      <c r="Z187" s="98" t="s">
        <v>2229</v>
      </c>
      <c r="AA187" s="130" t="s">
        <v>1802</v>
      </c>
      <c r="AB187" s="218" t="s">
        <v>1689</v>
      </c>
      <c r="AH187" s="88" t="s">
        <v>1778</v>
      </c>
      <c r="AI187" s="88" t="s">
        <v>1779</v>
      </c>
    </row>
    <row r="188" spans="1:55" ht="17.45" customHeight="1">
      <c r="B188" s="96" t="e">
        <f t="shared" si="6"/>
        <v>#REF!</v>
      </c>
      <c r="C188" s="148">
        <v>41635</v>
      </c>
      <c r="D188" s="98" t="s">
        <v>2228</v>
      </c>
      <c r="E188" s="118">
        <v>7601175</v>
      </c>
      <c r="F188" s="164" t="s">
        <v>2226</v>
      </c>
      <c r="G188" s="165" t="s">
        <v>815</v>
      </c>
      <c r="H188" s="175" t="s">
        <v>2227</v>
      </c>
      <c r="I188" s="98" t="s">
        <v>2228</v>
      </c>
      <c r="J188" s="172">
        <v>3</v>
      </c>
      <c r="K188" s="130" t="s">
        <v>1802</v>
      </c>
      <c r="L188" s="103">
        <v>6</v>
      </c>
      <c r="M188" s="218" t="s">
        <v>1689</v>
      </c>
      <c r="N188" s="106" t="str">
        <f t="shared" si="5"/>
        <v>36</v>
      </c>
      <c r="O188" s="107"/>
      <c r="P188" s="108" t="s">
        <v>2228</v>
      </c>
      <c r="Q188" s="107"/>
      <c r="R188" s="115" t="s">
        <v>1698</v>
      </c>
      <c r="S188" s="302" t="s">
        <v>1586</v>
      </c>
      <c r="T188" s="92" t="s">
        <v>1586</v>
      </c>
      <c r="U188" s="110"/>
      <c r="V188" s="94" t="s">
        <v>1698</v>
      </c>
      <c r="W188" s="107"/>
      <c r="X188" s="214">
        <v>7601175</v>
      </c>
      <c r="Y188" s="109" t="s">
        <v>1698</v>
      </c>
      <c r="Z188" s="98" t="s">
        <v>2228</v>
      </c>
      <c r="AA188" s="130" t="s">
        <v>1802</v>
      </c>
      <c r="AB188" s="218" t="s">
        <v>1689</v>
      </c>
      <c r="AH188" s="88" t="s">
        <v>1778</v>
      </c>
      <c r="AI188" s="88" t="s">
        <v>1779</v>
      </c>
    </row>
    <row r="189" spans="1:55" ht="17.45" customHeight="1">
      <c r="B189" s="96" t="e">
        <f t="shared" si="6"/>
        <v>#REF!</v>
      </c>
      <c r="C189" s="148">
        <v>41618</v>
      </c>
      <c r="D189" s="98" t="s">
        <v>2204</v>
      </c>
      <c r="E189" s="118">
        <v>7600759</v>
      </c>
      <c r="F189" s="164" t="s">
        <v>2200</v>
      </c>
      <c r="G189" s="165" t="s">
        <v>825</v>
      </c>
      <c r="H189" s="171" t="s">
        <v>2246</v>
      </c>
      <c r="I189" s="98" t="s">
        <v>2204</v>
      </c>
      <c r="J189" s="172">
        <v>3</v>
      </c>
      <c r="K189" s="130" t="s">
        <v>1802</v>
      </c>
      <c r="L189" s="124">
        <v>6</v>
      </c>
      <c r="M189" s="218" t="s">
        <v>1689</v>
      </c>
      <c r="N189" s="106" t="str">
        <f t="shared" si="5"/>
        <v>36</v>
      </c>
      <c r="O189" s="107"/>
      <c r="P189" s="108" t="s">
        <v>2201</v>
      </c>
      <c r="Q189" s="107"/>
      <c r="R189" s="115" t="s">
        <v>1697</v>
      </c>
      <c r="S189" s="302" t="s">
        <v>1586</v>
      </c>
      <c r="T189" s="92" t="s">
        <v>1586</v>
      </c>
      <c r="U189" s="110"/>
      <c r="V189" s="94" t="s">
        <v>1697</v>
      </c>
      <c r="W189" s="107"/>
      <c r="X189" s="111">
        <v>7600554</v>
      </c>
      <c r="Y189" s="109" t="s">
        <v>1697</v>
      </c>
      <c r="Z189" s="98" t="s">
        <v>2204</v>
      </c>
      <c r="AA189" s="130" t="s">
        <v>1802</v>
      </c>
      <c r="AB189" s="218" t="s">
        <v>1689</v>
      </c>
      <c r="AH189" s="88" t="s">
        <v>1778</v>
      </c>
      <c r="AI189" s="88" t="s">
        <v>1779</v>
      </c>
    </row>
    <row r="190" spans="1:55" ht="17.45" customHeight="1">
      <c r="B190" s="96" t="e">
        <f t="shared" si="6"/>
        <v>#REF!</v>
      </c>
      <c r="C190" s="148">
        <v>41120</v>
      </c>
      <c r="D190" s="98" t="s">
        <v>2202</v>
      </c>
      <c r="E190" s="118">
        <v>7600667</v>
      </c>
      <c r="F190" s="164" t="s">
        <v>2200</v>
      </c>
      <c r="G190" s="165" t="s">
        <v>832</v>
      </c>
      <c r="H190" s="171" t="s">
        <v>2246</v>
      </c>
      <c r="I190" s="98" t="s">
        <v>2202</v>
      </c>
      <c r="J190" s="181">
        <v>3</v>
      </c>
      <c r="K190" s="131" t="s">
        <v>1802</v>
      </c>
      <c r="L190" s="124">
        <v>6</v>
      </c>
      <c r="M190" s="218" t="s">
        <v>1689</v>
      </c>
      <c r="N190" s="106" t="str">
        <f t="shared" si="5"/>
        <v>36</v>
      </c>
      <c r="O190" s="107"/>
      <c r="P190" s="114" t="s">
        <v>2201</v>
      </c>
      <c r="Q190" s="107"/>
      <c r="R190" s="115" t="s">
        <v>1697</v>
      </c>
      <c r="S190" s="302" t="s">
        <v>1586</v>
      </c>
      <c r="T190" s="92" t="s">
        <v>1586</v>
      </c>
      <c r="U190" s="110"/>
      <c r="V190" s="94" t="s">
        <v>1697</v>
      </c>
      <c r="W190" s="107"/>
      <c r="X190" s="117">
        <v>7600554</v>
      </c>
      <c r="Y190" s="109" t="s">
        <v>1697</v>
      </c>
      <c r="Z190" s="98" t="s">
        <v>2202</v>
      </c>
      <c r="AA190" s="131" t="s">
        <v>1802</v>
      </c>
      <c r="AB190" s="218" t="s">
        <v>1689</v>
      </c>
      <c r="AH190" s="88" t="s">
        <v>1778</v>
      </c>
      <c r="AI190" s="88" t="s">
        <v>1779</v>
      </c>
    </row>
    <row r="191" spans="1:55" ht="17.45" customHeight="1">
      <c r="B191" s="96" t="e">
        <f t="shared" si="6"/>
        <v>#REF!</v>
      </c>
      <c r="C191" s="148">
        <v>40542</v>
      </c>
      <c r="D191" s="98" t="s">
        <v>2201</v>
      </c>
      <c r="E191" s="118">
        <v>7600554</v>
      </c>
      <c r="F191" s="164" t="s">
        <v>2200</v>
      </c>
      <c r="G191" s="165" t="s">
        <v>837</v>
      </c>
      <c r="H191" s="171" t="s">
        <v>2246</v>
      </c>
      <c r="I191" s="98" t="s">
        <v>2201</v>
      </c>
      <c r="J191" s="181">
        <v>3</v>
      </c>
      <c r="K191" s="131" t="s">
        <v>1802</v>
      </c>
      <c r="L191" s="124">
        <v>6</v>
      </c>
      <c r="M191" s="218" t="s">
        <v>1689</v>
      </c>
      <c r="N191" s="106" t="str">
        <f t="shared" si="5"/>
        <v>36</v>
      </c>
      <c r="O191" s="107"/>
      <c r="P191" s="108" t="s">
        <v>2201</v>
      </c>
      <c r="Q191" s="107"/>
      <c r="R191" s="115" t="s">
        <v>1697</v>
      </c>
      <c r="S191" s="302" t="s">
        <v>1586</v>
      </c>
      <c r="T191" s="92" t="s">
        <v>1586</v>
      </c>
      <c r="U191" s="110"/>
      <c r="V191" s="94" t="s">
        <v>1697</v>
      </c>
      <c r="W191" s="107"/>
      <c r="X191" s="111">
        <v>7600554</v>
      </c>
      <c r="Y191" s="109" t="s">
        <v>1697</v>
      </c>
      <c r="Z191" s="98" t="s">
        <v>2201</v>
      </c>
      <c r="AA191" s="131" t="s">
        <v>1802</v>
      </c>
      <c r="AB191" s="218" t="s">
        <v>1689</v>
      </c>
      <c r="AH191" s="88" t="s">
        <v>1778</v>
      </c>
      <c r="AI191" s="88" t="s">
        <v>1779</v>
      </c>
    </row>
    <row r="192" spans="1:55" ht="17.45" customHeight="1">
      <c r="B192" s="96" t="e">
        <f t="shared" si="6"/>
        <v>#REF!</v>
      </c>
      <c r="C192" s="148">
        <v>41850</v>
      </c>
      <c r="D192" s="98" t="s">
        <v>1801</v>
      </c>
      <c r="E192" s="118">
        <v>7601053</v>
      </c>
      <c r="F192" s="164" t="s">
        <v>1800</v>
      </c>
      <c r="G192" s="165" t="s">
        <v>763</v>
      </c>
      <c r="H192" s="171" t="s">
        <v>1859</v>
      </c>
      <c r="I192" s="98" t="s">
        <v>1801</v>
      </c>
      <c r="J192" s="181">
        <v>3</v>
      </c>
      <c r="K192" s="131" t="s">
        <v>1802</v>
      </c>
      <c r="L192" s="124">
        <v>7</v>
      </c>
      <c r="M192" s="218" t="s">
        <v>1694</v>
      </c>
      <c r="N192" s="106" t="str">
        <f t="shared" si="5"/>
        <v>37</v>
      </c>
      <c r="O192" s="107"/>
      <c r="P192" s="108" t="s">
        <v>1801</v>
      </c>
      <c r="Q192" s="107"/>
      <c r="R192" s="115" t="s">
        <v>1690</v>
      </c>
      <c r="S192" s="302" t="s">
        <v>1583</v>
      </c>
      <c r="T192" s="92" t="s">
        <v>1577</v>
      </c>
      <c r="U192" s="110"/>
      <c r="V192" s="94" t="s">
        <v>1690</v>
      </c>
      <c r="W192" s="107"/>
      <c r="X192" s="111">
        <v>7601053</v>
      </c>
      <c r="Y192" s="109" t="s">
        <v>1690</v>
      </c>
      <c r="Z192" s="98" t="s">
        <v>1801</v>
      </c>
      <c r="AA192" s="131" t="s">
        <v>1802</v>
      </c>
      <c r="AB192" s="218" t="s">
        <v>1694</v>
      </c>
      <c r="AC192" s="110" t="s">
        <v>1861</v>
      </c>
      <c r="AH192" s="88" t="s">
        <v>1778</v>
      </c>
      <c r="AI192" s="88" t="s">
        <v>1779</v>
      </c>
    </row>
    <row r="193" spans="2:35" ht="17.45" customHeight="1">
      <c r="B193" s="96" t="e">
        <f t="shared" si="6"/>
        <v>#REF!</v>
      </c>
      <c r="C193" s="148">
        <v>35490</v>
      </c>
      <c r="D193" s="98" t="s">
        <v>1807</v>
      </c>
      <c r="E193" s="118">
        <v>7601054</v>
      </c>
      <c r="F193" s="164" t="s">
        <v>1800</v>
      </c>
      <c r="G193" s="165" t="s">
        <v>769</v>
      </c>
      <c r="H193" s="171" t="s">
        <v>1859</v>
      </c>
      <c r="I193" s="98" t="s">
        <v>1807</v>
      </c>
      <c r="J193" s="181">
        <v>3</v>
      </c>
      <c r="K193" s="131" t="s">
        <v>1802</v>
      </c>
      <c r="L193" s="124">
        <v>7</v>
      </c>
      <c r="M193" s="218" t="s">
        <v>1694</v>
      </c>
      <c r="N193" s="106" t="str">
        <f t="shared" si="5"/>
        <v>37</v>
      </c>
      <c r="O193" s="107"/>
      <c r="P193" s="108" t="s">
        <v>1801</v>
      </c>
      <c r="Q193" s="107"/>
      <c r="R193" s="115" t="s">
        <v>1690</v>
      </c>
      <c r="S193" s="302" t="s">
        <v>1583</v>
      </c>
      <c r="T193" s="92" t="s">
        <v>1577</v>
      </c>
      <c r="U193" s="110"/>
      <c r="V193" s="94" t="s">
        <v>1690</v>
      </c>
      <c r="W193" s="107"/>
      <c r="X193" s="111">
        <v>7601053</v>
      </c>
      <c r="Y193" s="109" t="s">
        <v>1690</v>
      </c>
      <c r="Z193" s="98" t="s">
        <v>1807</v>
      </c>
      <c r="AA193" s="131" t="s">
        <v>1802</v>
      </c>
      <c r="AB193" s="218" t="s">
        <v>1694</v>
      </c>
      <c r="AC193" s="110" t="s">
        <v>1707</v>
      </c>
      <c r="AH193" s="88" t="s">
        <v>1778</v>
      </c>
      <c r="AI193" s="88" t="s">
        <v>1779</v>
      </c>
    </row>
    <row r="194" spans="2:35" ht="17.45" customHeight="1">
      <c r="B194" s="96" t="e">
        <f t="shared" si="6"/>
        <v>#REF!</v>
      </c>
      <c r="C194" s="148">
        <v>41273</v>
      </c>
      <c r="D194" s="98" t="s">
        <v>2186</v>
      </c>
      <c r="E194" s="118">
        <v>7601168</v>
      </c>
      <c r="F194" s="164" t="s">
        <v>2182</v>
      </c>
      <c r="G194" s="165" t="s">
        <v>795</v>
      </c>
      <c r="H194" s="171" t="s">
        <v>2173</v>
      </c>
      <c r="I194" s="98" t="s">
        <v>2186</v>
      </c>
      <c r="J194" s="172">
        <v>3</v>
      </c>
      <c r="K194" s="130" t="s">
        <v>1802</v>
      </c>
      <c r="L194" s="124">
        <v>7</v>
      </c>
      <c r="M194" s="218" t="s">
        <v>1694</v>
      </c>
      <c r="N194" s="106" t="str">
        <f t="shared" si="5"/>
        <v>37</v>
      </c>
      <c r="O194" s="107"/>
      <c r="P194" s="114" t="s">
        <v>2183</v>
      </c>
      <c r="Q194" s="107"/>
      <c r="R194" s="115" t="s">
        <v>1696</v>
      </c>
      <c r="S194" s="302" t="s">
        <v>1586</v>
      </c>
      <c r="T194" s="92" t="s">
        <v>1577</v>
      </c>
      <c r="U194" s="110"/>
      <c r="V194" s="94" t="s">
        <v>1696</v>
      </c>
      <c r="W194" s="107"/>
      <c r="X194" s="117">
        <v>7601167</v>
      </c>
      <c r="Y194" s="109" t="s">
        <v>1696</v>
      </c>
      <c r="Z194" s="98" t="s">
        <v>2186</v>
      </c>
      <c r="AA194" s="130" t="s">
        <v>1802</v>
      </c>
      <c r="AB194" s="218" t="s">
        <v>1694</v>
      </c>
      <c r="AH194" s="88" t="s">
        <v>1778</v>
      </c>
      <c r="AI194" s="88" t="s">
        <v>1779</v>
      </c>
    </row>
    <row r="195" spans="2:35" ht="17.45" customHeight="1">
      <c r="B195" s="96" t="e">
        <f t="shared" si="6"/>
        <v>#REF!</v>
      </c>
      <c r="C195" s="148">
        <v>37271</v>
      </c>
      <c r="D195" s="98" t="s">
        <v>2184</v>
      </c>
      <c r="E195" s="118">
        <v>7601167</v>
      </c>
      <c r="F195" s="164" t="s">
        <v>2182</v>
      </c>
      <c r="G195" s="165" t="s">
        <v>802</v>
      </c>
      <c r="H195" s="171" t="s">
        <v>2173</v>
      </c>
      <c r="I195" s="98" t="s">
        <v>2184</v>
      </c>
      <c r="J195" s="172">
        <v>3</v>
      </c>
      <c r="K195" s="130" t="s">
        <v>1802</v>
      </c>
      <c r="L195" s="124">
        <v>7</v>
      </c>
      <c r="M195" s="218" t="s">
        <v>1694</v>
      </c>
      <c r="N195" s="106" t="str">
        <f t="shared" si="5"/>
        <v>37</v>
      </c>
      <c r="O195" s="107"/>
      <c r="P195" s="108" t="s">
        <v>2183</v>
      </c>
      <c r="Q195" s="107"/>
      <c r="R195" s="115" t="s">
        <v>1696</v>
      </c>
      <c r="S195" s="302" t="s">
        <v>1586</v>
      </c>
      <c r="T195" s="92" t="s">
        <v>1577</v>
      </c>
      <c r="U195" s="110"/>
      <c r="V195" s="94" t="s">
        <v>1696</v>
      </c>
      <c r="W195" s="107"/>
      <c r="X195" s="111">
        <v>7601167</v>
      </c>
      <c r="Y195" s="109" t="s">
        <v>1696</v>
      </c>
      <c r="Z195" s="98" t="s">
        <v>2184</v>
      </c>
      <c r="AA195" s="130" t="s">
        <v>1802</v>
      </c>
      <c r="AB195" s="218" t="s">
        <v>1694</v>
      </c>
      <c r="AH195" s="88" t="s">
        <v>1778</v>
      </c>
      <c r="AI195" s="88" t="s">
        <v>1779</v>
      </c>
    </row>
    <row r="196" spans="2:35" ht="17.45" customHeight="1">
      <c r="B196" s="96" t="e">
        <f t="shared" si="6"/>
        <v>#REF!</v>
      </c>
      <c r="C196" s="148">
        <v>41410</v>
      </c>
      <c r="D196" s="98" t="s">
        <v>2131</v>
      </c>
      <c r="E196" s="118">
        <v>7601067</v>
      </c>
      <c r="F196" s="164" t="s">
        <v>2130</v>
      </c>
      <c r="G196" s="165" t="s">
        <v>819</v>
      </c>
      <c r="H196" s="171" t="s">
        <v>2239</v>
      </c>
      <c r="I196" s="98" t="s">
        <v>2131</v>
      </c>
      <c r="J196" s="172">
        <v>3</v>
      </c>
      <c r="K196" s="130" t="s">
        <v>1802</v>
      </c>
      <c r="L196" s="124">
        <v>7</v>
      </c>
      <c r="M196" s="218" t="s">
        <v>1694</v>
      </c>
      <c r="N196" s="106" t="str">
        <f t="shared" si="5"/>
        <v>37</v>
      </c>
      <c r="O196" s="107"/>
      <c r="P196" s="108" t="s">
        <v>2131</v>
      </c>
      <c r="Q196" s="107"/>
      <c r="R196" s="115" t="s">
        <v>1695</v>
      </c>
      <c r="S196" s="302" t="s">
        <v>1663</v>
      </c>
      <c r="T196" s="92" t="s">
        <v>1577</v>
      </c>
      <c r="U196" s="110"/>
      <c r="V196" s="94" t="s">
        <v>1695</v>
      </c>
      <c r="W196" s="107"/>
      <c r="X196" s="111">
        <v>7601067</v>
      </c>
      <c r="Y196" s="109" t="s">
        <v>1695</v>
      </c>
      <c r="Z196" s="98" t="s">
        <v>2131</v>
      </c>
      <c r="AA196" s="130" t="s">
        <v>1802</v>
      </c>
      <c r="AB196" s="218" t="s">
        <v>1694</v>
      </c>
      <c r="AH196" s="88" t="s">
        <v>1778</v>
      </c>
      <c r="AI196" s="88" t="s">
        <v>1779</v>
      </c>
    </row>
    <row r="197" spans="2:35" ht="17.45" customHeight="1">
      <c r="B197" s="96" t="e">
        <f t="shared" si="6"/>
        <v>#REF!</v>
      </c>
      <c r="C197" s="148">
        <v>41435</v>
      </c>
      <c r="D197" s="98" t="s">
        <v>1954</v>
      </c>
      <c r="E197" s="118">
        <v>7600741</v>
      </c>
      <c r="F197" s="164" t="s">
        <v>1943</v>
      </c>
      <c r="G197" s="165" t="s">
        <v>842</v>
      </c>
      <c r="H197" s="171" t="s">
        <v>1951</v>
      </c>
      <c r="I197" s="98" t="s">
        <v>1954</v>
      </c>
      <c r="J197" s="181">
        <v>4</v>
      </c>
      <c r="K197" s="131" t="s">
        <v>1774</v>
      </c>
      <c r="L197" s="124">
        <v>1</v>
      </c>
      <c r="M197" s="218" t="s">
        <v>1699</v>
      </c>
      <c r="N197" s="106" t="str">
        <f t="shared" ref="N197:N261" si="7">J197&amp;L197</f>
        <v>41</v>
      </c>
      <c r="O197" s="107"/>
      <c r="P197" s="108" t="s">
        <v>1944</v>
      </c>
      <c r="Q197" s="107"/>
      <c r="R197" s="115" t="s">
        <v>1700</v>
      </c>
      <c r="S197" s="302" t="s">
        <v>1587</v>
      </c>
      <c r="T197" s="92" t="s">
        <v>1587</v>
      </c>
      <c r="U197" s="110"/>
      <c r="V197" s="94" t="s">
        <v>1700</v>
      </c>
      <c r="W197" s="107"/>
      <c r="X197" s="111">
        <v>7600415</v>
      </c>
      <c r="Y197" s="109" t="s">
        <v>1700</v>
      </c>
      <c r="Z197" s="98" t="s">
        <v>1954</v>
      </c>
      <c r="AA197" s="131" t="s">
        <v>1774</v>
      </c>
      <c r="AB197" s="218" t="s">
        <v>1699</v>
      </c>
      <c r="AH197" s="88" t="s">
        <v>1778</v>
      </c>
      <c r="AI197" s="88" t="s">
        <v>1779</v>
      </c>
    </row>
    <row r="198" spans="2:35" ht="17.45" customHeight="1">
      <c r="B198" s="96" t="e">
        <f t="shared" si="6"/>
        <v>#REF!</v>
      </c>
      <c r="C198" s="148">
        <v>38841</v>
      </c>
      <c r="D198" s="98" t="s">
        <v>1953</v>
      </c>
      <c r="E198" s="118">
        <v>7600415</v>
      </c>
      <c r="F198" s="164" t="s">
        <v>1943</v>
      </c>
      <c r="G198" s="165" t="s">
        <v>849</v>
      </c>
      <c r="H198" s="171" t="s">
        <v>1951</v>
      </c>
      <c r="I198" s="98" t="s">
        <v>1953</v>
      </c>
      <c r="J198" s="181">
        <v>4</v>
      </c>
      <c r="K198" s="131" t="s">
        <v>1774</v>
      </c>
      <c r="L198" s="124">
        <v>1</v>
      </c>
      <c r="M198" s="218" t="s">
        <v>1699</v>
      </c>
      <c r="N198" s="106" t="str">
        <f t="shared" si="7"/>
        <v>41</v>
      </c>
      <c r="O198" s="107"/>
      <c r="P198" s="114" t="s">
        <v>1944</v>
      </c>
      <c r="Q198" s="107"/>
      <c r="R198" s="115" t="s">
        <v>1700</v>
      </c>
      <c r="S198" s="302" t="s">
        <v>1587</v>
      </c>
      <c r="T198" s="92" t="s">
        <v>1587</v>
      </c>
      <c r="U198" s="110"/>
      <c r="V198" s="94" t="s">
        <v>1700</v>
      </c>
      <c r="W198" s="107"/>
      <c r="X198" s="117">
        <v>7600415</v>
      </c>
      <c r="Y198" s="109" t="s">
        <v>1700</v>
      </c>
      <c r="Z198" s="98" t="s">
        <v>1953</v>
      </c>
      <c r="AA198" s="131" t="s">
        <v>1774</v>
      </c>
      <c r="AB198" s="218" t="s">
        <v>1699</v>
      </c>
      <c r="AH198" s="88" t="s">
        <v>1778</v>
      </c>
      <c r="AI198" s="88" t="s">
        <v>1779</v>
      </c>
    </row>
    <row r="199" spans="2:35" ht="17.45" customHeight="1">
      <c r="B199" s="96" t="e">
        <f t="shared" si="6"/>
        <v>#REF!</v>
      </c>
      <c r="C199" s="148">
        <v>44301</v>
      </c>
      <c r="D199" s="98" t="s">
        <v>2067</v>
      </c>
      <c r="E199" s="118">
        <v>7601137</v>
      </c>
      <c r="F199" s="242" t="s">
        <v>2065</v>
      </c>
      <c r="G199" s="171" t="s">
        <v>853</v>
      </c>
      <c r="H199" s="175" t="s">
        <v>2066</v>
      </c>
      <c r="I199" s="98" t="s">
        <v>2067</v>
      </c>
      <c r="J199" s="172">
        <v>4</v>
      </c>
      <c r="K199" s="130" t="s">
        <v>1774</v>
      </c>
      <c r="L199" s="103">
        <v>1</v>
      </c>
      <c r="M199" s="218" t="s">
        <v>1699</v>
      </c>
      <c r="N199" s="106" t="str">
        <f t="shared" si="7"/>
        <v>41</v>
      </c>
      <c r="O199" s="107"/>
      <c r="P199" s="114" t="s">
        <v>2067</v>
      </c>
      <c r="Q199" s="107"/>
      <c r="R199" s="115" t="s">
        <v>1702</v>
      </c>
      <c r="S199" s="302" t="s">
        <v>1587</v>
      </c>
      <c r="T199" s="92" t="s">
        <v>1587</v>
      </c>
      <c r="U199" s="110"/>
      <c r="V199" s="94" t="s">
        <v>1702</v>
      </c>
      <c r="W199" s="107"/>
      <c r="X199" s="117">
        <v>7601137</v>
      </c>
      <c r="Y199" s="109" t="s">
        <v>1702</v>
      </c>
      <c r="Z199" s="98" t="s">
        <v>2067</v>
      </c>
      <c r="AA199" s="130" t="s">
        <v>1774</v>
      </c>
      <c r="AB199" s="218" t="s">
        <v>1699</v>
      </c>
      <c r="AH199" s="88" t="s">
        <v>1778</v>
      </c>
      <c r="AI199" s="88" t="s">
        <v>1779</v>
      </c>
    </row>
    <row r="200" spans="2:35" ht="17.45" customHeight="1">
      <c r="B200" s="96" t="e">
        <f t="shared" si="6"/>
        <v>#REF!</v>
      </c>
      <c r="C200" s="148">
        <v>41922</v>
      </c>
      <c r="D200" s="98" t="s">
        <v>2099</v>
      </c>
      <c r="E200" s="98">
        <v>7600803</v>
      </c>
      <c r="F200" s="113" t="s">
        <v>2097</v>
      </c>
      <c r="G200" s="100" t="s">
        <v>857</v>
      </c>
      <c r="H200" s="101" t="s">
        <v>2108</v>
      </c>
      <c r="I200" s="98" t="s">
        <v>2099</v>
      </c>
      <c r="J200" s="126">
        <v>4</v>
      </c>
      <c r="K200" s="124" t="s">
        <v>1774</v>
      </c>
      <c r="L200" s="124">
        <v>1</v>
      </c>
      <c r="M200" s="218" t="s">
        <v>1699</v>
      </c>
      <c r="N200" s="106" t="str">
        <f t="shared" si="7"/>
        <v>41</v>
      </c>
      <c r="O200" s="107"/>
      <c r="P200" s="108" t="s">
        <v>2099</v>
      </c>
      <c r="Q200" s="107"/>
      <c r="R200" s="115" t="s">
        <v>1703</v>
      </c>
      <c r="S200" s="302" t="s">
        <v>1587</v>
      </c>
      <c r="T200" s="92" t="s">
        <v>1587</v>
      </c>
      <c r="U200" s="110"/>
      <c r="V200" s="94" t="s">
        <v>1703</v>
      </c>
      <c r="W200" s="107"/>
      <c r="X200" s="111">
        <v>7600803</v>
      </c>
      <c r="Y200" s="109" t="s">
        <v>1703</v>
      </c>
      <c r="Z200" s="98" t="s">
        <v>2099</v>
      </c>
      <c r="AA200" s="124" t="s">
        <v>1774</v>
      </c>
      <c r="AB200" s="218" t="s">
        <v>1699</v>
      </c>
      <c r="AH200" s="88" t="s">
        <v>1778</v>
      </c>
      <c r="AI200" s="88" t="s">
        <v>1779</v>
      </c>
    </row>
    <row r="201" spans="2:35" ht="17.45" customHeight="1">
      <c r="B201" s="96" t="e">
        <f t="shared" si="6"/>
        <v>#REF!</v>
      </c>
      <c r="C201" s="148">
        <v>42297</v>
      </c>
      <c r="D201" s="98" t="s">
        <v>2181</v>
      </c>
      <c r="E201" s="98">
        <v>7600861</v>
      </c>
      <c r="F201" s="113" t="s">
        <v>2178</v>
      </c>
      <c r="G201" s="100" t="s">
        <v>863</v>
      </c>
      <c r="H201" s="101" t="s">
        <v>2169</v>
      </c>
      <c r="I201" s="98" t="s">
        <v>2181</v>
      </c>
      <c r="J201" s="126">
        <v>4</v>
      </c>
      <c r="K201" s="124" t="s">
        <v>1774</v>
      </c>
      <c r="L201" s="124">
        <v>1</v>
      </c>
      <c r="M201" s="218" t="s">
        <v>1699</v>
      </c>
      <c r="N201" s="106" t="str">
        <f t="shared" si="7"/>
        <v>41</v>
      </c>
      <c r="O201" s="107"/>
      <c r="P201" s="108" t="s">
        <v>2179</v>
      </c>
      <c r="Q201" s="107"/>
      <c r="R201" s="115" t="s">
        <v>1704</v>
      </c>
      <c r="S201" s="302" t="s">
        <v>1587</v>
      </c>
      <c r="T201" s="92" t="s">
        <v>1587</v>
      </c>
      <c r="U201" s="110"/>
      <c r="V201" s="94" t="s">
        <v>1704</v>
      </c>
      <c r="W201" s="107"/>
      <c r="X201" s="111">
        <v>7600393</v>
      </c>
      <c r="Y201" s="109" t="s">
        <v>1704</v>
      </c>
      <c r="Z201" s="98" t="s">
        <v>2181</v>
      </c>
      <c r="AA201" s="124" t="s">
        <v>1774</v>
      </c>
      <c r="AB201" s="218" t="s">
        <v>1699</v>
      </c>
      <c r="AC201" s="155"/>
      <c r="AH201" s="88" t="s">
        <v>1778</v>
      </c>
      <c r="AI201" s="88" t="s">
        <v>1779</v>
      </c>
    </row>
    <row r="202" spans="2:35" ht="17.45" customHeight="1">
      <c r="B202" s="96" t="e">
        <f t="shared" si="6"/>
        <v>#REF!</v>
      </c>
      <c r="C202" s="112">
        <v>38492</v>
      </c>
      <c r="D202" s="98" t="s">
        <v>2179</v>
      </c>
      <c r="E202" s="98">
        <v>7600393</v>
      </c>
      <c r="F202" s="113" t="s">
        <v>2178</v>
      </c>
      <c r="G202" s="100" t="s">
        <v>868</v>
      </c>
      <c r="H202" s="101" t="s">
        <v>2169</v>
      </c>
      <c r="I202" s="98" t="s">
        <v>2179</v>
      </c>
      <c r="J202" s="102">
        <v>4</v>
      </c>
      <c r="K202" s="103" t="s">
        <v>1774</v>
      </c>
      <c r="L202" s="124">
        <v>1</v>
      </c>
      <c r="M202" s="218" t="s">
        <v>1699</v>
      </c>
      <c r="N202" s="106" t="str">
        <f t="shared" si="7"/>
        <v>41</v>
      </c>
      <c r="O202" s="107"/>
      <c r="P202" s="114" t="s">
        <v>2179</v>
      </c>
      <c r="Q202" s="107"/>
      <c r="R202" s="115" t="s">
        <v>1704</v>
      </c>
      <c r="S202" s="302" t="s">
        <v>1587</v>
      </c>
      <c r="T202" s="92" t="s">
        <v>1587</v>
      </c>
      <c r="U202" s="110"/>
      <c r="V202" s="94" t="s">
        <v>1704</v>
      </c>
      <c r="W202" s="107"/>
      <c r="X202" s="117">
        <v>7600393</v>
      </c>
      <c r="Y202" s="109" t="s">
        <v>1704</v>
      </c>
      <c r="Z202" s="98" t="s">
        <v>2179</v>
      </c>
      <c r="AA202" s="103" t="s">
        <v>1774</v>
      </c>
      <c r="AB202" s="218" t="s">
        <v>1699</v>
      </c>
      <c r="AH202" s="88" t="s">
        <v>1778</v>
      </c>
      <c r="AI202" s="88" t="s">
        <v>1779</v>
      </c>
    </row>
    <row r="203" spans="2:35" ht="17.45" customHeight="1">
      <c r="B203" s="96" t="e">
        <f t="shared" si="6"/>
        <v>#REF!</v>
      </c>
      <c r="C203" s="148">
        <v>41638</v>
      </c>
      <c r="D203" s="98" t="s">
        <v>2191</v>
      </c>
      <c r="E203" s="118">
        <v>7600760</v>
      </c>
      <c r="F203" s="164" t="s">
        <v>2189</v>
      </c>
      <c r="G203" s="165" t="s">
        <v>870</v>
      </c>
      <c r="H203" s="171" t="s">
        <v>2180</v>
      </c>
      <c r="I203" s="98" t="s">
        <v>2191</v>
      </c>
      <c r="J203" s="172">
        <v>4</v>
      </c>
      <c r="K203" s="130" t="s">
        <v>1774</v>
      </c>
      <c r="L203" s="124">
        <v>1</v>
      </c>
      <c r="M203" s="218" t="s">
        <v>1699</v>
      </c>
      <c r="N203" s="106" t="str">
        <f t="shared" si="7"/>
        <v>41</v>
      </c>
      <c r="O203" s="107"/>
      <c r="P203" s="108" t="s">
        <v>2190</v>
      </c>
      <c r="Q203" s="107"/>
      <c r="R203" s="115" t="s">
        <v>1705</v>
      </c>
      <c r="S203" s="302" t="s">
        <v>1587</v>
      </c>
      <c r="T203" s="92" t="s">
        <v>1587</v>
      </c>
      <c r="U203" s="110"/>
      <c r="V203" s="94" t="s">
        <v>1705</v>
      </c>
      <c r="W203" s="107"/>
      <c r="X203" s="111">
        <v>7600757</v>
      </c>
      <c r="Y203" s="109" t="s">
        <v>1705</v>
      </c>
      <c r="Z203" s="98" t="s">
        <v>2191</v>
      </c>
      <c r="AA203" s="130" t="s">
        <v>1774</v>
      </c>
      <c r="AB203" s="218" t="s">
        <v>1699</v>
      </c>
      <c r="AC203" s="155"/>
      <c r="AH203" s="88" t="s">
        <v>1778</v>
      </c>
      <c r="AI203" s="88" t="s">
        <v>1779</v>
      </c>
    </row>
    <row r="204" spans="2:35" ht="17.45" customHeight="1">
      <c r="B204" s="96" t="e">
        <f t="shared" si="6"/>
        <v>#REF!</v>
      </c>
      <c r="C204" s="148">
        <v>41583</v>
      </c>
      <c r="D204" s="98" t="s">
        <v>2190</v>
      </c>
      <c r="E204" s="118">
        <v>7600757</v>
      </c>
      <c r="F204" s="164" t="s">
        <v>2189</v>
      </c>
      <c r="G204" s="165" t="s">
        <v>876</v>
      </c>
      <c r="H204" s="171" t="s">
        <v>2180</v>
      </c>
      <c r="I204" s="98" t="s">
        <v>2190</v>
      </c>
      <c r="J204" s="172">
        <v>4</v>
      </c>
      <c r="K204" s="130" t="s">
        <v>1774</v>
      </c>
      <c r="L204" s="124">
        <v>1</v>
      </c>
      <c r="M204" s="218" t="s">
        <v>1699</v>
      </c>
      <c r="N204" s="106" t="str">
        <f t="shared" si="7"/>
        <v>41</v>
      </c>
      <c r="O204" s="107"/>
      <c r="P204" s="108" t="s">
        <v>2190</v>
      </c>
      <c r="Q204" s="107"/>
      <c r="R204" s="115" t="s">
        <v>1705</v>
      </c>
      <c r="S204" s="302" t="s">
        <v>1587</v>
      </c>
      <c r="T204" s="92" t="s">
        <v>1587</v>
      </c>
      <c r="U204" s="110"/>
      <c r="V204" s="94" t="s">
        <v>1705</v>
      </c>
      <c r="W204" s="107"/>
      <c r="X204" s="111">
        <v>7600757</v>
      </c>
      <c r="Y204" s="109" t="s">
        <v>1705</v>
      </c>
      <c r="Z204" s="98" t="s">
        <v>2190</v>
      </c>
      <c r="AA204" s="130" t="s">
        <v>1774</v>
      </c>
      <c r="AB204" s="218" t="s">
        <v>1699</v>
      </c>
      <c r="AC204" s="155"/>
      <c r="AH204" s="88" t="s">
        <v>1778</v>
      </c>
      <c r="AI204" s="88" t="s">
        <v>1779</v>
      </c>
    </row>
    <row r="205" spans="2:35" ht="17.45" customHeight="1">
      <c r="B205" s="96" t="e">
        <f t="shared" si="6"/>
        <v>#REF!</v>
      </c>
      <c r="C205" s="148">
        <v>42447</v>
      </c>
      <c r="D205" s="98" t="s">
        <v>2247</v>
      </c>
      <c r="E205" s="98">
        <v>7601076</v>
      </c>
      <c r="F205" s="113" t="s">
        <v>2243</v>
      </c>
      <c r="G205" s="165" t="s">
        <v>898</v>
      </c>
      <c r="H205" s="171" t="s">
        <v>1772</v>
      </c>
      <c r="I205" s="98" t="s">
        <v>2247</v>
      </c>
      <c r="J205" s="181">
        <v>4</v>
      </c>
      <c r="K205" s="131" t="s">
        <v>1774</v>
      </c>
      <c r="L205" s="124">
        <v>2</v>
      </c>
      <c r="M205" s="218" t="s">
        <v>1706</v>
      </c>
      <c r="N205" s="106" t="str">
        <f t="shared" si="7"/>
        <v>42</v>
      </c>
      <c r="O205" s="107"/>
      <c r="P205" s="108" t="s">
        <v>2245</v>
      </c>
      <c r="Q205" s="107"/>
      <c r="R205" s="115" t="s">
        <v>1712</v>
      </c>
      <c r="S205" s="302" t="s">
        <v>1588</v>
      </c>
      <c r="T205" s="92" t="s">
        <v>1588</v>
      </c>
      <c r="U205" s="110"/>
      <c r="V205" s="94" t="s">
        <v>1712</v>
      </c>
      <c r="W205" s="107"/>
      <c r="X205" s="111">
        <v>7600976</v>
      </c>
      <c r="Y205" s="109" t="s">
        <v>1712</v>
      </c>
      <c r="Z205" s="98" t="s">
        <v>2247</v>
      </c>
      <c r="AA205" s="131" t="s">
        <v>1774</v>
      </c>
      <c r="AB205" s="218" t="s">
        <v>1706</v>
      </c>
      <c r="AC205" s="155"/>
      <c r="AH205" s="88" t="s">
        <v>1778</v>
      </c>
      <c r="AI205" s="88" t="s">
        <v>1779</v>
      </c>
    </row>
    <row r="206" spans="2:35" ht="17.45" customHeight="1">
      <c r="B206" s="96" t="e">
        <f t="shared" si="6"/>
        <v>#REF!</v>
      </c>
      <c r="C206" s="148">
        <v>39303</v>
      </c>
      <c r="D206" s="98" t="s">
        <v>2245</v>
      </c>
      <c r="E206" s="118">
        <v>7600976</v>
      </c>
      <c r="F206" s="164" t="s">
        <v>2243</v>
      </c>
      <c r="G206" s="165" t="s">
        <v>901</v>
      </c>
      <c r="H206" s="171" t="s">
        <v>1772</v>
      </c>
      <c r="I206" s="98" t="s">
        <v>2245</v>
      </c>
      <c r="J206" s="181">
        <v>4</v>
      </c>
      <c r="K206" s="131" t="s">
        <v>1774</v>
      </c>
      <c r="L206" s="124">
        <v>2</v>
      </c>
      <c r="M206" s="218" t="s">
        <v>1706</v>
      </c>
      <c r="N206" s="106" t="str">
        <f t="shared" si="7"/>
        <v>42</v>
      </c>
      <c r="O206" s="107"/>
      <c r="P206" s="108" t="s">
        <v>2245</v>
      </c>
      <c r="Q206" s="107"/>
      <c r="R206" s="115" t="s">
        <v>1712</v>
      </c>
      <c r="S206" s="302" t="s">
        <v>1588</v>
      </c>
      <c r="T206" s="92" t="s">
        <v>1588</v>
      </c>
      <c r="U206" s="110"/>
      <c r="V206" s="94" t="s">
        <v>1712</v>
      </c>
      <c r="W206" s="107"/>
      <c r="X206" s="111">
        <v>7600976</v>
      </c>
      <c r="Y206" s="109" t="s">
        <v>1712</v>
      </c>
      <c r="Z206" s="98" t="s">
        <v>2245</v>
      </c>
      <c r="AA206" s="131" t="s">
        <v>1774</v>
      </c>
      <c r="AB206" s="218" t="s">
        <v>1706</v>
      </c>
      <c r="AC206" s="155"/>
      <c r="AH206" s="88" t="s">
        <v>1778</v>
      </c>
      <c r="AI206" s="88" t="s">
        <v>1779</v>
      </c>
    </row>
    <row r="207" spans="2:35" ht="17.45" customHeight="1">
      <c r="B207" s="96" t="e">
        <f t="shared" si="6"/>
        <v>#REF!</v>
      </c>
      <c r="C207" s="148">
        <v>39984</v>
      </c>
      <c r="D207" s="98" t="s">
        <v>1857</v>
      </c>
      <c r="E207" s="118">
        <v>7600501</v>
      </c>
      <c r="F207" s="164" t="s">
        <v>1856</v>
      </c>
      <c r="G207" s="165" t="s">
        <v>881</v>
      </c>
      <c r="H207" s="171" t="s">
        <v>1864</v>
      </c>
      <c r="I207" s="98" t="s">
        <v>1857</v>
      </c>
      <c r="J207" s="181">
        <v>4</v>
      </c>
      <c r="K207" s="131" t="s">
        <v>1774</v>
      </c>
      <c r="L207" s="124">
        <v>2</v>
      </c>
      <c r="M207" s="218" t="s">
        <v>1706</v>
      </c>
      <c r="N207" s="106" t="str">
        <f t="shared" si="7"/>
        <v>42</v>
      </c>
      <c r="O207" s="107"/>
      <c r="P207" s="114" t="s">
        <v>1857</v>
      </c>
      <c r="Q207" s="107"/>
      <c r="R207" s="115" t="s">
        <v>1707</v>
      </c>
      <c r="S207" s="302" t="s">
        <v>1588</v>
      </c>
      <c r="T207" s="92" t="s">
        <v>1588</v>
      </c>
      <c r="U207" s="110"/>
      <c r="V207" s="94" t="s">
        <v>1707</v>
      </c>
      <c r="W207" s="107"/>
      <c r="X207" s="117">
        <v>7600501</v>
      </c>
      <c r="Y207" s="109" t="s">
        <v>1707</v>
      </c>
      <c r="Z207" s="98" t="s">
        <v>1857</v>
      </c>
      <c r="AA207" s="131" t="s">
        <v>1774</v>
      </c>
      <c r="AB207" s="218" t="s">
        <v>1706</v>
      </c>
      <c r="AC207" s="291" t="s">
        <v>1719</v>
      </c>
      <c r="AH207" s="88" t="s">
        <v>1778</v>
      </c>
      <c r="AI207" s="88" t="s">
        <v>1779</v>
      </c>
    </row>
    <row r="208" spans="2:35" ht="17.45" customHeight="1">
      <c r="B208" s="96" t="e">
        <f t="shared" si="6"/>
        <v>#REF!</v>
      </c>
      <c r="C208" s="112">
        <v>39465</v>
      </c>
      <c r="D208" s="98" t="s">
        <v>2049</v>
      </c>
      <c r="E208" s="98">
        <v>7600473</v>
      </c>
      <c r="F208" s="113" t="s">
        <v>2048</v>
      </c>
      <c r="G208" s="100" t="s">
        <v>887</v>
      </c>
      <c r="H208" s="101" t="s">
        <v>2041</v>
      </c>
      <c r="I208" s="98" t="s">
        <v>2049</v>
      </c>
      <c r="J208" s="102">
        <v>4</v>
      </c>
      <c r="K208" s="103" t="s">
        <v>1774</v>
      </c>
      <c r="L208" s="124">
        <v>2</v>
      </c>
      <c r="M208" s="218" t="s">
        <v>1706</v>
      </c>
      <c r="N208" s="106" t="str">
        <f t="shared" si="7"/>
        <v>42</v>
      </c>
      <c r="O208" s="107"/>
      <c r="P208" s="114" t="s">
        <v>2049</v>
      </c>
      <c r="Q208" s="107"/>
      <c r="R208" s="115" t="s">
        <v>1709</v>
      </c>
      <c r="S208" s="302" t="s">
        <v>1588</v>
      </c>
      <c r="T208" s="92" t="s">
        <v>1588</v>
      </c>
      <c r="U208" s="110"/>
      <c r="V208" s="94" t="s">
        <v>1709</v>
      </c>
      <c r="W208" s="107"/>
      <c r="X208" s="117">
        <v>7600473</v>
      </c>
      <c r="Y208" s="109" t="s">
        <v>1709</v>
      </c>
      <c r="Z208" s="98" t="s">
        <v>2049</v>
      </c>
      <c r="AA208" s="103" t="s">
        <v>1774</v>
      </c>
      <c r="AB208" s="218" t="s">
        <v>1706</v>
      </c>
      <c r="AC208" s="155"/>
      <c r="AH208" s="88" t="s">
        <v>1778</v>
      </c>
      <c r="AI208" s="88" t="s">
        <v>1779</v>
      </c>
    </row>
    <row r="209" spans="1:55" ht="17.45" customHeight="1">
      <c r="B209" s="96" t="e">
        <f t="shared" si="6"/>
        <v>#REF!</v>
      </c>
      <c r="C209" s="148">
        <v>42324</v>
      </c>
      <c r="D209" s="98" t="s">
        <v>2162</v>
      </c>
      <c r="E209" s="118">
        <v>7600091</v>
      </c>
      <c r="F209" s="164" t="s">
        <v>2161</v>
      </c>
      <c r="G209" s="165" t="s">
        <v>892</v>
      </c>
      <c r="H209" s="171" t="s">
        <v>2165</v>
      </c>
      <c r="I209" s="98" t="s">
        <v>2162</v>
      </c>
      <c r="J209" s="172">
        <v>4</v>
      </c>
      <c r="K209" s="130" t="s">
        <v>1774</v>
      </c>
      <c r="L209" s="124">
        <v>2</v>
      </c>
      <c r="M209" s="218" t="s">
        <v>1706</v>
      </c>
      <c r="N209" s="106" t="str">
        <f t="shared" si="7"/>
        <v>42</v>
      </c>
      <c r="O209" s="107"/>
      <c r="P209" s="108" t="s">
        <v>2162</v>
      </c>
      <c r="Q209" s="107"/>
      <c r="R209" s="115" t="s">
        <v>1710</v>
      </c>
      <c r="S209" s="302" t="s">
        <v>1588</v>
      </c>
      <c r="T209" s="92" t="s">
        <v>1588</v>
      </c>
      <c r="U209" s="110"/>
      <c r="V209" s="94" t="s">
        <v>1710</v>
      </c>
      <c r="W209" s="107"/>
      <c r="X209" s="111">
        <v>7600091</v>
      </c>
      <c r="Y209" s="109" t="s">
        <v>1710</v>
      </c>
      <c r="Z209" s="98" t="s">
        <v>2162</v>
      </c>
      <c r="AA209" s="130" t="s">
        <v>1774</v>
      </c>
      <c r="AB209" s="218" t="s">
        <v>1706</v>
      </c>
      <c r="AC209" s="155"/>
      <c r="AH209" s="88" t="s">
        <v>1778</v>
      </c>
      <c r="AI209" s="88" t="s">
        <v>1779</v>
      </c>
    </row>
    <row r="210" spans="1:55" ht="17.45" customHeight="1">
      <c r="B210" s="96" t="e">
        <f t="shared" ref="B210:B223" si="8">B209+1</f>
        <v>#REF!</v>
      </c>
      <c r="C210" s="148">
        <v>39674</v>
      </c>
      <c r="D210" s="98" t="s">
        <v>2195</v>
      </c>
      <c r="E210" s="118">
        <v>7601061</v>
      </c>
      <c r="F210" s="164" t="s">
        <v>2193</v>
      </c>
      <c r="G210" s="165" t="s">
        <v>903</v>
      </c>
      <c r="H210" s="171" t="s">
        <v>2185</v>
      </c>
      <c r="I210" s="98" t="s">
        <v>2195</v>
      </c>
      <c r="J210" s="181">
        <v>4</v>
      </c>
      <c r="K210" s="131" t="s">
        <v>1774</v>
      </c>
      <c r="L210" s="124">
        <v>2</v>
      </c>
      <c r="M210" s="218" t="s">
        <v>1706</v>
      </c>
      <c r="N210" s="106" t="str">
        <f t="shared" si="7"/>
        <v>42</v>
      </c>
      <c r="O210" s="107"/>
      <c r="P210" s="108" t="s">
        <v>2195</v>
      </c>
      <c r="Q210" s="107"/>
      <c r="R210" s="115" t="s">
        <v>1711</v>
      </c>
      <c r="S210" s="302" t="s">
        <v>1588</v>
      </c>
      <c r="T210" s="92" t="s">
        <v>1588</v>
      </c>
      <c r="U210" s="110"/>
      <c r="V210" s="94" t="s">
        <v>1711</v>
      </c>
      <c r="W210" s="107"/>
      <c r="X210" s="111">
        <v>7601061</v>
      </c>
      <c r="Y210" s="109" t="s">
        <v>1711</v>
      </c>
      <c r="Z210" s="98" t="s">
        <v>2195</v>
      </c>
      <c r="AA210" s="131" t="s">
        <v>1774</v>
      </c>
      <c r="AB210" s="218" t="s">
        <v>1706</v>
      </c>
      <c r="AC210" s="155"/>
      <c r="AH210" s="88" t="s">
        <v>1778</v>
      </c>
      <c r="AI210" s="88" t="s">
        <v>1779</v>
      </c>
    </row>
    <row r="211" spans="1:55" ht="17.45" customHeight="1">
      <c r="A211" s="86"/>
      <c r="B211" s="96" t="e">
        <f t="shared" si="8"/>
        <v>#REF!</v>
      </c>
      <c r="C211" s="146">
        <v>37525</v>
      </c>
      <c r="D211" s="98" t="s">
        <v>1950</v>
      </c>
      <c r="E211" s="118">
        <v>7600511</v>
      </c>
      <c r="F211" s="168" t="s">
        <v>1943</v>
      </c>
      <c r="G211" s="169" t="s">
        <v>1949</v>
      </c>
      <c r="H211" s="101" t="s">
        <v>1951</v>
      </c>
      <c r="I211" s="98" t="s">
        <v>1950</v>
      </c>
      <c r="J211" s="102">
        <v>4</v>
      </c>
      <c r="K211" s="103" t="s">
        <v>1774</v>
      </c>
      <c r="L211" s="124">
        <v>3</v>
      </c>
      <c r="M211" s="218" t="s">
        <v>1713</v>
      </c>
      <c r="N211" s="106" t="str">
        <f t="shared" si="7"/>
        <v>43</v>
      </c>
      <c r="O211" s="107"/>
      <c r="P211" s="108" t="s">
        <v>1944</v>
      </c>
      <c r="Q211" s="107"/>
      <c r="R211" s="109" t="s">
        <v>1717</v>
      </c>
      <c r="S211" s="302" t="s">
        <v>1589</v>
      </c>
      <c r="T211" s="92" t="s">
        <v>1589</v>
      </c>
      <c r="U211" s="110"/>
      <c r="V211" s="94" t="s">
        <v>1717</v>
      </c>
      <c r="W211" s="107"/>
      <c r="X211" s="111">
        <v>7600085</v>
      </c>
      <c r="Y211" s="109" t="s">
        <v>1717</v>
      </c>
      <c r="Z211" s="98" t="s">
        <v>1950</v>
      </c>
      <c r="AA211" s="103" t="s">
        <v>1774</v>
      </c>
      <c r="AB211" s="218" t="s">
        <v>1713</v>
      </c>
      <c r="AC211" s="155"/>
      <c r="AD211" s="86"/>
      <c r="AE211" s="86"/>
      <c r="AF211" s="86"/>
      <c r="AG211" s="86"/>
      <c r="AH211" s="88" t="s">
        <v>1778</v>
      </c>
      <c r="AI211" s="88" t="s">
        <v>1779</v>
      </c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  <c r="BA211" s="86"/>
      <c r="BB211" s="86"/>
      <c r="BC211" s="86"/>
    </row>
    <row r="212" spans="1:55" s="86" customFormat="1" ht="17.45" customHeight="1">
      <c r="A212" s="56"/>
      <c r="B212" s="96" t="e">
        <f t="shared" si="8"/>
        <v>#REF!</v>
      </c>
      <c r="C212" s="146">
        <v>41991</v>
      </c>
      <c r="D212" s="98" t="s">
        <v>1958</v>
      </c>
      <c r="E212" s="118">
        <v>7601262</v>
      </c>
      <c r="F212" s="168" t="s">
        <v>1943</v>
      </c>
      <c r="G212" s="169" t="s">
        <v>929</v>
      </c>
      <c r="H212" s="171" t="s">
        <v>1951</v>
      </c>
      <c r="I212" s="98" t="s">
        <v>1958</v>
      </c>
      <c r="J212" s="102">
        <v>4</v>
      </c>
      <c r="K212" s="103" t="s">
        <v>1774</v>
      </c>
      <c r="L212" s="124">
        <v>3</v>
      </c>
      <c r="M212" s="218" t="s">
        <v>1713</v>
      </c>
      <c r="N212" s="106" t="str">
        <f t="shared" si="7"/>
        <v>43</v>
      </c>
      <c r="O212" s="107"/>
      <c r="P212" s="108" t="s">
        <v>1944</v>
      </c>
      <c r="Q212" s="107"/>
      <c r="R212" s="109" t="s">
        <v>1718</v>
      </c>
      <c r="S212" s="302" t="s">
        <v>1589</v>
      </c>
      <c r="T212" s="92" t="s">
        <v>1589</v>
      </c>
      <c r="U212" s="110"/>
      <c r="V212" s="94" t="s">
        <v>1718</v>
      </c>
      <c r="W212" s="107"/>
      <c r="X212" s="111">
        <v>7601264</v>
      </c>
      <c r="Y212" s="109" t="s">
        <v>1718</v>
      </c>
      <c r="Z212" s="98" t="s">
        <v>1958</v>
      </c>
      <c r="AA212" s="103" t="s">
        <v>1774</v>
      </c>
      <c r="AB212" s="218" t="s">
        <v>1713</v>
      </c>
      <c r="AC212" s="155"/>
      <c r="AD212" s="129"/>
      <c r="AE212" s="74"/>
      <c r="AF212" s="74"/>
      <c r="AG212" s="74"/>
      <c r="AH212" s="88" t="s">
        <v>1778</v>
      </c>
      <c r="AI212" s="88" t="s">
        <v>1779</v>
      </c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</row>
    <row r="213" spans="1:55" s="86" customFormat="1" ht="17.45" customHeight="1">
      <c r="B213" s="96" t="e">
        <f t="shared" si="8"/>
        <v>#REF!</v>
      </c>
      <c r="C213" s="148">
        <v>35445</v>
      </c>
      <c r="D213" s="98" t="s">
        <v>1956</v>
      </c>
      <c r="E213" s="118">
        <v>7601264</v>
      </c>
      <c r="F213" s="168" t="s">
        <v>1943</v>
      </c>
      <c r="G213" s="169" t="s">
        <v>1955</v>
      </c>
      <c r="H213" s="171" t="s">
        <v>1951</v>
      </c>
      <c r="I213" s="98" t="s">
        <v>1956</v>
      </c>
      <c r="J213" s="102">
        <v>4</v>
      </c>
      <c r="K213" s="103" t="s">
        <v>1774</v>
      </c>
      <c r="L213" s="124">
        <v>3</v>
      </c>
      <c r="M213" s="218" t="s">
        <v>1713</v>
      </c>
      <c r="N213" s="106" t="str">
        <f t="shared" si="7"/>
        <v>43</v>
      </c>
      <c r="O213" s="107"/>
      <c r="P213" s="108" t="s">
        <v>1944</v>
      </c>
      <c r="Q213" s="107"/>
      <c r="R213" s="109" t="s">
        <v>1718</v>
      </c>
      <c r="S213" s="302" t="s">
        <v>1589</v>
      </c>
      <c r="T213" s="92" t="s">
        <v>1589</v>
      </c>
      <c r="U213" s="110"/>
      <c r="V213" s="94" t="s">
        <v>1718</v>
      </c>
      <c r="W213" s="107"/>
      <c r="X213" s="111">
        <v>7601264</v>
      </c>
      <c r="Y213" s="109" t="s">
        <v>1718</v>
      </c>
      <c r="Z213" s="98" t="s">
        <v>1956</v>
      </c>
      <c r="AA213" s="103" t="s">
        <v>1774</v>
      </c>
      <c r="AB213" s="218" t="s">
        <v>1713</v>
      </c>
      <c r="AC213" s="155"/>
      <c r="AH213" s="88" t="s">
        <v>1778</v>
      </c>
      <c r="AI213" s="88" t="s">
        <v>1779</v>
      </c>
    </row>
    <row r="214" spans="1:55" s="86" customFormat="1" ht="17.45" customHeight="1">
      <c r="B214" s="96" t="e">
        <f t="shared" si="8"/>
        <v>#REF!</v>
      </c>
      <c r="C214" s="183">
        <v>38852</v>
      </c>
      <c r="D214" s="184" t="s">
        <v>1957</v>
      </c>
      <c r="E214" s="118">
        <v>7601263</v>
      </c>
      <c r="F214" s="168" t="s">
        <v>1943</v>
      </c>
      <c r="G214" s="169" t="s">
        <v>934</v>
      </c>
      <c r="H214" s="171" t="s">
        <v>1951</v>
      </c>
      <c r="I214" s="184" t="s">
        <v>1957</v>
      </c>
      <c r="J214" s="102">
        <v>4</v>
      </c>
      <c r="K214" s="103" t="s">
        <v>1774</v>
      </c>
      <c r="L214" s="124">
        <v>3</v>
      </c>
      <c r="M214" s="218" t="s">
        <v>1713</v>
      </c>
      <c r="N214" s="106" t="str">
        <f t="shared" si="7"/>
        <v>43</v>
      </c>
      <c r="O214" s="107"/>
      <c r="P214" s="108" t="s">
        <v>1944</v>
      </c>
      <c r="Q214" s="107"/>
      <c r="R214" s="109" t="s">
        <v>1718</v>
      </c>
      <c r="S214" s="302" t="s">
        <v>1589</v>
      </c>
      <c r="T214" s="92" t="s">
        <v>1589</v>
      </c>
      <c r="U214" s="110"/>
      <c r="V214" s="94" t="s">
        <v>1718</v>
      </c>
      <c r="W214" s="107"/>
      <c r="X214" s="111">
        <v>7601264</v>
      </c>
      <c r="Y214" s="109" t="s">
        <v>1718</v>
      </c>
      <c r="Z214" s="184" t="s">
        <v>1957</v>
      </c>
      <c r="AA214" s="103" t="s">
        <v>1774</v>
      </c>
      <c r="AB214" s="218" t="s">
        <v>1713</v>
      </c>
      <c r="AC214" s="155"/>
      <c r="AH214" s="88" t="s">
        <v>1778</v>
      </c>
      <c r="AI214" s="88" t="s">
        <v>1779</v>
      </c>
    </row>
    <row r="215" spans="1:55" s="86" customFormat="1" ht="17.45" customHeight="1">
      <c r="A215" s="56"/>
      <c r="B215" s="96" t="e">
        <f t="shared" si="8"/>
        <v>#REF!</v>
      </c>
      <c r="C215" s="185">
        <v>37291</v>
      </c>
      <c r="D215" s="186" t="s">
        <v>1947</v>
      </c>
      <c r="E215" s="118">
        <v>7600299</v>
      </c>
      <c r="F215" s="187" t="s">
        <v>1943</v>
      </c>
      <c r="G215" s="169" t="s">
        <v>909</v>
      </c>
      <c r="H215" s="188" t="s">
        <v>1951</v>
      </c>
      <c r="I215" s="186" t="s">
        <v>1947</v>
      </c>
      <c r="J215" s="102">
        <v>4</v>
      </c>
      <c r="K215" s="103" t="s">
        <v>1774</v>
      </c>
      <c r="L215" s="124">
        <v>3</v>
      </c>
      <c r="M215" s="218" t="s">
        <v>1713</v>
      </c>
      <c r="N215" s="106" t="str">
        <f t="shared" si="7"/>
        <v>43</v>
      </c>
      <c r="O215" s="107"/>
      <c r="P215" s="108" t="s">
        <v>1944</v>
      </c>
      <c r="Q215" s="107"/>
      <c r="R215" s="109" t="s">
        <v>1716</v>
      </c>
      <c r="S215" s="302" t="s">
        <v>1589</v>
      </c>
      <c r="T215" s="92" t="s">
        <v>1589</v>
      </c>
      <c r="U215" s="110"/>
      <c r="V215" s="94" t="s">
        <v>1716</v>
      </c>
      <c r="W215" s="107"/>
      <c r="X215" s="111">
        <v>7600085</v>
      </c>
      <c r="Y215" s="109" t="s">
        <v>1716</v>
      </c>
      <c r="Z215" s="186" t="s">
        <v>1947</v>
      </c>
      <c r="AA215" s="103" t="s">
        <v>1774</v>
      </c>
      <c r="AB215" s="218" t="s">
        <v>1713</v>
      </c>
      <c r="AC215" s="110" t="s">
        <v>1727</v>
      </c>
      <c r="AH215" s="88" t="s">
        <v>1778</v>
      </c>
      <c r="AI215" s="88" t="s">
        <v>1779</v>
      </c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</row>
    <row r="216" spans="1:55" s="86" customFormat="1" ht="17.45" customHeight="1">
      <c r="A216" s="56"/>
      <c r="B216" s="96" t="e">
        <f t="shared" si="8"/>
        <v>#REF!</v>
      </c>
      <c r="C216" s="146">
        <v>36542</v>
      </c>
      <c r="D216" s="98" t="s">
        <v>1945</v>
      </c>
      <c r="E216" s="118">
        <v>7600139</v>
      </c>
      <c r="F216" s="168" t="s">
        <v>1943</v>
      </c>
      <c r="G216" s="169" t="s">
        <v>915</v>
      </c>
      <c r="H216" s="170" t="s">
        <v>1951</v>
      </c>
      <c r="I216" s="98" t="s">
        <v>1945</v>
      </c>
      <c r="J216" s="189">
        <v>4</v>
      </c>
      <c r="K216" s="131" t="s">
        <v>1774</v>
      </c>
      <c r="L216" s="124">
        <v>3</v>
      </c>
      <c r="M216" s="218" t="s">
        <v>1713</v>
      </c>
      <c r="N216" s="106" t="str">
        <f t="shared" si="7"/>
        <v>43</v>
      </c>
      <c r="O216" s="107"/>
      <c r="P216" s="108" t="s">
        <v>1944</v>
      </c>
      <c r="Q216" s="107"/>
      <c r="R216" s="109" t="s">
        <v>1716</v>
      </c>
      <c r="S216" s="302" t="s">
        <v>1589</v>
      </c>
      <c r="T216" s="92" t="s">
        <v>1589</v>
      </c>
      <c r="U216" s="110"/>
      <c r="V216" s="94" t="s">
        <v>1716</v>
      </c>
      <c r="W216" s="107"/>
      <c r="X216" s="111">
        <v>7600085</v>
      </c>
      <c r="Y216" s="109" t="s">
        <v>1716</v>
      </c>
      <c r="Z216" s="98" t="s">
        <v>1945</v>
      </c>
      <c r="AA216" s="131" t="s">
        <v>1774</v>
      </c>
      <c r="AB216" s="218" t="s">
        <v>1713</v>
      </c>
      <c r="AC216" s="110" t="s">
        <v>1720</v>
      </c>
      <c r="AD216" s="129"/>
      <c r="AE216" s="74"/>
      <c r="AF216" s="74"/>
      <c r="AG216" s="74"/>
      <c r="AH216" s="88" t="s">
        <v>1778</v>
      </c>
      <c r="AI216" s="88" t="s">
        <v>1779</v>
      </c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</row>
    <row r="217" spans="1:55" ht="17.45" customHeight="1">
      <c r="A217" s="86"/>
      <c r="B217" s="96" t="e">
        <f t="shared" si="8"/>
        <v>#REF!</v>
      </c>
      <c r="C217" s="148">
        <v>44851</v>
      </c>
      <c r="D217" s="98" t="s">
        <v>1952</v>
      </c>
      <c r="E217" s="118">
        <v>7601209</v>
      </c>
      <c r="F217" s="164" t="s">
        <v>1943</v>
      </c>
      <c r="G217" s="165" t="s">
        <v>919</v>
      </c>
      <c r="H217" s="171" t="s">
        <v>1961</v>
      </c>
      <c r="I217" s="98" t="s">
        <v>1952</v>
      </c>
      <c r="J217" s="181">
        <v>4</v>
      </c>
      <c r="K217" s="131" t="s">
        <v>1774</v>
      </c>
      <c r="L217" s="124">
        <v>3</v>
      </c>
      <c r="M217" s="218" t="s">
        <v>1713</v>
      </c>
      <c r="N217" s="106" t="str">
        <f t="shared" si="7"/>
        <v>43</v>
      </c>
      <c r="O217" s="107"/>
      <c r="P217" s="108" t="s">
        <v>1944</v>
      </c>
      <c r="Q217" s="107"/>
      <c r="R217" s="115" t="s">
        <v>1716</v>
      </c>
      <c r="S217" s="302" t="s">
        <v>1589</v>
      </c>
      <c r="T217" s="92" t="s">
        <v>1589</v>
      </c>
      <c r="U217" s="110"/>
      <c r="V217" s="94" t="s">
        <v>1716</v>
      </c>
      <c r="W217" s="107"/>
      <c r="X217" s="111">
        <v>7600085</v>
      </c>
      <c r="Y217" s="109" t="s">
        <v>1716</v>
      </c>
      <c r="Z217" s="98" t="s">
        <v>1952</v>
      </c>
      <c r="AA217" s="131" t="s">
        <v>1774</v>
      </c>
      <c r="AB217" s="218" t="s">
        <v>1713</v>
      </c>
      <c r="AC217" s="155"/>
      <c r="AD217" s="86"/>
      <c r="AE217" s="86"/>
      <c r="AF217" s="86"/>
      <c r="AG217" s="86"/>
      <c r="AH217" s="88" t="s">
        <v>1778</v>
      </c>
      <c r="AI217" s="88" t="s">
        <v>1779</v>
      </c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  <c r="BA217" s="86"/>
      <c r="BB217" s="86"/>
      <c r="BC217" s="86"/>
    </row>
    <row r="218" spans="1:55" ht="17.45" customHeight="1">
      <c r="A218" s="86"/>
      <c r="B218" s="96" t="e">
        <f t="shared" si="8"/>
        <v>#REF!</v>
      </c>
      <c r="C218" s="148">
        <v>35999</v>
      </c>
      <c r="D218" s="98" t="s">
        <v>1944</v>
      </c>
      <c r="E218" s="98">
        <v>7600085</v>
      </c>
      <c r="F218" s="113" t="s">
        <v>1943</v>
      </c>
      <c r="G218" s="165" t="s">
        <v>923</v>
      </c>
      <c r="H218" s="101" t="s">
        <v>1951</v>
      </c>
      <c r="I218" s="98" t="s">
        <v>1944</v>
      </c>
      <c r="J218" s="181">
        <v>4</v>
      </c>
      <c r="K218" s="131" t="s">
        <v>1774</v>
      </c>
      <c r="L218" s="124">
        <v>3</v>
      </c>
      <c r="M218" s="218" t="s">
        <v>1713</v>
      </c>
      <c r="N218" s="106" t="str">
        <f t="shared" si="7"/>
        <v>43</v>
      </c>
      <c r="O218" s="107"/>
      <c r="P218" s="114" t="s">
        <v>1944</v>
      </c>
      <c r="Q218" s="107"/>
      <c r="R218" s="115" t="s">
        <v>1716</v>
      </c>
      <c r="S218" s="302" t="s">
        <v>1589</v>
      </c>
      <c r="T218" s="92" t="s">
        <v>1589</v>
      </c>
      <c r="U218" s="110"/>
      <c r="V218" s="94" t="s">
        <v>1716</v>
      </c>
      <c r="W218" s="107"/>
      <c r="X218" s="117">
        <v>7600085</v>
      </c>
      <c r="Y218" s="109" t="s">
        <v>1716</v>
      </c>
      <c r="Z218" s="98" t="s">
        <v>1944</v>
      </c>
      <c r="AA218" s="131" t="s">
        <v>1774</v>
      </c>
      <c r="AB218" s="218" t="s">
        <v>1713</v>
      </c>
      <c r="AC218" s="110" t="s">
        <v>1621</v>
      </c>
      <c r="AH218" s="88" t="s">
        <v>1778</v>
      </c>
      <c r="AI218" s="88" t="s">
        <v>1779</v>
      </c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</row>
    <row r="219" spans="1:55" ht="17.45" customHeight="1">
      <c r="B219" s="96" t="e">
        <f t="shared" si="8"/>
        <v>#REF!</v>
      </c>
      <c r="C219" s="148">
        <v>36503</v>
      </c>
      <c r="D219" s="98" t="s">
        <v>2045</v>
      </c>
      <c r="E219" s="118">
        <v>7601091</v>
      </c>
      <c r="F219" s="285" t="s">
        <v>2043</v>
      </c>
      <c r="G219" s="286" t="s">
        <v>935</v>
      </c>
      <c r="H219" s="286" t="s">
        <v>2036</v>
      </c>
      <c r="I219" s="98" t="s">
        <v>2045</v>
      </c>
      <c r="J219" s="172">
        <v>4</v>
      </c>
      <c r="K219" s="130" t="s">
        <v>1774</v>
      </c>
      <c r="L219" s="124">
        <v>3</v>
      </c>
      <c r="M219" s="218" t="s">
        <v>1713</v>
      </c>
      <c r="N219" s="106" t="str">
        <f t="shared" si="7"/>
        <v>43</v>
      </c>
      <c r="O219" s="107"/>
      <c r="P219" s="174" t="s">
        <v>2045</v>
      </c>
      <c r="Q219" s="163"/>
      <c r="R219" s="192" t="s">
        <v>1719</v>
      </c>
      <c r="S219" s="302" t="s">
        <v>1589</v>
      </c>
      <c r="T219" s="92" t="s">
        <v>1589</v>
      </c>
      <c r="U219" s="110"/>
      <c r="V219" s="94" t="s">
        <v>1719</v>
      </c>
      <c r="W219" s="163"/>
      <c r="X219" s="117">
        <v>7601091</v>
      </c>
      <c r="Y219" s="109" t="s">
        <v>1719</v>
      </c>
      <c r="Z219" s="98" t="s">
        <v>2045</v>
      </c>
      <c r="AA219" s="130" t="s">
        <v>1774</v>
      </c>
      <c r="AB219" s="218" t="s">
        <v>1713</v>
      </c>
      <c r="AC219" s="155"/>
      <c r="AH219" s="88" t="s">
        <v>1778</v>
      </c>
      <c r="AI219" s="88" t="s">
        <v>1779</v>
      </c>
    </row>
    <row r="220" spans="1:55" ht="17.45" customHeight="1">
      <c r="B220" s="96" t="e">
        <f t="shared" si="8"/>
        <v>#REF!</v>
      </c>
      <c r="C220" s="148">
        <v>44679</v>
      </c>
      <c r="D220" s="98" t="s">
        <v>2047</v>
      </c>
      <c r="E220" s="118">
        <v>7601187</v>
      </c>
      <c r="F220" s="285" t="s">
        <v>2043</v>
      </c>
      <c r="G220" s="286" t="s">
        <v>941</v>
      </c>
      <c r="H220" s="286" t="s">
        <v>2039</v>
      </c>
      <c r="I220" s="98" t="s">
        <v>2047</v>
      </c>
      <c r="J220" s="172">
        <v>4</v>
      </c>
      <c r="K220" s="130" t="s">
        <v>1774</v>
      </c>
      <c r="L220" s="124">
        <v>3</v>
      </c>
      <c r="M220" s="218" t="s">
        <v>1713</v>
      </c>
      <c r="N220" s="106" t="str">
        <f t="shared" si="7"/>
        <v>43</v>
      </c>
      <c r="O220" s="107"/>
      <c r="P220" s="174" t="s">
        <v>2045</v>
      </c>
      <c r="Q220" s="163"/>
      <c r="R220" s="192" t="s">
        <v>1719</v>
      </c>
      <c r="S220" s="302" t="s">
        <v>1589</v>
      </c>
      <c r="T220" s="92" t="s">
        <v>1589</v>
      </c>
      <c r="U220" s="110"/>
      <c r="V220" s="94" t="s">
        <v>1719</v>
      </c>
      <c r="W220" s="163"/>
      <c r="X220" s="211">
        <v>7601091</v>
      </c>
      <c r="Y220" s="109" t="s">
        <v>1719</v>
      </c>
      <c r="Z220" s="98" t="s">
        <v>2047</v>
      </c>
      <c r="AA220" s="130" t="s">
        <v>1774</v>
      </c>
      <c r="AB220" s="218" t="s">
        <v>1713</v>
      </c>
      <c r="AC220" s="155"/>
      <c r="AH220" s="88" t="s">
        <v>1778</v>
      </c>
      <c r="AI220" s="88" t="s">
        <v>1779</v>
      </c>
    </row>
    <row r="221" spans="1:55" ht="17.45" customHeight="1">
      <c r="B221" s="96" t="e">
        <f t="shared" si="8"/>
        <v>#REF!</v>
      </c>
      <c r="C221" s="148">
        <v>44104</v>
      </c>
      <c r="D221" s="98" t="s">
        <v>1865</v>
      </c>
      <c r="E221" s="118">
        <v>7601094</v>
      </c>
      <c r="F221" s="242" t="s">
        <v>1863</v>
      </c>
      <c r="G221" s="171" t="s">
        <v>946</v>
      </c>
      <c r="H221" s="171" t="s">
        <v>2244</v>
      </c>
      <c r="I221" s="98" t="s">
        <v>1865</v>
      </c>
      <c r="J221" s="172">
        <v>4</v>
      </c>
      <c r="K221" s="130" t="s">
        <v>1774</v>
      </c>
      <c r="L221" s="124">
        <v>3</v>
      </c>
      <c r="M221" s="218" t="s">
        <v>1713</v>
      </c>
      <c r="N221" s="106" t="str">
        <f t="shared" si="7"/>
        <v>43</v>
      </c>
      <c r="O221" s="107"/>
      <c r="P221" s="108" t="s">
        <v>1865</v>
      </c>
      <c r="Q221" s="107"/>
      <c r="R221" s="115" t="s">
        <v>1714</v>
      </c>
      <c r="S221" s="302" t="s">
        <v>1589</v>
      </c>
      <c r="T221" s="92" t="s">
        <v>1589</v>
      </c>
      <c r="U221" s="110"/>
      <c r="V221" s="94" t="s">
        <v>1714</v>
      </c>
      <c r="W221" s="107"/>
      <c r="X221" s="111">
        <v>7601094</v>
      </c>
      <c r="Y221" s="109" t="s">
        <v>1714</v>
      </c>
      <c r="Z221" s="98" t="s">
        <v>1865</v>
      </c>
      <c r="AA221" s="130" t="s">
        <v>1774</v>
      </c>
      <c r="AB221" s="218" t="s">
        <v>1713</v>
      </c>
      <c r="AC221" s="110" t="s">
        <v>1669</v>
      </c>
      <c r="AH221" s="88" t="s">
        <v>1778</v>
      </c>
      <c r="AI221" s="88" t="s">
        <v>1779</v>
      </c>
    </row>
    <row r="222" spans="1:55" ht="17.45" customHeight="1">
      <c r="B222" s="96" t="e">
        <f t="shared" si="8"/>
        <v>#REF!</v>
      </c>
      <c r="C222" s="193">
        <v>43702</v>
      </c>
      <c r="D222" s="98" t="s">
        <v>2260</v>
      </c>
      <c r="E222" s="98">
        <v>7601086</v>
      </c>
      <c r="F222" s="153" t="s">
        <v>2259</v>
      </c>
      <c r="G222" s="101" t="s">
        <v>953</v>
      </c>
      <c r="H222" s="154" t="s">
        <v>2297</v>
      </c>
      <c r="I222" s="98" t="s">
        <v>2260</v>
      </c>
      <c r="J222" s="126">
        <v>4</v>
      </c>
      <c r="K222" s="124" t="s">
        <v>1774</v>
      </c>
      <c r="L222" s="124">
        <v>3</v>
      </c>
      <c r="M222" s="218" t="s">
        <v>1713</v>
      </c>
      <c r="N222" s="106" t="str">
        <f t="shared" si="7"/>
        <v>43</v>
      </c>
      <c r="O222" s="107"/>
      <c r="P222" s="108" t="s">
        <v>2260</v>
      </c>
      <c r="Q222" s="107"/>
      <c r="R222" s="115" t="s">
        <v>1720</v>
      </c>
      <c r="S222" s="302" t="s">
        <v>1589</v>
      </c>
      <c r="T222" s="92" t="s">
        <v>1589</v>
      </c>
      <c r="U222" s="110"/>
      <c r="V222" s="94" t="s">
        <v>1720</v>
      </c>
      <c r="W222" s="107"/>
      <c r="X222" s="111">
        <v>7601086</v>
      </c>
      <c r="Y222" s="109" t="s">
        <v>1720</v>
      </c>
      <c r="Z222" s="98" t="s">
        <v>2260</v>
      </c>
      <c r="AA222" s="124" t="s">
        <v>1774</v>
      </c>
      <c r="AB222" s="218" t="s">
        <v>1713</v>
      </c>
      <c r="AC222" s="155"/>
      <c r="AH222" s="88" t="s">
        <v>1778</v>
      </c>
      <c r="AI222" s="88" t="s">
        <v>1779</v>
      </c>
    </row>
    <row r="223" spans="1:55" ht="17.45" customHeight="1">
      <c r="B223" s="96" t="e">
        <f t="shared" si="8"/>
        <v>#REF!</v>
      </c>
      <c r="C223" s="148">
        <v>41563</v>
      </c>
      <c r="D223" s="98" t="s">
        <v>1822</v>
      </c>
      <c r="E223" s="118">
        <v>7600732</v>
      </c>
      <c r="F223" s="164" t="s">
        <v>1820</v>
      </c>
      <c r="G223" s="165" t="s">
        <v>1821</v>
      </c>
      <c r="H223" s="171" t="s">
        <v>2180</v>
      </c>
      <c r="I223" s="98" t="s">
        <v>1822</v>
      </c>
      <c r="J223" s="172">
        <v>4</v>
      </c>
      <c r="K223" s="130" t="s">
        <v>1774</v>
      </c>
      <c r="L223" s="124">
        <v>4</v>
      </c>
      <c r="M223" s="218" t="s">
        <v>1721</v>
      </c>
      <c r="N223" s="106" t="str">
        <f t="shared" si="7"/>
        <v>44</v>
      </c>
      <c r="O223" s="107"/>
      <c r="P223" s="108" t="s">
        <v>1822</v>
      </c>
      <c r="Q223" s="107"/>
      <c r="R223" s="115" t="s">
        <v>1722</v>
      </c>
      <c r="S223" s="302" t="s">
        <v>1590</v>
      </c>
      <c r="T223" s="92" t="s">
        <v>1590</v>
      </c>
      <c r="U223" s="110"/>
      <c r="V223" s="94" t="s">
        <v>1722</v>
      </c>
      <c r="W223" s="107"/>
      <c r="X223" s="117">
        <v>7600732</v>
      </c>
      <c r="Y223" s="109" t="s">
        <v>1722</v>
      </c>
      <c r="Z223" s="98" t="s">
        <v>1822</v>
      </c>
      <c r="AA223" s="130" t="s">
        <v>1774</v>
      </c>
      <c r="AB223" s="218" t="s">
        <v>1721</v>
      </c>
      <c r="AC223" s="110" t="s">
        <v>1738</v>
      </c>
      <c r="AH223" s="88" t="s">
        <v>1778</v>
      </c>
      <c r="AI223" s="88" t="s">
        <v>1779</v>
      </c>
    </row>
    <row r="224" spans="1:55" ht="17.45" customHeight="1">
      <c r="B224" s="96" t="e">
        <f>#REF!+1</f>
        <v>#REF!</v>
      </c>
      <c r="C224" s="148">
        <v>40487</v>
      </c>
      <c r="D224" s="98" t="s">
        <v>2262</v>
      </c>
      <c r="E224" s="118">
        <v>7600935</v>
      </c>
      <c r="F224" s="164" t="s">
        <v>2261</v>
      </c>
      <c r="G224" s="165" t="s">
        <v>963</v>
      </c>
      <c r="H224" s="171" t="s">
        <v>1976</v>
      </c>
      <c r="I224" s="98" t="s">
        <v>2262</v>
      </c>
      <c r="J224" s="181">
        <v>4</v>
      </c>
      <c r="K224" s="131" t="s">
        <v>1774</v>
      </c>
      <c r="L224" s="124">
        <v>4</v>
      </c>
      <c r="M224" s="218" t="s">
        <v>1721</v>
      </c>
      <c r="N224" s="106" t="str">
        <f t="shared" si="7"/>
        <v>44</v>
      </c>
      <c r="O224" s="107"/>
      <c r="P224" s="108" t="s">
        <v>2262</v>
      </c>
      <c r="Q224" s="107"/>
      <c r="R224" s="115" t="s">
        <v>1727</v>
      </c>
      <c r="S224" s="302" t="s">
        <v>1590</v>
      </c>
      <c r="T224" s="92" t="s">
        <v>1590</v>
      </c>
      <c r="U224" s="110"/>
      <c r="V224" s="94" t="s">
        <v>1727</v>
      </c>
      <c r="W224" s="107"/>
      <c r="X224" s="117">
        <v>7600935</v>
      </c>
      <c r="Y224" s="109" t="s">
        <v>1727</v>
      </c>
      <c r="Z224" s="98" t="s">
        <v>2262</v>
      </c>
      <c r="AA224" s="131" t="s">
        <v>1774</v>
      </c>
      <c r="AB224" s="218" t="s">
        <v>1721</v>
      </c>
      <c r="AC224" s="155"/>
      <c r="AH224" s="88" t="s">
        <v>1778</v>
      </c>
      <c r="AI224" s="88" t="s">
        <v>1779</v>
      </c>
    </row>
    <row r="225" spans="1:55" ht="17.45" customHeight="1">
      <c r="B225" s="96" t="e">
        <f t="shared" ref="B225:B244" si="9">B224+1</f>
        <v>#REF!</v>
      </c>
      <c r="C225" s="148">
        <v>42527</v>
      </c>
      <c r="D225" s="98" t="s">
        <v>2052</v>
      </c>
      <c r="E225" s="118">
        <v>7600863</v>
      </c>
      <c r="F225" s="164" t="s">
        <v>2050</v>
      </c>
      <c r="G225" s="165" t="s">
        <v>969</v>
      </c>
      <c r="H225" s="171" t="s">
        <v>2044</v>
      </c>
      <c r="I225" s="98" t="s">
        <v>2052</v>
      </c>
      <c r="J225" s="181">
        <v>4</v>
      </c>
      <c r="K225" s="131" t="s">
        <v>1774</v>
      </c>
      <c r="L225" s="124">
        <v>4</v>
      </c>
      <c r="M225" s="218" t="s">
        <v>1721</v>
      </c>
      <c r="N225" s="106" t="str">
        <f t="shared" si="7"/>
        <v>44</v>
      </c>
      <c r="O225" s="107"/>
      <c r="P225" s="108" t="s">
        <v>2052</v>
      </c>
      <c r="Q225" s="107"/>
      <c r="R225" s="115" t="s">
        <v>1725</v>
      </c>
      <c r="S225" s="302" t="s">
        <v>1590</v>
      </c>
      <c r="T225" s="92" t="s">
        <v>1590</v>
      </c>
      <c r="U225" s="110"/>
      <c r="V225" s="94" t="s">
        <v>1725</v>
      </c>
      <c r="W225" s="107"/>
      <c r="X225" s="111">
        <v>7600863</v>
      </c>
      <c r="Y225" s="109" t="s">
        <v>1725</v>
      </c>
      <c r="Z225" s="98" t="s">
        <v>2052</v>
      </c>
      <c r="AA225" s="131" t="s">
        <v>1774</v>
      </c>
      <c r="AB225" s="218" t="s">
        <v>1721</v>
      </c>
      <c r="AC225" s="155"/>
      <c r="AH225" s="88" t="s">
        <v>1778</v>
      </c>
      <c r="AI225" s="88" t="s">
        <v>1779</v>
      </c>
    </row>
    <row r="226" spans="1:55" ht="17.45" customHeight="1">
      <c r="B226" s="96" t="e">
        <f t="shared" si="9"/>
        <v>#REF!</v>
      </c>
      <c r="C226" s="112">
        <v>36277</v>
      </c>
      <c r="D226" s="98" t="s">
        <v>2037</v>
      </c>
      <c r="E226" s="98">
        <v>7600104</v>
      </c>
      <c r="F226" s="113" t="s">
        <v>2035</v>
      </c>
      <c r="G226" s="100" t="s">
        <v>974</v>
      </c>
      <c r="H226" s="101" t="s">
        <v>2150</v>
      </c>
      <c r="I226" s="98" t="s">
        <v>2037</v>
      </c>
      <c r="J226" s="102">
        <v>4</v>
      </c>
      <c r="K226" s="103" t="s">
        <v>1774</v>
      </c>
      <c r="L226" s="124">
        <v>4</v>
      </c>
      <c r="M226" s="218" t="s">
        <v>1721</v>
      </c>
      <c r="N226" s="106" t="str">
        <f t="shared" si="7"/>
        <v>44</v>
      </c>
      <c r="O226" s="107"/>
      <c r="P226" s="114" t="s">
        <v>2037</v>
      </c>
      <c r="Q226" s="107"/>
      <c r="R226" s="115" t="s">
        <v>1724</v>
      </c>
      <c r="S226" s="302" t="s">
        <v>1590</v>
      </c>
      <c r="T226" s="92" t="s">
        <v>1590</v>
      </c>
      <c r="U226" s="110"/>
      <c r="V226" s="94" t="s">
        <v>1724</v>
      </c>
      <c r="W226" s="107"/>
      <c r="X226" s="117">
        <v>7600104</v>
      </c>
      <c r="Y226" s="109" t="s">
        <v>1724</v>
      </c>
      <c r="Z226" s="98" t="s">
        <v>2037</v>
      </c>
      <c r="AA226" s="103" t="s">
        <v>1774</v>
      </c>
      <c r="AB226" s="218" t="s">
        <v>1721</v>
      </c>
      <c r="AC226" s="155"/>
      <c r="AH226" s="88" t="s">
        <v>1778</v>
      </c>
      <c r="AI226" s="88" t="s">
        <v>1779</v>
      </c>
    </row>
    <row r="227" spans="1:55" ht="17.45" customHeight="1">
      <c r="B227" s="96" t="e">
        <f t="shared" si="9"/>
        <v>#REF!</v>
      </c>
      <c r="C227" s="148">
        <v>41548</v>
      </c>
      <c r="D227" s="98" t="s">
        <v>2040</v>
      </c>
      <c r="E227" s="118">
        <v>7600781</v>
      </c>
      <c r="F227" s="164" t="s">
        <v>2035</v>
      </c>
      <c r="G227" s="165" t="s">
        <v>2038</v>
      </c>
      <c r="H227" s="171" t="s">
        <v>2153</v>
      </c>
      <c r="I227" s="98" t="s">
        <v>2040</v>
      </c>
      <c r="J227" s="181">
        <v>4</v>
      </c>
      <c r="K227" s="131" t="s">
        <v>1774</v>
      </c>
      <c r="L227" s="124">
        <v>4</v>
      </c>
      <c r="M227" s="218" t="s">
        <v>1721</v>
      </c>
      <c r="N227" s="106" t="str">
        <f t="shared" si="7"/>
        <v>44</v>
      </c>
      <c r="O227" s="107"/>
      <c r="P227" s="114" t="s">
        <v>2037</v>
      </c>
      <c r="Q227" s="107"/>
      <c r="R227" s="115" t="s">
        <v>1724</v>
      </c>
      <c r="S227" s="302" t="s">
        <v>1590</v>
      </c>
      <c r="T227" s="92" t="s">
        <v>1590</v>
      </c>
      <c r="U227" s="110"/>
      <c r="V227" s="94" t="s">
        <v>1724</v>
      </c>
      <c r="W227" s="107"/>
      <c r="X227" s="117">
        <v>7600104</v>
      </c>
      <c r="Y227" s="109" t="s">
        <v>1724</v>
      </c>
      <c r="Z227" s="98" t="s">
        <v>2040</v>
      </c>
      <c r="AA227" s="131" t="s">
        <v>1774</v>
      </c>
      <c r="AB227" s="218" t="s">
        <v>1721</v>
      </c>
      <c r="AC227" s="155"/>
      <c r="AH227" s="88" t="s">
        <v>1778</v>
      </c>
      <c r="AI227" s="88" t="s">
        <v>1779</v>
      </c>
    </row>
    <row r="228" spans="1:55" ht="17.45" customHeight="1">
      <c r="B228" s="96" t="e">
        <f t="shared" si="9"/>
        <v>#REF!</v>
      </c>
      <c r="C228" s="148">
        <v>41547</v>
      </c>
      <c r="D228" s="98" t="s">
        <v>2042</v>
      </c>
      <c r="E228" s="118">
        <v>7600763</v>
      </c>
      <c r="F228" s="164" t="s">
        <v>2035</v>
      </c>
      <c r="G228" s="165" t="s">
        <v>981</v>
      </c>
      <c r="H228" s="171" t="s">
        <v>2153</v>
      </c>
      <c r="I228" s="98" t="s">
        <v>2042</v>
      </c>
      <c r="J228" s="172">
        <v>4</v>
      </c>
      <c r="K228" s="130" t="s">
        <v>1774</v>
      </c>
      <c r="L228" s="124">
        <v>4</v>
      </c>
      <c r="M228" s="218" t="s">
        <v>1721</v>
      </c>
      <c r="N228" s="106" t="str">
        <f t="shared" si="7"/>
        <v>44</v>
      </c>
      <c r="O228" s="107"/>
      <c r="P228" s="111" t="s">
        <v>2037</v>
      </c>
      <c r="Q228" s="107"/>
      <c r="R228" s="115" t="s">
        <v>1724</v>
      </c>
      <c r="S228" s="302" t="s">
        <v>1590</v>
      </c>
      <c r="T228" s="92" t="s">
        <v>1590</v>
      </c>
      <c r="U228" s="110"/>
      <c r="V228" s="94" t="s">
        <v>1724</v>
      </c>
      <c r="W228" s="107"/>
      <c r="X228" s="111">
        <v>7600104</v>
      </c>
      <c r="Y228" s="109" t="s">
        <v>1724</v>
      </c>
      <c r="Z228" s="98" t="s">
        <v>2042</v>
      </c>
      <c r="AA228" s="130" t="s">
        <v>1774</v>
      </c>
      <c r="AB228" s="218" t="s">
        <v>1721</v>
      </c>
      <c r="AC228" s="155"/>
      <c r="AH228" s="88" t="s">
        <v>1778</v>
      </c>
      <c r="AI228" s="88" t="s">
        <v>1779</v>
      </c>
    </row>
    <row r="229" spans="1:55" ht="17.45" customHeight="1">
      <c r="B229" s="96" t="e">
        <f t="shared" si="9"/>
        <v>#REF!</v>
      </c>
      <c r="C229" s="148">
        <v>41415</v>
      </c>
      <c r="D229" s="98" t="s">
        <v>2158</v>
      </c>
      <c r="E229" s="118">
        <v>7600743</v>
      </c>
      <c r="F229" s="164" t="s">
        <v>2152</v>
      </c>
      <c r="G229" s="100" t="s">
        <v>985</v>
      </c>
      <c r="H229" s="171" t="s">
        <v>2156</v>
      </c>
      <c r="I229" s="98" t="s">
        <v>2158</v>
      </c>
      <c r="J229" s="181">
        <v>4</v>
      </c>
      <c r="K229" s="131" t="s">
        <v>1774</v>
      </c>
      <c r="L229" s="124">
        <v>4</v>
      </c>
      <c r="M229" s="218" t="s">
        <v>1721</v>
      </c>
      <c r="N229" s="106" t="str">
        <f t="shared" si="7"/>
        <v>44</v>
      </c>
      <c r="O229" s="107"/>
      <c r="P229" s="108" t="s">
        <v>2154</v>
      </c>
      <c r="Q229" s="107"/>
      <c r="R229" s="115" t="s">
        <v>1726</v>
      </c>
      <c r="S229" s="302" t="s">
        <v>1590</v>
      </c>
      <c r="T229" s="92" t="s">
        <v>1590</v>
      </c>
      <c r="U229" s="110"/>
      <c r="V229" s="94" t="s">
        <v>1726</v>
      </c>
      <c r="W229" s="107"/>
      <c r="X229" s="111">
        <v>7600596</v>
      </c>
      <c r="Y229" s="109" t="s">
        <v>1726</v>
      </c>
      <c r="Z229" s="98" t="s">
        <v>2158</v>
      </c>
      <c r="AA229" s="131" t="s">
        <v>1774</v>
      </c>
      <c r="AB229" s="218" t="s">
        <v>1721</v>
      </c>
      <c r="AC229" s="155"/>
      <c r="AH229" s="88" t="s">
        <v>1778</v>
      </c>
      <c r="AI229" s="88" t="s">
        <v>1779</v>
      </c>
    </row>
    <row r="230" spans="1:55" ht="17.45" customHeight="1">
      <c r="B230" s="96" t="e">
        <f t="shared" si="9"/>
        <v>#REF!</v>
      </c>
      <c r="C230" s="148">
        <v>40829</v>
      </c>
      <c r="D230" s="98" t="s">
        <v>2155</v>
      </c>
      <c r="E230" s="118">
        <v>7600597</v>
      </c>
      <c r="F230" s="164" t="s">
        <v>2152</v>
      </c>
      <c r="G230" s="165" t="s">
        <v>990</v>
      </c>
      <c r="H230" s="171" t="s">
        <v>2156</v>
      </c>
      <c r="I230" s="98" t="s">
        <v>2155</v>
      </c>
      <c r="J230" s="181">
        <v>4</v>
      </c>
      <c r="K230" s="131" t="s">
        <v>1774</v>
      </c>
      <c r="L230" s="124">
        <v>4</v>
      </c>
      <c r="M230" s="218" t="s">
        <v>1721</v>
      </c>
      <c r="N230" s="106" t="str">
        <f t="shared" si="7"/>
        <v>44</v>
      </c>
      <c r="O230" s="107"/>
      <c r="P230" s="108" t="s">
        <v>2154</v>
      </c>
      <c r="Q230" s="107"/>
      <c r="R230" s="115" t="s">
        <v>1726</v>
      </c>
      <c r="S230" s="302" t="s">
        <v>1590</v>
      </c>
      <c r="T230" s="92" t="s">
        <v>1590</v>
      </c>
      <c r="U230" s="110"/>
      <c r="V230" s="94" t="s">
        <v>1726</v>
      </c>
      <c r="W230" s="107"/>
      <c r="X230" s="111">
        <v>7600596</v>
      </c>
      <c r="Y230" s="109" t="s">
        <v>1726</v>
      </c>
      <c r="Z230" s="98" t="s">
        <v>2155</v>
      </c>
      <c r="AA230" s="131" t="s">
        <v>1774</v>
      </c>
      <c r="AB230" s="218" t="s">
        <v>1721</v>
      </c>
      <c r="AC230" s="155"/>
      <c r="AH230" s="88" t="s">
        <v>1778</v>
      </c>
      <c r="AI230" s="88" t="s">
        <v>1779</v>
      </c>
    </row>
    <row r="231" spans="1:55" ht="17.45" customHeight="1">
      <c r="B231" s="96" t="e">
        <f t="shared" si="9"/>
        <v>#REF!</v>
      </c>
      <c r="C231" s="146">
        <v>41373</v>
      </c>
      <c r="D231" s="98" t="s">
        <v>2157</v>
      </c>
      <c r="E231" s="118">
        <v>7600737</v>
      </c>
      <c r="F231" s="168" t="s">
        <v>2152</v>
      </c>
      <c r="G231" s="169" t="s">
        <v>993</v>
      </c>
      <c r="H231" s="171" t="s">
        <v>2156</v>
      </c>
      <c r="I231" s="98" t="s">
        <v>2157</v>
      </c>
      <c r="J231" s="181">
        <v>4</v>
      </c>
      <c r="K231" s="131" t="s">
        <v>1774</v>
      </c>
      <c r="L231" s="124">
        <v>4</v>
      </c>
      <c r="M231" s="218" t="s">
        <v>1721</v>
      </c>
      <c r="N231" s="106" t="str">
        <f t="shared" si="7"/>
        <v>44</v>
      </c>
      <c r="O231" s="107"/>
      <c r="P231" s="108" t="s">
        <v>2154</v>
      </c>
      <c r="Q231" s="107"/>
      <c r="R231" s="115" t="s">
        <v>1726</v>
      </c>
      <c r="S231" s="302" t="s">
        <v>1590</v>
      </c>
      <c r="T231" s="92" t="s">
        <v>1590</v>
      </c>
      <c r="U231" s="110"/>
      <c r="V231" s="94" t="s">
        <v>1726</v>
      </c>
      <c r="W231" s="107"/>
      <c r="X231" s="111">
        <v>7600596</v>
      </c>
      <c r="Y231" s="109" t="s">
        <v>1726</v>
      </c>
      <c r="Z231" s="98" t="s">
        <v>2157</v>
      </c>
      <c r="AA231" s="131" t="s">
        <v>1774</v>
      </c>
      <c r="AB231" s="218" t="s">
        <v>1721</v>
      </c>
      <c r="AC231" s="155"/>
      <c r="AH231" s="88" t="s">
        <v>1778</v>
      </c>
      <c r="AI231" s="88" t="s">
        <v>1779</v>
      </c>
    </row>
    <row r="232" spans="1:55" ht="17.45" customHeight="1">
      <c r="B232" s="96" t="e">
        <f t="shared" si="9"/>
        <v>#REF!</v>
      </c>
      <c r="C232" s="146">
        <v>41106</v>
      </c>
      <c r="D232" s="98" t="s">
        <v>2154</v>
      </c>
      <c r="E232" s="118">
        <v>7600596</v>
      </c>
      <c r="F232" s="168" t="s">
        <v>2152</v>
      </c>
      <c r="G232" s="169" t="s">
        <v>996</v>
      </c>
      <c r="H232" s="171" t="s">
        <v>2156</v>
      </c>
      <c r="I232" s="98" t="s">
        <v>2154</v>
      </c>
      <c r="J232" s="181">
        <v>4</v>
      </c>
      <c r="K232" s="131" t="s">
        <v>1774</v>
      </c>
      <c r="L232" s="124">
        <v>4</v>
      </c>
      <c r="M232" s="218" t="s">
        <v>1721</v>
      </c>
      <c r="N232" s="106" t="str">
        <f t="shared" si="7"/>
        <v>44</v>
      </c>
      <c r="O232" s="107"/>
      <c r="P232" s="108" t="s">
        <v>2154</v>
      </c>
      <c r="Q232" s="107"/>
      <c r="R232" s="109" t="s">
        <v>1726</v>
      </c>
      <c r="S232" s="302" t="s">
        <v>1590</v>
      </c>
      <c r="T232" s="92" t="s">
        <v>1590</v>
      </c>
      <c r="U232" s="110"/>
      <c r="V232" s="94" t="s">
        <v>1726</v>
      </c>
      <c r="W232" s="107"/>
      <c r="X232" s="111">
        <v>7600596</v>
      </c>
      <c r="Y232" s="109" t="s">
        <v>1726</v>
      </c>
      <c r="Z232" s="98" t="s">
        <v>2154</v>
      </c>
      <c r="AA232" s="131" t="s">
        <v>1774</v>
      </c>
      <c r="AB232" s="218" t="s">
        <v>1721</v>
      </c>
      <c r="AC232" s="155"/>
      <c r="AH232" s="88" t="s">
        <v>1778</v>
      </c>
      <c r="AI232" s="88" t="s">
        <v>1779</v>
      </c>
    </row>
    <row r="233" spans="1:55" ht="17.45" customHeight="1">
      <c r="B233" s="96" t="e">
        <f t="shared" si="9"/>
        <v>#REF!</v>
      </c>
      <c r="C233" s="146">
        <v>37237</v>
      </c>
      <c r="D233" s="98" t="s">
        <v>2034</v>
      </c>
      <c r="E233" s="118">
        <v>7600286</v>
      </c>
      <c r="F233" s="164" t="s">
        <v>2033</v>
      </c>
      <c r="G233" s="165" t="s">
        <v>998</v>
      </c>
      <c r="H233" s="171" t="s">
        <v>2023</v>
      </c>
      <c r="I233" s="98" t="s">
        <v>2034</v>
      </c>
      <c r="J233" s="181">
        <v>4</v>
      </c>
      <c r="K233" s="131" t="s">
        <v>1774</v>
      </c>
      <c r="L233" s="124">
        <v>5</v>
      </c>
      <c r="M233" s="218" t="s">
        <v>1728</v>
      </c>
      <c r="N233" s="106" t="str">
        <f t="shared" si="7"/>
        <v>45</v>
      </c>
      <c r="O233" s="107"/>
      <c r="P233" s="108" t="s">
        <v>2034</v>
      </c>
      <c r="Q233" s="107"/>
      <c r="R233" s="115" t="s">
        <v>1729</v>
      </c>
      <c r="S233" s="302" t="s">
        <v>1591</v>
      </c>
      <c r="T233" s="92" t="s">
        <v>1591</v>
      </c>
      <c r="U233" s="110"/>
      <c r="V233" s="94" t="s">
        <v>1729</v>
      </c>
      <c r="W233" s="107"/>
      <c r="X233" s="111">
        <v>7600286</v>
      </c>
      <c r="Y233" s="109" t="s">
        <v>1729</v>
      </c>
      <c r="Z233" s="98" t="s">
        <v>2034</v>
      </c>
      <c r="AA233" s="131" t="s">
        <v>1774</v>
      </c>
      <c r="AB233" s="218" t="s">
        <v>1728</v>
      </c>
      <c r="AC233" s="155"/>
      <c r="AH233" s="88" t="s">
        <v>1778</v>
      </c>
      <c r="AI233" s="88" t="s">
        <v>1779</v>
      </c>
    </row>
    <row r="234" spans="1:55" ht="17.45" customHeight="1">
      <c r="B234" s="96" t="e">
        <f t="shared" si="9"/>
        <v>#REF!</v>
      </c>
      <c r="C234" s="148">
        <v>42628</v>
      </c>
      <c r="D234" s="98" t="s">
        <v>2096</v>
      </c>
      <c r="E234" s="98">
        <v>7600927</v>
      </c>
      <c r="F234" s="99" t="s">
        <v>2094</v>
      </c>
      <c r="G234" s="100" t="s">
        <v>1004</v>
      </c>
      <c r="H234" s="101" t="s">
        <v>2106</v>
      </c>
      <c r="I234" s="98" t="s">
        <v>2096</v>
      </c>
      <c r="J234" s="102">
        <v>4</v>
      </c>
      <c r="K234" s="103" t="s">
        <v>1774</v>
      </c>
      <c r="L234" s="124">
        <v>5</v>
      </c>
      <c r="M234" s="218" t="s">
        <v>1728</v>
      </c>
      <c r="N234" s="106" t="str">
        <f t="shared" si="7"/>
        <v>45</v>
      </c>
      <c r="O234" s="107"/>
      <c r="P234" s="114" t="s">
        <v>2096</v>
      </c>
      <c r="Q234" s="107"/>
      <c r="R234" s="115" t="s">
        <v>1731</v>
      </c>
      <c r="S234" s="302" t="s">
        <v>1591</v>
      </c>
      <c r="T234" s="92" t="s">
        <v>1591</v>
      </c>
      <c r="U234" s="110"/>
      <c r="V234" s="94" t="s">
        <v>1731</v>
      </c>
      <c r="W234" s="107"/>
      <c r="X234" s="117">
        <v>7600927</v>
      </c>
      <c r="Y234" s="109" t="s">
        <v>1731</v>
      </c>
      <c r="Z234" s="98" t="s">
        <v>2096</v>
      </c>
      <c r="AA234" s="103" t="s">
        <v>1774</v>
      </c>
      <c r="AB234" s="218" t="s">
        <v>1728</v>
      </c>
      <c r="AC234" s="155"/>
      <c r="AD234" s="107"/>
      <c r="AH234" s="88" t="s">
        <v>1778</v>
      </c>
      <c r="AI234" s="88" t="s">
        <v>1779</v>
      </c>
    </row>
    <row r="235" spans="1:55" ht="17.45" customHeight="1">
      <c r="B235" s="96" t="e">
        <f t="shared" si="9"/>
        <v>#REF!</v>
      </c>
      <c r="C235" s="112">
        <v>40021</v>
      </c>
      <c r="D235" s="98" t="s">
        <v>2159</v>
      </c>
      <c r="E235" s="98">
        <v>7600948</v>
      </c>
      <c r="F235" s="113" t="s">
        <v>2152</v>
      </c>
      <c r="G235" s="100" t="s">
        <v>1010</v>
      </c>
      <c r="H235" s="101" t="s">
        <v>2156</v>
      </c>
      <c r="I235" s="98" t="s">
        <v>2159</v>
      </c>
      <c r="J235" s="102">
        <v>4</v>
      </c>
      <c r="K235" s="102" t="s">
        <v>1774</v>
      </c>
      <c r="L235" s="126">
        <v>5</v>
      </c>
      <c r="M235" s="218" t="s">
        <v>1728</v>
      </c>
      <c r="N235" s="106" t="str">
        <f t="shared" si="7"/>
        <v>45</v>
      </c>
      <c r="O235" s="107"/>
      <c r="P235" s="114" t="s">
        <v>2154</v>
      </c>
      <c r="Q235" s="107"/>
      <c r="R235" s="115" t="s">
        <v>1732</v>
      </c>
      <c r="S235" s="302" t="s">
        <v>1591</v>
      </c>
      <c r="T235" s="92" t="s">
        <v>1591</v>
      </c>
      <c r="U235" s="110"/>
      <c r="V235" s="94" t="s">
        <v>1732</v>
      </c>
      <c r="W235" s="107"/>
      <c r="X235" s="111">
        <v>7600948</v>
      </c>
      <c r="Y235" s="109" t="s">
        <v>1732</v>
      </c>
      <c r="Z235" s="98" t="s">
        <v>2159</v>
      </c>
      <c r="AA235" s="102" t="s">
        <v>1774</v>
      </c>
      <c r="AB235" s="218" t="s">
        <v>1728</v>
      </c>
      <c r="AC235" s="155"/>
      <c r="AD235" s="107"/>
      <c r="AH235" s="88" t="s">
        <v>1778</v>
      </c>
      <c r="AI235" s="88" t="s">
        <v>1779</v>
      </c>
    </row>
    <row r="236" spans="1:55" ht="17.45" customHeight="1">
      <c r="B236" s="96" t="e">
        <f t="shared" si="9"/>
        <v>#REF!</v>
      </c>
      <c r="C236" s="112">
        <v>43025</v>
      </c>
      <c r="D236" s="98" t="s">
        <v>2160</v>
      </c>
      <c r="E236" s="98">
        <v>7600985</v>
      </c>
      <c r="F236" s="113" t="s">
        <v>2152</v>
      </c>
      <c r="G236" s="100" t="s">
        <v>1016</v>
      </c>
      <c r="H236" s="101" t="s">
        <v>2156</v>
      </c>
      <c r="I236" s="98" t="s">
        <v>2160</v>
      </c>
      <c r="J236" s="102">
        <v>4</v>
      </c>
      <c r="K236" s="102" t="s">
        <v>1774</v>
      </c>
      <c r="L236" s="126">
        <v>5</v>
      </c>
      <c r="M236" s="218" t="s">
        <v>1728</v>
      </c>
      <c r="N236" s="106" t="str">
        <f t="shared" si="7"/>
        <v>45</v>
      </c>
      <c r="O236" s="107"/>
      <c r="P236" s="114" t="s">
        <v>2154</v>
      </c>
      <c r="Q236" s="107"/>
      <c r="R236" s="115" t="s">
        <v>1732</v>
      </c>
      <c r="S236" s="302" t="s">
        <v>1591</v>
      </c>
      <c r="T236" s="92" t="s">
        <v>1591</v>
      </c>
      <c r="U236" s="110"/>
      <c r="V236" s="94" t="s">
        <v>1732</v>
      </c>
      <c r="W236" s="107"/>
      <c r="X236" s="111">
        <v>7600948</v>
      </c>
      <c r="Y236" s="109" t="s">
        <v>1732</v>
      </c>
      <c r="Z236" s="98" t="s">
        <v>2160</v>
      </c>
      <c r="AA236" s="102" t="s">
        <v>1774</v>
      </c>
      <c r="AB236" s="218" t="s">
        <v>1728</v>
      </c>
      <c r="AC236" s="155"/>
      <c r="AD236" s="107"/>
      <c r="AH236" s="88" t="s">
        <v>1778</v>
      </c>
      <c r="AI236" s="88" t="s">
        <v>1779</v>
      </c>
    </row>
    <row r="237" spans="1:55" ht="17.45" customHeight="1">
      <c r="B237" s="96" t="e">
        <f t="shared" si="9"/>
        <v>#REF!</v>
      </c>
      <c r="C237" s="282">
        <v>44148</v>
      </c>
      <c r="D237" s="283" t="s">
        <v>2225</v>
      </c>
      <c r="E237" s="98">
        <v>7601136</v>
      </c>
      <c r="F237" s="224" t="s">
        <v>2224</v>
      </c>
      <c r="G237" s="101" t="s">
        <v>1017</v>
      </c>
      <c r="H237" s="154" t="s">
        <v>2220</v>
      </c>
      <c r="I237" s="283" t="s">
        <v>2225</v>
      </c>
      <c r="J237" s="126">
        <v>4</v>
      </c>
      <c r="K237" s="126" t="s">
        <v>1774</v>
      </c>
      <c r="L237" s="126">
        <v>5</v>
      </c>
      <c r="M237" s="218" t="s">
        <v>1728</v>
      </c>
      <c r="N237" s="106" t="str">
        <f t="shared" si="7"/>
        <v>45</v>
      </c>
      <c r="O237" s="107"/>
      <c r="P237" s="114" t="s">
        <v>2225</v>
      </c>
      <c r="Q237" s="107"/>
      <c r="R237" s="115" t="s">
        <v>1733</v>
      </c>
      <c r="S237" s="302" t="s">
        <v>1591</v>
      </c>
      <c r="T237" s="92" t="s">
        <v>1591</v>
      </c>
      <c r="U237" s="110"/>
      <c r="V237" s="94" t="s">
        <v>1733</v>
      </c>
      <c r="W237" s="107"/>
      <c r="X237" s="214">
        <v>7601136</v>
      </c>
      <c r="Y237" s="109" t="s">
        <v>1733</v>
      </c>
      <c r="Z237" s="283" t="s">
        <v>2225</v>
      </c>
      <c r="AA237" s="126" t="s">
        <v>1774</v>
      </c>
      <c r="AB237" s="218" t="s">
        <v>1728</v>
      </c>
      <c r="AC237" s="155"/>
      <c r="AD237" s="107"/>
      <c r="AH237" s="88" t="s">
        <v>1778</v>
      </c>
      <c r="AI237" s="88" t="s">
        <v>1779</v>
      </c>
    </row>
    <row r="238" spans="1:55" s="88" customFormat="1" ht="17.45" customHeight="1">
      <c r="A238" s="56"/>
      <c r="B238" s="96" t="e">
        <f t="shared" si="9"/>
        <v>#REF!</v>
      </c>
      <c r="C238" s="148">
        <v>36804</v>
      </c>
      <c r="D238" s="98" t="s">
        <v>2249</v>
      </c>
      <c r="E238" s="98">
        <v>7600164</v>
      </c>
      <c r="F238" s="99" t="s">
        <v>2248</v>
      </c>
      <c r="G238" s="100" t="s">
        <v>1023</v>
      </c>
      <c r="H238" s="101" t="s">
        <v>2251</v>
      </c>
      <c r="I238" s="98" t="s">
        <v>2249</v>
      </c>
      <c r="J238" s="102">
        <v>4</v>
      </c>
      <c r="K238" s="103" t="s">
        <v>1774</v>
      </c>
      <c r="L238" s="124">
        <v>5</v>
      </c>
      <c r="M238" s="218" t="s">
        <v>1728</v>
      </c>
      <c r="N238" s="106" t="str">
        <f t="shared" si="7"/>
        <v>45</v>
      </c>
      <c r="O238" s="107"/>
      <c r="P238" s="114" t="s">
        <v>2249</v>
      </c>
      <c r="Q238" s="107"/>
      <c r="R238" s="115" t="s">
        <v>1734</v>
      </c>
      <c r="S238" s="302" t="s">
        <v>1591</v>
      </c>
      <c r="T238" s="92" t="s">
        <v>1591</v>
      </c>
      <c r="U238" s="110"/>
      <c r="V238" s="94" t="s">
        <v>1734</v>
      </c>
      <c r="W238" s="107"/>
      <c r="X238" s="117">
        <v>7600164</v>
      </c>
      <c r="Y238" s="109" t="s">
        <v>1734</v>
      </c>
      <c r="Z238" s="98" t="s">
        <v>2249</v>
      </c>
      <c r="AA238" s="103" t="s">
        <v>1774</v>
      </c>
      <c r="AB238" s="218" t="s">
        <v>1728</v>
      </c>
      <c r="AC238" s="155"/>
      <c r="AD238" s="107"/>
      <c r="AE238" s="74"/>
      <c r="AF238" s="74"/>
      <c r="AG238" s="74"/>
      <c r="AH238" s="88" t="s">
        <v>1778</v>
      </c>
      <c r="AI238" s="88" t="s">
        <v>1779</v>
      </c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</row>
    <row r="239" spans="1:55" ht="17.45" customHeight="1">
      <c r="B239" s="96" t="e">
        <f t="shared" si="9"/>
        <v>#REF!</v>
      </c>
      <c r="C239" s="146">
        <v>41516</v>
      </c>
      <c r="D239" s="98" t="s">
        <v>2250</v>
      </c>
      <c r="E239" s="118">
        <v>7600755</v>
      </c>
      <c r="F239" s="164" t="s">
        <v>2248</v>
      </c>
      <c r="G239" s="165" t="s">
        <v>1029</v>
      </c>
      <c r="H239" s="171" t="s">
        <v>2251</v>
      </c>
      <c r="I239" s="98" t="s">
        <v>2250</v>
      </c>
      <c r="J239" s="181">
        <v>4</v>
      </c>
      <c r="K239" s="131" t="s">
        <v>1774</v>
      </c>
      <c r="L239" s="124">
        <v>5</v>
      </c>
      <c r="M239" s="218" t="s">
        <v>1728</v>
      </c>
      <c r="N239" s="106" t="str">
        <f t="shared" si="7"/>
        <v>45</v>
      </c>
      <c r="O239" s="107"/>
      <c r="P239" s="108" t="s">
        <v>2249</v>
      </c>
      <c r="Q239" s="107"/>
      <c r="R239" s="115" t="s">
        <v>1734</v>
      </c>
      <c r="S239" s="302" t="s">
        <v>1591</v>
      </c>
      <c r="T239" s="92" t="s">
        <v>1591</v>
      </c>
      <c r="U239" s="110"/>
      <c r="V239" s="94" t="s">
        <v>1734</v>
      </c>
      <c r="W239" s="107"/>
      <c r="X239" s="111">
        <v>7600164</v>
      </c>
      <c r="Y239" s="109" t="s">
        <v>1734</v>
      </c>
      <c r="Z239" s="98" t="s">
        <v>2250</v>
      </c>
      <c r="AA239" s="131" t="s">
        <v>1774</v>
      </c>
      <c r="AB239" s="218" t="s">
        <v>1728</v>
      </c>
      <c r="AC239" s="155"/>
      <c r="AD239" s="107"/>
      <c r="AH239" s="88" t="s">
        <v>1778</v>
      </c>
      <c r="AI239" s="88" t="s">
        <v>1779</v>
      </c>
    </row>
    <row r="240" spans="1:55" ht="17.45" customHeight="1">
      <c r="A240" s="88"/>
      <c r="B240" s="96" t="e">
        <f t="shared" si="9"/>
        <v>#REF!</v>
      </c>
      <c r="C240" s="148">
        <v>41631</v>
      </c>
      <c r="D240" s="98" t="s">
        <v>2252</v>
      </c>
      <c r="E240" s="118">
        <v>7600779</v>
      </c>
      <c r="F240" s="164" t="s">
        <v>2248</v>
      </c>
      <c r="G240" s="165" t="s">
        <v>1031</v>
      </c>
      <c r="H240" s="171" t="s">
        <v>2251</v>
      </c>
      <c r="I240" s="98" t="s">
        <v>2252</v>
      </c>
      <c r="J240" s="172">
        <v>4</v>
      </c>
      <c r="K240" s="130" t="s">
        <v>1774</v>
      </c>
      <c r="L240" s="124">
        <v>5</v>
      </c>
      <c r="M240" s="218" t="s">
        <v>1728</v>
      </c>
      <c r="N240" s="106" t="str">
        <f t="shared" si="7"/>
        <v>45</v>
      </c>
      <c r="O240" s="107"/>
      <c r="P240" s="114" t="s">
        <v>2249</v>
      </c>
      <c r="Q240" s="107"/>
      <c r="R240" s="115" t="s">
        <v>1734</v>
      </c>
      <c r="S240" s="302" t="s">
        <v>1591</v>
      </c>
      <c r="T240" s="92" t="s">
        <v>1591</v>
      </c>
      <c r="U240" s="110"/>
      <c r="V240" s="94" t="s">
        <v>1734</v>
      </c>
      <c r="W240" s="107"/>
      <c r="X240" s="117">
        <v>7600164</v>
      </c>
      <c r="Y240" s="109" t="s">
        <v>1734</v>
      </c>
      <c r="Z240" s="98" t="s">
        <v>2252</v>
      </c>
      <c r="AA240" s="130" t="s">
        <v>1774</v>
      </c>
      <c r="AB240" s="218" t="s">
        <v>1728</v>
      </c>
      <c r="AC240" s="155"/>
      <c r="AD240" s="107"/>
      <c r="AH240" s="88" t="s">
        <v>1778</v>
      </c>
      <c r="AI240" s="88" t="s">
        <v>1779</v>
      </c>
      <c r="AJ240" s="88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88"/>
      <c r="AY240" s="88"/>
      <c r="AZ240" s="88"/>
      <c r="BA240" s="88"/>
      <c r="BB240" s="88"/>
      <c r="BC240" s="88"/>
    </row>
    <row r="241" spans="2:35" ht="17.45" customHeight="1">
      <c r="B241" s="96" t="e">
        <f t="shared" si="9"/>
        <v>#REF!</v>
      </c>
      <c r="C241" s="146">
        <v>41631</v>
      </c>
      <c r="D241" s="98" t="s">
        <v>1906</v>
      </c>
      <c r="E241" s="118">
        <v>7600678</v>
      </c>
      <c r="F241" s="164" t="s">
        <v>1905</v>
      </c>
      <c r="G241" s="165" t="s">
        <v>1049</v>
      </c>
      <c r="H241" s="171" t="s">
        <v>1887</v>
      </c>
      <c r="I241" s="98" t="s">
        <v>1906</v>
      </c>
      <c r="J241" s="172">
        <v>4</v>
      </c>
      <c r="K241" s="130" t="s">
        <v>1774</v>
      </c>
      <c r="L241" s="124">
        <v>6</v>
      </c>
      <c r="M241" s="218" t="s">
        <v>1735</v>
      </c>
      <c r="N241" s="106" t="str">
        <f t="shared" si="7"/>
        <v>46</v>
      </c>
      <c r="O241" s="107"/>
      <c r="P241" s="108" t="s">
        <v>1906</v>
      </c>
      <c r="Q241" s="107"/>
      <c r="R241" s="115" t="s">
        <v>1738</v>
      </c>
      <c r="S241" s="302" t="s">
        <v>1590</v>
      </c>
      <c r="T241" s="92" t="s">
        <v>1577</v>
      </c>
      <c r="U241" s="110"/>
      <c r="V241" s="94" t="s">
        <v>1738</v>
      </c>
      <c r="W241" s="107"/>
      <c r="X241" s="111">
        <v>7600678</v>
      </c>
      <c r="Y241" s="109" t="s">
        <v>1738</v>
      </c>
      <c r="Z241" s="98" t="s">
        <v>1906</v>
      </c>
      <c r="AA241" s="130" t="s">
        <v>1774</v>
      </c>
      <c r="AB241" s="218" t="s">
        <v>1735</v>
      </c>
      <c r="AC241" s="110" t="s">
        <v>1710</v>
      </c>
      <c r="AD241" s="107"/>
      <c r="AH241" s="88" t="s">
        <v>1778</v>
      </c>
      <c r="AI241" s="88" t="s">
        <v>1779</v>
      </c>
    </row>
    <row r="242" spans="2:35" ht="17.45" customHeight="1">
      <c r="B242" s="96" t="e">
        <f t="shared" si="9"/>
        <v>#REF!</v>
      </c>
      <c r="C242" s="112">
        <v>42480</v>
      </c>
      <c r="D242" s="98" t="s">
        <v>2000</v>
      </c>
      <c r="E242" s="98">
        <v>7600897</v>
      </c>
      <c r="F242" s="113" t="s">
        <v>1999</v>
      </c>
      <c r="G242" s="100" t="s">
        <v>1066</v>
      </c>
      <c r="H242" s="101" t="s">
        <v>1990</v>
      </c>
      <c r="I242" s="98" t="s">
        <v>2000</v>
      </c>
      <c r="J242" s="126">
        <v>4</v>
      </c>
      <c r="K242" s="124" t="s">
        <v>1774</v>
      </c>
      <c r="L242" s="124">
        <v>6</v>
      </c>
      <c r="M242" s="218" t="s">
        <v>1735</v>
      </c>
      <c r="N242" s="106" t="str">
        <f t="shared" si="7"/>
        <v>46</v>
      </c>
      <c r="O242" s="107"/>
      <c r="P242" s="114" t="s">
        <v>2000</v>
      </c>
      <c r="Q242" s="107"/>
      <c r="R242" s="115" t="s">
        <v>1741</v>
      </c>
      <c r="S242" s="302" t="s">
        <v>1588</v>
      </c>
      <c r="T242" s="92" t="s">
        <v>1577</v>
      </c>
      <c r="U242" s="110"/>
      <c r="V242" s="94" t="s">
        <v>1741</v>
      </c>
      <c r="W242" s="107"/>
      <c r="X242" s="117">
        <v>7600897</v>
      </c>
      <c r="Y242" s="109" t="s">
        <v>1741</v>
      </c>
      <c r="Z242" s="98" t="s">
        <v>2000</v>
      </c>
      <c r="AA242" s="124" t="s">
        <v>1774</v>
      </c>
      <c r="AB242" s="218" t="s">
        <v>1735</v>
      </c>
      <c r="AC242" s="155"/>
      <c r="AD242" s="107"/>
      <c r="AH242" s="88" t="s">
        <v>1778</v>
      </c>
      <c r="AI242" s="88" t="s">
        <v>1779</v>
      </c>
    </row>
    <row r="243" spans="2:35" s="147" customFormat="1" ht="17.45" customHeight="1">
      <c r="B243" s="96" t="e">
        <f t="shared" si="9"/>
        <v>#REF!</v>
      </c>
      <c r="C243" s="148">
        <v>42275</v>
      </c>
      <c r="D243" s="98" t="s">
        <v>2123</v>
      </c>
      <c r="E243" s="118">
        <v>7600810</v>
      </c>
      <c r="F243" s="164" t="s">
        <v>2122</v>
      </c>
      <c r="G243" s="165" t="s">
        <v>1041</v>
      </c>
      <c r="H243" s="171" t="s">
        <v>2046</v>
      </c>
      <c r="I243" s="98" t="s">
        <v>2123</v>
      </c>
      <c r="J243" s="172">
        <v>4</v>
      </c>
      <c r="K243" s="130" t="s">
        <v>1774</v>
      </c>
      <c r="L243" s="124">
        <v>6</v>
      </c>
      <c r="M243" s="218" t="s">
        <v>1735</v>
      </c>
      <c r="N243" s="106" t="str">
        <f t="shared" si="7"/>
        <v>46</v>
      </c>
      <c r="O243" s="107"/>
      <c r="P243" s="114" t="s">
        <v>2123</v>
      </c>
      <c r="Q243" s="107"/>
      <c r="R243" s="115" t="s">
        <v>1742</v>
      </c>
      <c r="S243" s="302" t="s">
        <v>1589</v>
      </c>
      <c r="T243" s="92" t="s">
        <v>1577</v>
      </c>
      <c r="U243" s="110"/>
      <c r="V243" s="94" t="s">
        <v>1742</v>
      </c>
      <c r="W243" s="107"/>
      <c r="X243" s="117">
        <v>7600810</v>
      </c>
      <c r="Y243" s="109" t="s">
        <v>1742</v>
      </c>
      <c r="Z243" s="98" t="s">
        <v>2123</v>
      </c>
      <c r="AA243" s="130" t="s">
        <v>1774</v>
      </c>
      <c r="AB243" s="218" t="s">
        <v>1735</v>
      </c>
      <c r="AC243" s="155"/>
      <c r="AD243" s="107"/>
      <c r="AE243" s="74"/>
      <c r="AF243" s="74"/>
      <c r="AG243" s="74"/>
      <c r="AH243" s="88" t="s">
        <v>1778</v>
      </c>
      <c r="AI243" s="88" t="s">
        <v>1779</v>
      </c>
    </row>
    <row r="244" spans="2:35" ht="17.45" customHeight="1">
      <c r="B244" s="96" t="e">
        <f t="shared" si="9"/>
        <v>#REF!</v>
      </c>
      <c r="C244" s="112">
        <v>42796</v>
      </c>
      <c r="D244" s="98" t="s">
        <v>2124</v>
      </c>
      <c r="E244" s="98">
        <v>7600872</v>
      </c>
      <c r="F244" s="99" t="s">
        <v>2122</v>
      </c>
      <c r="G244" s="100" t="s">
        <v>1046</v>
      </c>
      <c r="H244" s="151" t="s">
        <v>2046</v>
      </c>
      <c r="I244" s="98" t="s">
        <v>2124</v>
      </c>
      <c r="J244" s="126">
        <v>4</v>
      </c>
      <c r="K244" s="126" t="s">
        <v>1774</v>
      </c>
      <c r="L244" s="126">
        <v>6</v>
      </c>
      <c r="M244" s="218" t="s">
        <v>1735</v>
      </c>
      <c r="N244" s="106" t="str">
        <f t="shared" si="7"/>
        <v>46</v>
      </c>
      <c r="O244" s="107"/>
      <c r="P244" s="114" t="s">
        <v>2123</v>
      </c>
      <c r="Q244" s="107"/>
      <c r="R244" s="115" t="s">
        <v>1742</v>
      </c>
      <c r="S244" s="302" t="s">
        <v>1589</v>
      </c>
      <c r="T244" s="92" t="s">
        <v>1577</v>
      </c>
      <c r="U244" s="110"/>
      <c r="V244" s="94" t="s">
        <v>1742</v>
      </c>
      <c r="W244" s="107"/>
      <c r="X244" s="117">
        <v>7600810</v>
      </c>
      <c r="Y244" s="109" t="s">
        <v>1742</v>
      </c>
      <c r="Z244" s="98" t="s">
        <v>2124</v>
      </c>
      <c r="AA244" s="126" t="s">
        <v>1774</v>
      </c>
      <c r="AB244" s="218" t="s">
        <v>1735</v>
      </c>
      <c r="AC244" s="155"/>
      <c r="AD244" s="107"/>
      <c r="AG244" s="74" t="e">
        <f>VLOOKUP(#REF!,backup!$G$5:$M$261,7,0)</f>
        <v>#REF!</v>
      </c>
      <c r="AH244" s="88" t="s">
        <v>1778</v>
      </c>
      <c r="AI244" s="88" t="s">
        <v>1779</v>
      </c>
    </row>
    <row r="245" spans="2:35" ht="17.45" customHeight="1">
      <c r="B245" s="96">
        <v>1</v>
      </c>
      <c r="C245" s="112">
        <v>41999</v>
      </c>
      <c r="D245" s="98" t="s">
        <v>1773</v>
      </c>
      <c r="E245" s="98">
        <v>7600804</v>
      </c>
      <c r="F245" s="113" t="s">
        <v>1771</v>
      </c>
      <c r="G245" s="100" t="s">
        <v>1056</v>
      </c>
      <c r="H245" s="101" t="s">
        <v>2071</v>
      </c>
      <c r="I245" s="98" t="s">
        <v>1773</v>
      </c>
      <c r="J245" s="126">
        <v>4</v>
      </c>
      <c r="K245" s="124" t="s">
        <v>1774</v>
      </c>
      <c r="L245" s="124">
        <v>6</v>
      </c>
      <c r="M245" s="218" t="s">
        <v>1735</v>
      </c>
      <c r="N245" s="106" t="str">
        <f t="shared" si="7"/>
        <v>46</v>
      </c>
      <c r="O245" s="107"/>
      <c r="P245" s="117" t="s">
        <v>1773</v>
      </c>
      <c r="Q245" s="107"/>
      <c r="R245" s="115" t="s">
        <v>1736</v>
      </c>
      <c r="S245" s="302" t="s">
        <v>1592</v>
      </c>
      <c r="T245" s="92" t="s">
        <v>1577</v>
      </c>
      <c r="U245" s="110"/>
      <c r="V245" s="94" t="s">
        <v>1736</v>
      </c>
      <c r="W245" s="107"/>
      <c r="X245" s="117">
        <v>7600804</v>
      </c>
      <c r="Y245" s="109" t="s">
        <v>1736</v>
      </c>
      <c r="Z245" s="98" t="s">
        <v>1773</v>
      </c>
      <c r="AA245" s="124" t="s">
        <v>1774</v>
      </c>
      <c r="AB245" s="218" t="s">
        <v>1735</v>
      </c>
      <c r="AC245" s="110" t="s">
        <v>1736</v>
      </c>
      <c r="AD245" s="107"/>
      <c r="AH245" s="88" t="s">
        <v>1778</v>
      </c>
      <c r="AI245" s="88" t="s">
        <v>1779</v>
      </c>
    </row>
    <row r="246" spans="2:35" ht="17.45" customHeight="1">
      <c r="B246" s="96">
        <f t="shared" ref="B246:B261" si="10">B245+1</f>
        <v>2</v>
      </c>
      <c r="C246" s="112">
        <v>43774</v>
      </c>
      <c r="D246" s="98" t="s">
        <v>1780</v>
      </c>
      <c r="E246" s="98">
        <v>7601095</v>
      </c>
      <c r="F246" s="153" t="s">
        <v>1771</v>
      </c>
      <c r="G246" s="101" t="s">
        <v>1061</v>
      </c>
      <c r="H246" s="154" t="s">
        <v>2071</v>
      </c>
      <c r="I246" s="98" t="s">
        <v>1780</v>
      </c>
      <c r="J246" s="126">
        <v>4</v>
      </c>
      <c r="K246" s="124" t="s">
        <v>1774</v>
      </c>
      <c r="L246" s="124">
        <v>6</v>
      </c>
      <c r="M246" s="218" t="s">
        <v>1735</v>
      </c>
      <c r="N246" s="106" t="str">
        <f t="shared" si="7"/>
        <v>46</v>
      </c>
      <c r="O246" s="107"/>
      <c r="P246" s="117" t="s">
        <v>1773</v>
      </c>
      <c r="Q246" s="107"/>
      <c r="R246" s="115" t="s">
        <v>1736</v>
      </c>
      <c r="S246" s="302" t="s">
        <v>1592</v>
      </c>
      <c r="T246" s="92" t="s">
        <v>1577</v>
      </c>
      <c r="U246" s="110"/>
      <c r="V246" s="94" t="s">
        <v>1736</v>
      </c>
      <c r="W246" s="107"/>
      <c r="X246" s="117">
        <v>7600804</v>
      </c>
      <c r="Y246" s="109" t="s">
        <v>1736</v>
      </c>
      <c r="Z246" s="98" t="s">
        <v>1780</v>
      </c>
      <c r="AA246" s="124" t="s">
        <v>1774</v>
      </c>
      <c r="AB246" s="218" t="s">
        <v>1735</v>
      </c>
      <c r="AC246" s="110" t="s">
        <v>1658</v>
      </c>
      <c r="AD246" s="107"/>
      <c r="AH246" s="88" t="s">
        <v>1778</v>
      </c>
      <c r="AI246" s="88" t="s">
        <v>1779</v>
      </c>
    </row>
    <row r="247" spans="2:35" ht="17.45" customHeight="1">
      <c r="B247" s="96">
        <f t="shared" si="10"/>
        <v>3</v>
      </c>
      <c r="C247" s="112">
        <v>40765</v>
      </c>
      <c r="D247" s="98" t="s">
        <v>2134</v>
      </c>
      <c r="E247" s="98">
        <v>7600599</v>
      </c>
      <c r="F247" s="113" t="s">
        <v>2132</v>
      </c>
      <c r="G247" s="100" t="s">
        <v>1064</v>
      </c>
      <c r="H247" s="101" t="s">
        <v>2239</v>
      </c>
      <c r="I247" s="98" t="s">
        <v>2134</v>
      </c>
      <c r="J247" s="102">
        <v>4</v>
      </c>
      <c r="K247" s="103" t="s">
        <v>1774</v>
      </c>
      <c r="L247" s="124">
        <v>6</v>
      </c>
      <c r="M247" s="218" t="s">
        <v>1735</v>
      </c>
      <c r="N247" s="106" t="str">
        <f t="shared" si="7"/>
        <v>46</v>
      </c>
      <c r="O247" s="107"/>
      <c r="P247" s="114" t="s">
        <v>2134</v>
      </c>
      <c r="Q247" s="107"/>
      <c r="R247" s="115" t="s">
        <v>2136</v>
      </c>
      <c r="S247" s="302" t="s">
        <v>1588</v>
      </c>
      <c r="T247" s="92" t="s">
        <v>1577</v>
      </c>
      <c r="U247" s="110"/>
      <c r="V247" s="94" t="s">
        <v>1743</v>
      </c>
      <c r="W247" s="107"/>
      <c r="X247" s="117">
        <v>7600599</v>
      </c>
      <c r="Y247" s="109" t="s">
        <v>2136</v>
      </c>
      <c r="Z247" s="98" t="s">
        <v>2134</v>
      </c>
      <c r="AA247" s="103" t="s">
        <v>1774</v>
      </c>
      <c r="AB247" s="218" t="s">
        <v>1735</v>
      </c>
      <c r="AC247" s="155"/>
      <c r="AD247" s="107"/>
      <c r="AH247" s="88" t="s">
        <v>1778</v>
      </c>
      <c r="AI247" s="88" t="s">
        <v>1779</v>
      </c>
    </row>
    <row r="248" spans="2:35" ht="17.45" customHeight="1">
      <c r="B248" s="96">
        <f t="shared" si="10"/>
        <v>4</v>
      </c>
      <c r="C248" s="112">
        <v>41612</v>
      </c>
      <c r="D248" s="98" t="s">
        <v>1888</v>
      </c>
      <c r="E248" s="98">
        <v>7600718</v>
      </c>
      <c r="F248" s="113" t="s">
        <v>1885</v>
      </c>
      <c r="G248" s="100" t="s">
        <v>1083</v>
      </c>
      <c r="H248" s="101" t="s">
        <v>1920</v>
      </c>
      <c r="I248" s="98" t="s">
        <v>1888</v>
      </c>
      <c r="J248" s="102">
        <v>4</v>
      </c>
      <c r="K248" s="103" t="s">
        <v>1774</v>
      </c>
      <c r="L248" s="124">
        <v>7</v>
      </c>
      <c r="M248" s="218" t="s">
        <v>1744</v>
      </c>
      <c r="N248" s="106" t="str">
        <f t="shared" si="7"/>
        <v>47</v>
      </c>
      <c r="O248" s="107"/>
      <c r="P248" s="114" t="s">
        <v>1886</v>
      </c>
      <c r="Q248" s="107"/>
      <c r="R248" s="115" t="s">
        <v>1745</v>
      </c>
      <c r="S248" s="302" t="s">
        <v>1592</v>
      </c>
      <c r="T248" s="92" t="s">
        <v>1592</v>
      </c>
      <c r="U248" s="110"/>
      <c r="V248" s="94" t="s">
        <v>1745</v>
      </c>
      <c r="W248" s="107"/>
      <c r="X248" s="117">
        <v>7600466</v>
      </c>
      <c r="Y248" s="109" t="s">
        <v>1745</v>
      </c>
      <c r="Z248" s="98" t="s">
        <v>1888</v>
      </c>
      <c r="AA248" s="103" t="s">
        <v>1774</v>
      </c>
      <c r="AB248" s="218" t="s">
        <v>1744</v>
      </c>
      <c r="AC248" s="110" t="s">
        <v>1683</v>
      </c>
      <c r="AH248" s="88" t="s">
        <v>1778</v>
      </c>
      <c r="AI248" s="88" t="s">
        <v>1779</v>
      </c>
    </row>
    <row r="249" spans="2:35" ht="17.45" customHeight="1">
      <c r="B249" s="96">
        <f t="shared" si="10"/>
        <v>5</v>
      </c>
      <c r="C249" s="112">
        <v>39289</v>
      </c>
      <c r="D249" s="98" t="s">
        <v>1886</v>
      </c>
      <c r="E249" s="98">
        <v>7600466</v>
      </c>
      <c r="F249" s="113" t="s">
        <v>1885</v>
      </c>
      <c r="G249" s="100" t="s">
        <v>1086</v>
      </c>
      <c r="H249" s="101" t="s">
        <v>1920</v>
      </c>
      <c r="I249" s="98" t="s">
        <v>1886</v>
      </c>
      <c r="J249" s="102">
        <v>4</v>
      </c>
      <c r="K249" s="103" t="s">
        <v>1774</v>
      </c>
      <c r="L249" s="124">
        <v>7</v>
      </c>
      <c r="M249" s="218" t="s">
        <v>1744</v>
      </c>
      <c r="N249" s="106" t="str">
        <f t="shared" si="7"/>
        <v>47</v>
      </c>
      <c r="O249" s="107"/>
      <c r="P249" s="114" t="s">
        <v>1886</v>
      </c>
      <c r="Q249" s="107"/>
      <c r="R249" s="115" t="s">
        <v>1745</v>
      </c>
      <c r="S249" s="302" t="s">
        <v>1592</v>
      </c>
      <c r="T249" s="92" t="s">
        <v>1592</v>
      </c>
      <c r="U249" s="110"/>
      <c r="V249" s="94" t="s">
        <v>1745</v>
      </c>
      <c r="W249" s="107"/>
      <c r="X249" s="117">
        <v>7600466</v>
      </c>
      <c r="Y249" s="109" t="s">
        <v>1745</v>
      </c>
      <c r="Z249" s="98" t="s">
        <v>1886</v>
      </c>
      <c r="AA249" s="103" t="s">
        <v>1774</v>
      </c>
      <c r="AB249" s="218" t="s">
        <v>1744</v>
      </c>
      <c r="AC249" s="110" t="s">
        <v>1750</v>
      </c>
      <c r="AH249" s="88" t="s">
        <v>1778</v>
      </c>
      <c r="AI249" s="88" t="s">
        <v>1779</v>
      </c>
    </row>
    <row r="250" spans="2:35" ht="17.45" customHeight="1">
      <c r="B250" s="96">
        <f t="shared" si="10"/>
        <v>6</v>
      </c>
      <c r="C250" s="112">
        <v>44946</v>
      </c>
      <c r="D250" s="98" t="s">
        <v>1901</v>
      </c>
      <c r="E250" s="98">
        <v>7601196</v>
      </c>
      <c r="F250" s="153" t="s">
        <v>1885</v>
      </c>
      <c r="G250" s="100" t="s">
        <v>1102</v>
      </c>
      <c r="H250" s="154" t="s">
        <v>1920</v>
      </c>
      <c r="I250" s="98" t="s">
        <v>1901</v>
      </c>
      <c r="J250" s="126">
        <v>4</v>
      </c>
      <c r="K250" s="124" t="s">
        <v>1774</v>
      </c>
      <c r="L250" s="124">
        <v>7</v>
      </c>
      <c r="M250" s="218" t="s">
        <v>1744</v>
      </c>
      <c r="N250" s="106" t="str">
        <f t="shared" si="7"/>
        <v>47</v>
      </c>
      <c r="O250" s="107"/>
      <c r="P250" s="114" t="s">
        <v>1886</v>
      </c>
      <c r="Q250" s="107"/>
      <c r="R250" s="115" t="s">
        <v>1745</v>
      </c>
      <c r="S250" s="302" t="s">
        <v>1592</v>
      </c>
      <c r="T250" s="92" t="s">
        <v>1592</v>
      </c>
      <c r="U250" s="110"/>
      <c r="V250" s="94" t="s">
        <v>1745</v>
      </c>
      <c r="W250" s="107"/>
      <c r="X250" s="117">
        <v>7600466</v>
      </c>
      <c r="Y250" s="109" t="s">
        <v>1745</v>
      </c>
      <c r="Z250" s="98" t="s">
        <v>1901</v>
      </c>
      <c r="AA250" s="124" t="s">
        <v>1774</v>
      </c>
      <c r="AB250" s="218" t="s">
        <v>1744</v>
      </c>
      <c r="AC250" s="110" t="s">
        <v>1642</v>
      </c>
      <c r="AH250" s="88" t="s">
        <v>1778</v>
      </c>
      <c r="AI250" s="88" t="s">
        <v>1779</v>
      </c>
    </row>
    <row r="251" spans="2:35" ht="17.45" customHeight="1">
      <c r="B251" s="96">
        <f t="shared" si="10"/>
        <v>7</v>
      </c>
      <c r="C251" s="112">
        <v>39703</v>
      </c>
      <c r="D251" s="98" t="s">
        <v>1893</v>
      </c>
      <c r="E251" s="98">
        <v>7601156</v>
      </c>
      <c r="F251" s="113" t="s">
        <v>1885</v>
      </c>
      <c r="G251" s="100" t="s">
        <v>1072</v>
      </c>
      <c r="H251" s="101" t="s">
        <v>1920</v>
      </c>
      <c r="I251" s="98" t="s">
        <v>1893</v>
      </c>
      <c r="J251" s="126">
        <v>4</v>
      </c>
      <c r="K251" s="124" t="s">
        <v>1774</v>
      </c>
      <c r="L251" s="124">
        <v>7</v>
      </c>
      <c r="M251" s="218" t="s">
        <v>1744</v>
      </c>
      <c r="N251" s="106" t="str">
        <f t="shared" si="7"/>
        <v>47</v>
      </c>
      <c r="O251" s="107"/>
      <c r="P251" s="114" t="s">
        <v>1886</v>
      </c>
      <c r="Q251" s="107"/>
      <c r="R251" s="115" t="s">
        <v>1748</v>
      </c>
      <c r="S251" s="302" t="s">
        <v>1592</v>
      </c>
      <c r="T251" s="92" t="s">
        <v>1592</v>
      </c>
      <c r="U251" s="110"/>
      <c r="V251" s="94" t="s">
        <v>1748</v>
      </c>
      <c r="W251" s="107"/>
      <c r="X251" s="117">
        <v>7601156</v>
      </c>
      <c r="Y251" s="109" t="s">
        <v>1748</v>
      </c>
      <c r="Z251" s="98" t="s">
        <v>1893</v>
      </c>
      <c r="AA251" s="124" t="s">
        <v>1774</v>
      </c>
      <c r="AB251" s="218" t="s">
        <v>1744</v>
      </c>
      <c r="AC251" s="290" t="s">
        <v>1684</v>
      </c>
      <c r="AH251" s="88" t="s">
        <v>1778</v>
      </c>
      <c r="AI251" s="88" t="s">
        <v>1779</v>
      </c>
    </row>
    <row r="252" spans="2:35" ht="17.45" customHeight="1">
      <c r="B252" s="96">
        <f t="shared" si="10"/>
        <v>8</v>
      </c>
      <c r="C252" s="112">
        <v>44166</v>
      </c>
      <c r="D252" s="98" t="s">
        <v>1896</v>
      </c>
      <c r="E252" s="98">
        <v>7601135</v>
      </c>
      <c r="F252" s="113" t="s">
        <v>1885</v>
      </c>
      <c r="G252" s="100" t="s">
        <v>1079</v>
      </c>
      <c r="H252" s="101" t="s">
        <v>1920</v>
      </c>
      <c r="I252" s="98" t="s">
        <v>1896</v>
      </c>
      <c r="J252" s="102">
        <v>4</v>
      </c>
      <c r="K252" s="103" t="s">
        <v>1774</v>
      </c>
      <c r="L252" s="124">
        <v>7</v>
      </c>
      <c r="M252" s="218" t="s">
        <v>1744</v>
      </c>
      <c r="N252" s="106" t="str">
        <f t="shared" si="7"/>
        <v>47</v>
      </c>
      <c r="O252" s="107"/>
      <c r="P252" s="114" t="s">
        <v>1886</v>
      </c>
      <c r="Q252" s="107"/>
      <c r="R252" s="115" t="s">
        <v>1748</v>
      </c>
      <c r="S252" s="302" t="s">
        <v>1592</v>
      </c>
      <c r="T252" s="92" t="s">
        <v>1592</v>
      </c>
      <c r="U252" s="110"/>
      <c r="V252" s="94" t="s">
        <v>1748</v>
      </c>
      <c r="W252" s="107"/>
      <c r="X252" s="117">
        <v>7601156</v>
      </c>
      <c r="Y252" s="109" t="s">
        <v>1748</v>
      </c>
      <c r="Z252" s="98" t="s">
        <v>1896</v>
      </c>
      <c r="AA252" s="103" t="s">
        <v>1774</v>
      </c>
      <c r="AB252" s="218" t="s">
        <v>1744</v>
      </c>
      <c r="AC252" s="110" t="s">
        <v>1650</v>
      </c>
      <c r="AH252" s="88" t="s">
        <v>1778</v>
      </c>
      <c r="AI252" s="88" t="s">
        <v>1779</v>
      </c>
    </row>
    <row r="253" spans="2:35" ht="17.45" customHeight="1">
      <c r="B253" s="96">
        <f t="shared" si="10"/>
        <v>9</v>
      </c>
      <c r="C253" s="112">
        <v>38377</v>
      </c>
      <c r="D253" s="98" t="s">
        <v>1892</v>
      </c>
      <c r="E253" s="98">
        <v>7601153</v>
      </c>
      <c r="F253" s="113" t="s">
        <v>1885</v>
      </c>
      <c r="G253" s="100" t="s">
        <v>1091</v>
      </c>
      <c r="H253" s="101" t="s">
        <v>1920</v>
      </c>
      <c r="I253" s="98" t="s">
        <v>1892</v>
      </c>
      <c r="J253" s="102">
        <v>4</v>
      </c>
      <c r="K253" s="103" t="s">
        <v>1774</v>
      </c>
      <c r="L253" s="124">
        <v>7</v>
      </c>
      <c r="M253" s="218" t="s">
        <v>1744</v>
      </c>
      <c r="N253" s="106" t="str">
        <f t="shared" si="7"/>
        <v>47</v>
      </c>
      <c r="O253" s="107"/>
      <c r="P253" s="114" t="s">
        <v>1886</v>
      </c>
      <c r="Q253" s="107"/>
      <c r="R253" s="115" t="s">
        <v>1747</v>
      </c>
      <c r="S253" s="302" t="s">
        <v>1592</v>
      </c>
      <c r="T253" s="92" t="s">
        <v>1592</v>
      </c>
      <c r="U253" s="110"/>
      <c r="V253" s="94" t="s">
        <v>1747</v>
      </c>
      <c r="W253" s="107"/>
      <c r="X253" s="117">
        <v>7601153</v>
      </c>
      <c r="Y253" s="109" t="s">
        <v>1747</v>
      </c>
      <c r="Z253" s="98" t="s">
        <v>1892</v>
      </c>
      <c r="AA253" s="103" t="s">
        <v>1774</v>
      </c>
      <c r="AB253" s="218" t="s">
        <v>1744</v>
      </c>
      <c r="AC253" s="110" t="s">
        <v>1929</v>
      </c>
      <c r="AH253" s="88" t="s">
        <v>1778</v>
      </c>
      <c r="AI253" s="88" t="s">
        <v>1779</v>
      </c>
    </row>
    <row r="254" spans="2:35" ht="17.45" customHeight="1">
      <c r="B254" s="96">
        <f t="shared" si="10"/>
        <v>10</v>
      </c>
      <c r="C254" s="112">
        <v>41638</v>
      </c>
      <c r="D254" s="98" t="s">
        <v>1895</v>
      </c>
      <c r="E254" s="98">
        <v>7601159</v>
      </c>
      <c r="F254" s="113" t="s">
        <v>1885</v>
      </c>
      <c r="G254" s="100" t="s">
        <v>1094</v>
      </c>
      <c r="H254" s="101" t="s">
        <v>1920</v>
      </c>
      <c r="I254" s="98" t="s">
        <v>1895</v>
      </c>
      <c r="J254" s="126">
        <v>4</v>
      </c>
      <c r="K254" s="124" t="s">
        <v>1774</v>
      </c>
      <c r="L254" s="124">
        <v>7</v>
      </c>
      <c r="M254" s="218" t="s">
        <v>1744</v>
      </c>
      <c r="N254" s="106" t="str">
        <f t="shared" si="7"/>
        <v>47</v>
      </c>
      <c r="O254" s="107"/>
      <c r="P254" s="114" t="s">
        <v>1886</v>
      </c>
      <c r="Q254" s="107"/>
      <c r="R254" s="115" t="s">
        <v>1747</v>
      </c>
      <c r="S254" s="302" t="s">
        <v>1592</v>
      </c>
      <c r="T254" s="92" t="s">
        <v>1592</v>
      </c>
      <c r="U254" s="110"/>
      <c r="V254" s="94" t="s">
        <v>1747</v>
      </c>
      <c r="W254" s="107"/>
      <c r="X254" s="117">
        <v>7601153</v>
      </c>
      <c r="Y254" s="109" t="s">
        <v>1747</v>
      </c>
      <c r="Z254" s="98" t="s">
        <v>1895</v>
      </c>
      <c r="AA254" s="124" t="s">
        <v>1774</v>
      </c>
      <c r="AB254" s="218" t="s">
        <v>1744</v>
      </c>
      <c r="AC254" s="110" t="s">
        <v>1931</v>
      </c>
      <c r="AH254" s="88" t="s">
        <v>1778</v>
      </c>
      <c r="AI254" s="88" t="s">
        <v>1779</v>
      </c>
    </row>
    <row r="255" spans="2:35" ht="17.45" customHeight="1">
      <c r="B255" s="96">
        <f t="shared" si="10"/>
        <v>11</v>
      </c>
      <c r="C255" s="112">
        <v>36867</v>
      </c>
      <c r="D255" s="98" t="s">
        <v>1890</v>
      </c>
      <c r="E255" s="98">
        <v>7601158</v>
      </c>
      <c r="F255" s="153" t="s">
        <v>1885</v>
      </c>
      <c r="G255" s="101" t="s">
        <v>1088</v>
      </c>
      <c r="H255" s="154" t="s">
        <v>1920</v>
      </c>
      <c r="I255" s="98" t="s">
        <v>1890</v>
      </c>
      <c r="J255" s="126">
        <v>4</v>
      </c>
      <c r="K255" s="124" t="s">
        <v>1774</v>
      </c>
      <c r="L255" s="124">
        <v>7</v>
      </c>
      <c r="M255" s="218" t="s">
        <v>1744</v>
      </c>
      <c r="N255" s="106" t="str">
        <f t="shared" si="7"/>
        <v>47</v>
      </c>
      <c r="O255" s="107"/>
      <c r="P255" s="114" t="s">
        <v>1886</v>
      </c>
      <c r="Q255" s="107"/>
      <c r="R255" s="115" t="s">
        <v>1746</v>
      </c>
      <c r="S255" s="302" t="s">
        <v>1592</v>
      </c>
      <c r="T255" s="92" t="s">
        <v>1592</v>
      </c>
      <c r="U255" s="110"/>
      <c r="V255" s="94" t="s">
        <v>1746</v>
      </c>
      <c r="W255" s="107"/>
      <c r="X255" s="117">
        <v>7601155</v>
      </c>
      <c r="Y255" s="109" t="s">
        <v>1746</v>
      </c>
      <c r="Z255" s="98" t="s">
        <v>1890</v>
      </c>
      <c r="AA255" s="124" t="s">
        <v>1774</v>
      </c>
      <c r="AB255" s="218" t="s">
        <v>1744</v>
      </c>
      <c r="AC255" s="110" t="s">
        <v>1742</v>
      </c>
      <c r="AH255" s="88" t="s">
        <v>1778</v>
      </c>
      <c r="AI255" s="88" t="s">
        <v>1779</v>
      </c>
    </row>
    <row r="256" spans="2:35" ht="17.45" customHeight="1">
      <c r="B256" s="96">
        <f t="shared" si="10"/>
        <v>12</v>
      </c>
      <c r="C256" s="112">
        <v>36586</v>
      </c>
      <c r="D256" s="98" t="s">
        <v>1898</v>
      </c>
      <c r="E256" s="98">
        <v>7601155</v>
      </c>
      <c r="F256" s="153" t="s">
        <v>1885</v>
      </c>
      <c r="G256" s="101" t="s">
        <v>1098</v>
      </c>
      <c r="H256" s="154" t="s">
        <v>1920</v>
      </c>
      <c r="I256" s="98" t="s">
        <v>1898</v>
      </c>
      <c r="J256" s="126">
        <v>4</v>
      </c>
      <c r="K256" s="124" t="s">
        <v>1774</v>
      </c>
      <c r="L256" s="124">
        <v>7</v>
      </c>
      <c r="M256" s="218" t="s">
        <v>1744</v>
      </c>
      <c r="N256" s="106" t="str">
        <f t="shared" si="7"/>
        <v>47</v>
      </c>
      <c r="O256" s="107"/>
      <c r="P256" s="114" t="s">
        <v>1886</v>
      </c>
      <c r="Q256" s="107"/>
      <c r="R256" s="115" t="s">
        <v>1746</v>
      </c>
      <c r="S256" s="302" t="s">
        <v>1592</v>
      </c>
      <c r="T256" s="92" t="s">
        <v>1592</v>
      </c>
      <c r="U256" s="110"/>
      <c r="V256" s="94" t="s">
        <v>1746</v>
      </c>
      <c r="W256" s="107"/>
      <c r="X256" s="117">
        <v>7601155</v>
      </c>
      <c r="Y256" s="109" t="s">
        <v>1746</v>
      </c>
      <c r="Z256" s="98" t="s">
        <v>1898</v>
      </c>
      <c r="AA256" s="124" t="s">
        <v>1774</v>
      </c>
      <c r="AB256" s="218" t="s">
        <v>1744</v>
      </c>
      <c r="AC256" s="110" t="s">
        <v>1665</v>
      </c>
      <c r="AH256" s="88" t="s">
        <v>1778</v>
      </c>
      <c r="AI256" s="88" t="s">
        <v>1779</v>
      </c>
    </row>
    <row r="257" spans="2:35" ht="17.45" customHeight="1">
      <c r="B257" s="96">
        <f t="shared" si="10"/>
        <v>13</v>
      </c>
      <c r="C257" s="112">
        <v>43007</v>
      </c>
      <c r="D257" s="98" t="s">
        <v>1900</v>
      </c>
      <c r="E257" s="98">
        <v>7601154</v>
      </c>
      <c r="F257" s="153" t="s">
        <v>1885</v>
      </c>
      <c r="G257" s="100" t="s">
        <v>1101</v>
      </c>
      <c r="H257" s="154" t="s">
        <v>1920</v>
      </c>
      <c r="I257" s="98" t="s">
        <v>1900</v>
      </c>
      <c r="J257" s="126">
        <v>4</v>
      </c>
      <c r="K257" s="124" t="s">
        <v>1774</v>
      </c>
      <c r="L257" s="124">
        <v>7</v>
      </c>
      <c r="M257" s="218" t="s">
        <v>1744</v>
      </c>
      <c r="N257" s="106" t="str">
        <f t="shared" si="7"/>
        <v>47</v>
      </c>
      <c r="O257" s="107"/>
      <c r="P257" s="114" t="s">
        <v>1886</v>
      </c>
      <c r="Q257" s="107"/>
      <c r="R257" s="115" t="s">
        <v>1746</v>
      </c>
      <c r="S257" s="302" t="s">
        <v>1592</v>
      </c>
      <c r="T257" s="92" t="s">
        <v>1592</v>
      </c>
      <c r="U257" s="110"/>
      <c r="V257" s="94" t="s">
        <v>1746</v>
      </c>
      <c r="W257" s="107"/>
      <c r="X257" s="117">
        <v>7601155</v>
      </c>
      <c r="Y257" s="109" t="s">
        <v>1746</v>
      </c>
      <c r="Z257" s="98" t="s">
        <v>1900</v>
      </c>
      <c r="AA257" s="124" t="s">
        <v>1774</v>
      </c>
      <c r="AB257" s="218" t="s">
        <v>1744</v>
      </c>
      <c r="AC257" s="110" t="s">
        <v>1726</v>
      </c>
      <c r="AH257" s="88" t="s">
        <v>1778</v>
      </c>
      <c r="AI257" s="88" t="s">
        <v>1779</v>
      </c>
    </row>
    <row r="258" spans="2:35" ht="17.45" customHeight="1">
      <c r="B258" s="96"/>
      <c r="C258" s="183"/>
      <c r="D258" s="98" t="s">
        <v>1902</v>
      </c>
      <c r="E258" s="98">
        <v>7601291</v>
      </c>
      <c r="F258" s="224"/>
      <c r="G258" s="299" t="s">
        <v>1169</v>
      </c>
      <c r="H258" s="154"/>
      <c r="I258" s="98" t="s">
        <v>1902</v>
      </c>
      <c r="J258" s="126">
        <v>4</v>
      </c>
      <c r="K258" s="124" t="s">
        <v>1774</v>
      </c>
      <c r="L258" s="124">
        <v>7</v>
      </c>
      <c r="M258" s="218" t="s">
        <v>1744</v>
      </c>
      <c r="N258" s="106" t="s">
        <v>2298</v>
      </c>
      <c r="O258" s="107"/>
      <c r="P258" s="195"/>
      <c r="Q258" s="107"/>
      <c r="R258" s="196" t="s">
        <v>1903</v>
      </c>
      <c r="S258" s="302" t="e">
        <v>#N/A</v>
      </c>
      <c r="T258" s="92" t="s">
        <v>1592</v>
      </c>
      <c r="U258" s="110"/>
      <c r="V258" s="94"/>
      <c r="W258" s="107"/>
      <c r="X258" s="215">
        <v>7601291</v>
      </c>
      <c r="Y258" s="109" t="s">
        <v>1903</v>
      </c>
      <c r="Z258" s="98" t="s">
        <v>1902</v>
      </c>
      <c r="AA258" s="124" t="s">
        <v>1774</v>
      </c>
      <c r="AB258" s="218" t="s">
        <v>1744</v>
      </c>
      <c r="AC258" s="110"/>
      <c r="AH258" s="88" t="s">
        <v>1778</v>
      </c>
      <c r="AI258" s="88" t="s">
        <v>1779</v>
      </c>
    </row>
    <row r="259" spans="2:35" ht="17.45" customHeight="1">
      <c r="B259" s="96"/>
      <c r="C259" s="183"/>
      <c r="D259" s="98" t="s">
        <v>1904</v>
      </c>
      <c r="E259" s="98">
        <v>7601292</v>
      </c>
      <c r="F259" s="224"/>
      <c r="G259" s="299" t="s">
        <v>1170</v>
      </c>
      <c r="H259" s="154"/>
      <c r="I259" s="98" t="s">
        <v>1904</v>
      </c>
      <c r="J259" s="126">
        <v>4</v>
      </c>
      <c r="K259" s="124" t="s">
        <v>1774</v>
      </c>
      <c r="L259" s="124">
        <v>7</v>
      </c>
      <c r="M259" s="218" t="s">
        <v>1744</v>
      </c>
      <c r="N259" s="106" t="s">
        <v>2298</v>
      </c>
      <c r="O259" s="107"/>
      <c r="P259" s="195"/>
      <c r="Q259" s="107"/>
      <c r="R259" s="196" t="s">
        <v>1903</v>
      </c>
      <c r="S259" s="302" t="e">
        <v>#N/A</v>
      </c>
      <c r="T259" s="92" t="s">
        <v>1592</v>
      </c>
      <c r="U259" s="110"/>
      <c r="V259" s="94"/>
      <c r="W259" s="107"/>
      <c r="X259" s="215">
        <v>7601291</v>
      </c>
      <c r="Y259" s="109" t="s">
        <v>1903</v>
      </c>
      <c r="Z259" s="98" t="s">
        <v>1904</v>
      </c>
      <c r="AA259" s="124" t="s">
        <v>1774</v>
      </c>
      <c r="AB259" s="218" t="s">
        <v>1744</v>
      </c>
      <c r="AC259" s="110"/>
      <c r="AH259" s="88" t="s">
        <v>1778</v>
      </c>
      <c r="AI259" s="88" t="s">
        <v>1779</v>
      </c>
    </row>
    <row r="260" spans="2:35" ht="17.45" customHeight="1">
      <c r="B260" s="96">
        <f>B257+1</f>
        <v>14</v>
      </c>
      <c r="C260" s="183">
        <v>39673</v>
      </c>
      <c r="D260" s="98" t="s">
        <v>2064</v>
      </c>
      <c r="E260" s="98">
        <v>7600764</v>
      </c>
      <c r="F260" s="99" t="s">
        <v>2062</v>
      </c>
      <c r="G260" s="100" t="s">
        <v>1104</v>
      </c>
      <c r="H260" s="101" t="s">
        <v>2063</v>
      </c>
      <c r="I260" s="98" t="s">
        <v>2064</v>
      </c>
      <c r="J260" s="126">
        <v>4</v>
      </c>
      <c r="K260" s="124" t="s">
        <v>1774</v>
      </c>
      <c r="L260" s="124">
        <v>7</v>
      </c>
      <c r="M260" s="218" t="s">
        <v>1744</v>
      </c>
      <c r="N260" s="106" t="str">
        <f t="shared" si="7"/>
        <v>47</v>
      </c>
      <c r="O260" s="107"/>
      <c r="P260" s="195" t="s">
        <v>2064</v>
      </c>
      <c r="Q260" s="107"/>
      <c r="R260" s="196" t="s">
        <v>1749</v>
      </c>
      <c r="S260" s="302" t="s">
        <v>1592</v>
      </c>
      <c r="T260" s="92" t="s">
        <v>1592</v>
      </c>
      <c r="U260" s="110"/>
      <c r="V260" s="94" t="s">
        <v>1749</v>
      </c>
      <c r="W260" s="107"/>
      <c r="X260" s="215">
        <v>7600764</v>
      </c>
      <c r="Y260" s="109" t="s">
        <v>1749</v>
      </c>
      <c r="Z260" s="98" t="s">
        <v>2064</v>
      </c>
      <c r="AA260" s="124" t="s">
        <v>1774</v>
      </c>
      <c r="AB260" s="125" t="s">
        <v>1744</v>
      </c>
      <c r="AC260" s="155"/>
      <c r="AH260" s="88" t="s">
        <v>1778</v>
      </c>
      <c r="AI260" s="88" t="s">
        <v>1779</v>
      </c>
    </row>
    <row r="261" spans="2:35" ht="17.45" customHeight="1" thickBot="1">
      <c r="B261" s="96">
        <f t="shared" si="10"/>
        <v>15</v>
      </c>
      <c r="C261" s="197">
        <v>41272</v>
      </c>
      <c r="D261" s="198" t="s">
        <v>2113</v>
      </c>
      <c r="E261" s="198">
        <v>7600709</v>
      </c>
      <c r="F261" s="292" t="s">
        <v>2112</v>
      </c>
      <c r="G261" s="293" t="s">
        <v>1111</v>
      </c>
      <c r="H261" s="199" t="s">
        <v>2117</v>
      </c>
      <c r="I261" s="198" t="s">
        <v>2113</v>
      </c>
      <c r="J261" s="200">
        <v>4</v>
      </c>
      <c r="K261" s="200" t="s">
        <v>1774</v>
      </c>
      <c r="L261" s="200">
        <v>7</v>
      </c>
      <c r="M261" s="218" t="s">
        <v>1744</v>
      </c>
      <c r="N261" s="202" t="str">
        <f t="shared" si="7"/>
        <v>47</v>
      </c>
      <c r="O261" s="107"/>
      <c r="P261" s="203" t="s">
        <v>2113</v>
      </c>
      <c r="Q261" s="107"/>
      <c r="R261" s="204" t="s">
        <v>1750</v>
      </c>
      <c r="S261" s="302" t="s">
        <v>1592</v>
      </c>
      <c r="T261" s="92" t="s">
        <v>1592</v>
      </c>
      <c r="U261" s="110"/>
      <c r="V261" s="94" t="s">
        <v>1750</v>
      </c>
      <c r="W261" s="107"/>
      <c r="X261" s="216">
        <v>7600709</v>
      </c>
      <c r="Y261" s="109" t="s">
        <v>1750</v>
      </c>
      <c r="Z261" s="198" t="s">
        <v>2113</v>
      </c>
      <c r="AA261" s="200" t="s">
        <v>1774</v>
      </c>
      <c r="AB261" s="201" t="s">
        <v>1744</v>
      </c>
      <c r="AC261" s="155"/>
      <c r="AH261" s="88" t="s">
        <v>1778</v>
      </c>
      <c r="AI261" s="88" t="s">
        <v>1779</v>
      </c>
    </row>
  </sheetData>
  <autoFilter ref="A4:BC261" xr:uid="{BD765269-3F90-4D77-B5F7-C732A2C1BADC}"/>
  <dataConsolidate/>
  <pageMargins left="0.19" right="0.17" top="0.39370078740157483" bottom="0.32" header="0.19685039370078741" footer="0.19685039370078741"/>
  <pageSetup paperSize="9" scale="48" orientation="landscape" horizontalDpi="409" verticalDpi="409" r:id="rId1"/>
  <headerFooter alignWithMargins="0">
    <oddFooter>&amp;L&amp;D&amp;CPágina &amp;P&amp;R_x000D_&amp;1#&amp;"Arial"&amp;10&amp;K000000 Confidential C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3738-1A60-4D89-B2A4-36B33F31E03A}">
  <sheetPr codeName="Planilha11">
    <tabColor theme="0" tint="-0.34998626667073579"/>
  </sheetPr>
  <dimension ref="A1:AZ265"/>
  <sheetViews>
    <sheetView showGridLines="0" topLeftCell="D1" zoomScale="70" zoomScaleNormal="70" workbookViewId="0">
      <pane ySplit="4" topLeftCell="A5" activePane="bottomLeft" state="frozen"/>
      <selection pane="bottomLeft"/>
      <selection activeCell="A16" sqref="A16:D22"/>
    </sheetView>
  </sheetViews>
  <sheetFormatPr defaultColWidth="11.42578125" defaultRowHeight="17.45" customHeight="1"/>
  <cols>
    <col min="1" max="1" width="3.5703125" style="56" customWidth="1"/>
    <col min="2" max="2" width="4.5703125" style="205" bestFit="1" customWidth="1"/>
    <col min="3" max="3" width="16.5703125" style="206" hidden="1" customWidth="1"/>
    <col min="4" max="5" width="13.42578125" style="129" customWidth="1"/>
    <col min="6" max="6" width="74.5703125" style="207" hidden="1" customWidth="1"/>
    <col min="7" max="7" width="73.5703125" style="74" bestFit="1" customWidth="1"/>
    <col min="8" max="8" width="58.5703125" style="205" hidden="1" customWidth="1"/>
    <col min="9" max="9" width="13.42578125" style="129" customWidth="1"/>
    <col min="10" max="10" width="8" style="163" bestFit="1" customWidth="1"/>
    <col min="11" max="11" width="8" style="163" customWidth="1"/>
    <col min="12" max="12" width="7.42578125" style="163" bestFit="1" customWidth="1"/>
    <col min="13" max="13" width="7.42578125" style="163" customWidth="1"/>
    <col min="14" max="14" width="14.5703125" style="74" bestFit="1" customWidth="1"/>
    <col min="15" max="15" width="2.5703125" style="74" customWidth="1"/>
    <col min="16" max="16" width="14.42578125" style="129" hidden="1" customWidth="1"/>
    <col min="17" max="17" width="2.5703125" style="129" customWidth="1"/>
    <col min="18" max="19" width="23.5703125" style="74" bestFit="1" customWidth="1"/>
    <col min="20" max="20" width="1.5703125" style="74" customWidth="1"/>
    <col min="21" max="21" width="23.5703125" style="74" hidden="1" customWidth="1"/>
    <col min="22" max="22" width="2.5703125" style="129" customWidth="1"/>
    <col min="23" max="23" width="17" style="166" bestFit="1" customWidth="1"/>
    <col min="24" max="24" width="23.5703125" style="74" bestFit="1" customWidth="1"/>
    <col min="25" max="25" width="11.42578125" style="74" customWidth="1"/>
    <col min="26" max="26" width="25.42578125" style="61" hidden="1" customWidth="1"/>
    <col min="27" max="27" width="2.5703125" style="129" hidden="1" customWidth="1"/>
    <col min="28" max="28" width="0" style="74" hidden="1" customWidth="1"/>
    <col min="29" max="16384" width="11.42578125" style="74"/>
  </cols>
  <sheetData>
    <row r="1" spans="1:52" s="61" customFormat="1" ht="83.1" customHeight="1">
      <c r="A1" s="56"/>
      <c r="B1" s="57"/>
      <c r="C1" s="58"/>
      <c r="D1" s="59"/>
      <c r="E1" s="59"/>
      <c r="F1" s="60"/>
      <c r="G1" s="60"/>
      <c r="I1" s="59"/>
      <c r="W1" s="62"/>
    </row>
    <row r="2" spans="1:52" s="61" customFormat="1" ht="17.45" customHeight="1" thickBot="1">
      <c r="A2" s="56"/>
      <c r="B2" s="57"/>
      <c r="C2" s="58"/>
      <c r="D2" s="59"/>
      <c r="E2" s="59"/>
      <c r="F2" s="63" t="s">
        <v>2281</v>
      </c>
      <c r="G2" s="64"/>
      <c r="I2" s="59"/>
      <c r="W2" s="62"/>
    </row>
    <row r="3" spans="1:52" ht="17.45" customHeight="1" thickBot="1">
      <c r="B3" s="65" t="s">
        <v>1752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7"/>
      <c r="O3" s="68"/>
      <c r="P3" s="69"/>
      <c r="Q3" s="70"/>
      <c r="R3" s="71" t="s">
        <v>1753</v>
      </c>
      <c r="S3" s="72"/>
      <c r="T3" s="73"/>
      <c r="U3" s="62"/>
      <c r="V3" s="70"/>
      <c r="W3" s="62"/>
      <c r="X3" s="71" t="s">
        <v>1753</v>
      </c>
      <c r="Z3" s="62"/>
      <c r="AA3" s="70"/>
    </row>
    <row r="4" spans="1:52" s="86" customFormat="1" ht="25.5" thickBot="1">
      <c r="A4" s="56"/>
      <c r="B4" s="75" t="s">
        <v>2282</v>
      </c>
      <c r="C4" s="76" t="s">
        <v>1755</v>
      </c>
      <c r="D4" s="77" t="s">
        <v>1761</v>
      </c>
      <c r="E4" s="77"/>
      <c r="F4" s="78" t="s">
        <v>1757</v>
      </c>
      <c r="G4" s="78" t="s">
        <v>1758</v>
      </c>
      <c r="H4" s="78" t="s">
        <v>1759</v>
      </c>
      <c r="I4" s="77" t="s">
        <v>1761</v>
      </c>
      <c r="J4" s="77" t="s">
        <v>1760</v>
      </c>
      <c r="K4" s="77"/>
      <c r="L4" s="77" t="s">
        <v>1566</v>
      </c>
      <c r="M4" s="79"/>
      <c r="N4" s="80" t="s">
        <v>2283</v>
      </c>
      <c r="O4" s="70"/>
      <c r="P4" s="81" t="s">
        <v>2284</v>
      </c>
      <c r="Q4" s="70"/>
      <c r="R4" s="82" t="s">
        <v>1593</v>
      </c>
      <c r="S4" s="83" t="s">
        <v>1568</v>
      </c>
      <c r="T4" s="70"/>
      <c r="U4" s="84" t="s">
        <v>1770</v>
      </c>
      <c r="V4" s="70"/>
      <c r="W4" s="85" t="s">
        <v>1767</v>
      </c>
      <c r="X4" s="82" t="s">
        <v>1593</v>
      </c>
      <c r="Z4" s="87" t="s">
        <v>1770</v>
      </c>
      <c r="AA4" s="70"/>
      <c r="AB4" s="86">
        <f>COUNTA(Z:Z)-1</f>
        <v>85</v>
      </c>
    </row>
    <row r="5" spans="1:52" ht="17.100000000000001" customHeight="1">
      <c r="A5" s="74"/>
      <c r="B5" s="219" t="e">
        <f t="shared" ref="B5:B36" si="0">B4+1</f>
        <v>#VALUE!</v>
      </c>
      <c r="C5" s="221">
        <v>43889</v>
      </c>
      <c r="D5" s="98" t="s">
        <v>2218</v>
      </c>
      <c r="E5" s="98">
        <v>7601108</v>
      </c>
      <c r="F5" s="223" t="s">
        <v>2217</v>
      </c>
      <c r="G5" s="227" t="s">
        <v>58</v>
      </c>
      <c r="H5" s="230" t="s">
        <v>1789</v>
      </c>
      <c r="I5" s="98" t="s">
        <v>2218</v>
      </c>
      <c r="J5" s="287">
        <v>1</v>
      </c>
      <c r="K5" s="287" t="s">
        <v>1810</v>
      </c>
      <c r="L5" s="90">
        <v>1</v>
      </c>
      <c r="M5" s="218" t="s">
        <v>1596</v>
      </c>
      <c r="N5" s="237" t="str">
        <f t="shared" ref="N5:N68" si="1">J5&amp;L5</f>
        <v>11</v>
      </c>
      <c r="O5" s="107"/>
      <c r="P5" s="108" t="s">
        <v>2218</v>
      </c>
      <c r="Q5" s="107"/>
      <c r="R5" s="109" t="s">
        <v>1599</v>
      </c>
      <c r="S5" s="92" t="s">
        <v>1570</v>
      </c>
      <c r="T5" s="110"/>
      <c r="U5" s="94" t="s">
        <v>1599</v>
      </c>
      <c r="V5" s="107"/>
      <c r="W5" s="111">
        <v>7601108</v>
      </c>
      <c r="X5" s="109" t="s">
        <v>1599</v>
      </c>
      <c r="Z5" s="95"/>
      <c r="AA5" s="107"/>
      <c r="AE5" s="88" t="s">
        <v>1778</v>
      </c>
      <c r="AF5" s="88" t="s">
        <v>1779</v>
      </c>
    </row>
    <row r="6" spans="1:52" ht="17.45" customHeight="1">
      <c r="A6" s="74"/>
      <c r="B6" s="96" t="e">
        <f t="shared" si="0"/>
        <v>#VALUE!</v>
      </c>
      <c r="C6" s="97">
        <v>40749</v>
      </c>
      <c r="D6" s="98" t="s">
        <v>1965</v>
      </c>
      <c r="E6" s="98">
        <v>7600453</v>
      </c>
      <c r="F6" s="99" t="s">
        <v>1963</v>
      </c>
      <c r="G6" s="100" t="s">
        <v>65</v>
      </c>
      <c r="H6" s="101" t="s">
        <v>1846</v>
      </c>
      <c r="I6" s="98" t="s">
        <v>1965</v>
      </c>
      <c r="J6" s="102">
        <v>1</v>
      </c>
      <c r="K6" s="103" t="s">
        <v>1810</v>
      </c>
      <c r="L6" s="105">
        <v>1</v>
      </c>
      <c r="M6" s="218" t="s">
        <v>1596</v>
      </c>
      <c r="N6" s="217" t="str">
        <f t="shared" si="1"/>
        <v>11</v>
      </c>
      <c r="O6" s="107"/>
      <c r="P6" s="108" t="s">
        <v>1964</v>
      </c>
      <c r="Q6" s="107"/>
      <c r="R6" s="109" t="s">
        <v>1597</v>
      </c>
      <c r="S6" s="92" t="s">
        <v>1570</v>
      </c>
      <c r="T6" s="110"/>
      <c r="U6" s="94" t="s">
        <v>1597</v>
      </c>
      <c r="V6" s="107"/>
      <c r="W6" s="111">
        <v>7600391</v>
      </c>
      <c r="X6" s="109" t="s">
        <v>1597</v>
      </c>
      <c r="Z6" s="95"/>
      <c r="AA6" s="107"/>
      <c r="AE6" s="88" t="s">
        <v>1778</v>
      </c>
      <c r="AF6" s="88" t="s">
        <v>1779</v>
      </c>
    </row>
    <row r="7" spans="1:52" ht="17.45" customHeight="1">
      <c r="A7" s="88"/>
      <c r="B7" s="220" t="e">
        <f t="shared" si="0"/>
        <v>#VALUE!</v>
      </c>
      <c r="C7" s="156">
        <v>38558</v>
      </c>
      <c r="D7" s="89" t="s">
        <v>1964</v>
      </c>
      <c r="E7" s="89">
        <v>7600391</v>
      </c>
      <c r="F7" s="226" t="s">
        <v>1963</v>
      </c>
      <c r="G7" s="229" t="s">
        <v>72</v>
      </c>
      <c r="H7" s="157" t="s">
        <v>1846</v>
      </c>
      <c r="I7" s="89" t="s">
        <v>1964</v>
      </c>
      <c r="J7" s="233">
        <v>1</v>
      </c>
      <c r="K7" s="236" t="s">
        <v>1810</v>
      </c>
      <c r="L7" s="105">
        <v>1</v>
      </c>
      <c r="M7" s="218" t="s">
        <v>1596</v>
      </c>
      <c r="N7" s="294" t="str">
        <f t="shared" si="1"/>
        <v>11</v>
      </c>
      <c r="O7" s="91"/>
      <c r="P7" s="161" t="s">
        <v>1964</v>
      </c>
      <c r="Q7" s="91"/>
      <c r="R7" s="162" t="s">
        <v>1597</v>
      </c>
      <c r="S7" s="92" t="s">
        <v>1570</v>
      </c>
      <c r="T7" s="93"/>
      <c r="U7" s="94" t="s">
        <v>1597</v>
      </c>
      <c r="V7" s="91"/>
      <c r="W7" s="213">
        <v>7600391</v>
      </c>
      <c r="X7" s="162" t="s">
        <v>1597</v>
      </c>
      <c r="Y7" s="88"/>
      <c r="Z7" s="116"/>
      <c r="AA7" s="91"/>
      <c r="AB7" s="88"/>
      <c r="AC7" s="88"/>
      <c r="AD7" s="88"/>
      <c r="AE7" s="88" t="s">
        <v>1778</v>
      </c>
      <c r="AF7" s="88" t="s">
        <v>1779</v>
      </c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</row>
    <row r="8" spans="1:52" ht="17.45" customHeight="1">
      <c r="A8" s="74"/>
      <c r="B8" s="96" t="e">
        <f t="shared" si="0"/>
        <v>#VALUE!</v>
      </c>
      <c r="C8" s="112">
        <v>39904</v>
      </c>
      <c r="D8" s="98" t="s">
        <v>1970</v>
      </c>
      <c r="E8" s="98">
        <v>7600496</v>
      </c>
      <c r="F8" s="113" t="s">
        <v>1963</v>
      </c>
      <c r="G8" s="100" t="s">
        <v>1968</v>
      </c>
      <c r="H8" s="101" t="s">
        <v>1846</v>
      </c>
      <c r="I8" s="98" t="s">
        <v>1970</v>
      </c>
      <c r="J8" s="102">
        <v>1</v>
      </c>
      <c r="K8" s="103" t="s">
        <v>1810</v>
      </c>
      <c r="L8" s="105">
        <v>1</v>
      </c>
      <c r="M8" s="218" t="s">
        <v>1596</v>
      </c>
      <c r="N8" s="217" t="str">
        <f t="shared" si="1"/>
        <v>11</v>
      </c>
      <c r="O8" s="107"/>
      <c r="P8" s="114" t="s">
        <v>1964</v>
      </c>
      <c r="Q8" s="107"/>
      <c r="R8" s="115" t="s">
        <v>1597</v>
      </c>
      <c r="S8" s="92" t="s">
        <v>1570</v>
      </c>
      <c r="T8" s="110"/>
      <c r="U8" s="94" t="s">
        <v>1597</v>
      </c>
      <c r="V8" s="107"/>
      <c r="W8" s="117">
        <v>7600391</v>
      </c>
      <c r="X8" s="115" t="s">
        <v>1597</v>
      </c>
      <c r="Z8" s="116"/>
      <c r="AA8" s="107"/>
      <c r="AE8" s="88" t="s">
        <v>1778</v>
      </c>
      <c r="AF8" s="88" t="s">
        <v>1779</v>
      </c>
    </row>
    <row r="9" spans="1:52" ht="17.45" customHeight="1">
      <c r="A9" s="74"/>
      <c r="B9" s="96" t="e">
        <f t="shared" si="0"/>
        <v>#VALUE!</v>
      </c>
      <c r="C9" s="112">
        <v>38946</v>
      </c>
      <c r="D9" s="98" t="s">
        <v>1977</v>
      </c>
      <c r="E9" s="98">
        <v>7601222</v>
      </c>
      <c r="F9" s="113" t="s">
        <v>1963</v>
      </c>
      <c r="G9" s="100" t="s">
        <v>77</v>
      </c>
      <c r="H9" s="101" t="s">
        <v>1846</v>
      </c>
      <c r="I9" s="98" t="s">
        <v>1977</v>
      </c>
      <c r="J9" s="102">
        <v>1</v>
      </c>
      <c r="K9" s="103" t="s">
        <v>1810</v>
      </c>
      <c r="L9" s="105">
        <v>1</v>
      </c>
      <c r="M9" s="218" t="s">
        <v>1596</v>
      </c>
      <c r="N9" s="217" t="str">
        <f t="shared" si="1"/>
        <v>11</v>
      </c>
      <c r="O9" s="107"/>
      <c r="P9" s="114" t="s">
        <v>1964</v>
      </c>
      <c r="Q9" s="107"/>
      <c r="R9" s="115" t="s">
        <v>1597</v>
      </c>
      <c r="S9" s="92" t="s">
        <v>1570</v>
      </c>
      <c r="T9" s="110"/>
      <c r="U9" s="94" t="s">
        <v>1597</v>
      </c>
      <c r="V9" s="107"/>
      <c r="W9" s="211">
        <v>7600391</v>
      </c>
      <c r="X9" s="115" t="s">
        <v>1597</v>
      </c>
      <c r="Z9" s="116"/>
      <c r="AA9" s="107"/>
      <c r="AE9" s="88" t="s">
        <v>1778</v>
      </c>
      <c r="AF9" s="88" t="s">
        <v>1779</v>
      </c>
    </row>
    <row r="10" spans="1:52" ht="17.45" customHeight="1">
      <c r="A10" s="74"/>
      <c r="B10" s="96" t="e">
        <f t="shared" si="0"/>
        <v>#VALUE!</v>
      </c>
      <c r="C10" s="112">
        <v>40560</v>
      </c>
      <c r="D10" s="98" t="s">
        <v>1971</v>
      </c>
      <c r="E10" s="98">
        <v>7600569</v>
      </c>
      <c r="F10" s="113" t="s">
        <v>1963</v>
      </c>
      <c r="G10" s="100" t="s">
        <v>82</v>
      </c>
      <c r="H10" s="101" t="s">
        <v>1846</v>
      </c>
      <c r="I10" s="98" t="s">
        <v>1971</v>
      </c>
      <c r="J10" s="102">
        <v>1</v>
      </c>
      <c r="K10" s="103" t="s">
        <v>1810</v>
      </c>
      <c r="L10" s="105">
        <v>1</v>
      </c>
      <c r="M10" s="218" t="s">
        <v>1596</v>
      </c>
      <c r="N10" s="217" t="str">
        <f t="shared" si="1"/>
        <v>11</v>
      </c>
      <c r="O10" s="107"/>
      <c r="P10" s="114" t="s">
        <v>1964</v>
      </c>
      <c r="Q10" s="107"/>
      <c r="R10" s="115" t="s">
        <v>1597</v>
      </c>
      <c r="S10" s="92" t="s">
        <v>1570</v>
      </c>
      <c r="T10" s="110"/>
      <c r="U10" s="94" t="s">
        <v>1597</v>
      </c>
      <c r="V10" s="107"/>
      <c r="W10" s="211">
        <v>7600391</v>
      </c>
      <c r="X10" s="115" t="s">
        <v>1597</v>
      </c>
      <c r="Z10" s="116"/>
      <c r="AA10" s="107"/>
      <c r="AE10" s="88" t="s">
        <v>1778</v>
      </c>
      <c r="AF10" s="88" t="s">
        <v>1779</v>
      </c>
    </row>
    <row r="11" spans="1:52" ht="17.45" customHeight="1">
      <c r="A11" s="74"/>
      <c r="B11" s="96" t="e">
        <f t="shared" si="0"/>
        <v>#VALUE!</v>
      </c>
      <c r="C11" s="112">
        <v>39450</v>
      </c>
      <c r="D11" s="98" t="s">
        <v>1967</v>
      </c>
      <c r="E11" s="98">
        <v>7600474</v>
      </c>
      <c r="F11" s="113" t="s">
        <v>1963</v>
      </c>
      <c r="G11" s="100" t="s">
        <v>86</v>
      </c>
      <c r="H11" s="101" t="s">
        <v>1846</v>
      </c>
      <c r="I11" s="98" t="s">
        <v>1967</v>
      </c>
      <c r="J11" s="102">
        <v>1</v>
      </c>
      <c r="K11" s="103" t="s">
        <v>1810</v>
      </c>
      <c r="L11" s="105">
        <v>1</v>
      </c>
      <c r="M11" s="218" t="s">
        <v>1596</v>
      </c>
      <c r="N11" s="217" t="str">
        <f t="shared" si="1"/>
        <v>11</v>
      </c>
      <c r="O11" s="107"/>
      <c r="P11" s="114" t="s">
        <v>1964</v>
      </c>
      <c r="Q11" s="107"/>
      <c r="R11" s="115" t="s">
        <v>1597</v>
      </c>
      <c r="S11" s="92" t="s">
        <v>1570</v>
      </c>
      <c r="T11" s="110"/>
      <c r="U11" s="94" t="s">
        <v>1597</v>
      </c>
      <c r="V11" s="107"/>
      <c r="W11" s="211">
        <v>7600391</v>
      </c>
      <c r="X11" s="115" t="s">
        <v>1597</v>
      </c>
      <c r="Z11" s="116"/>
      <c r="AA11" s="107"/>
      <c r="AE11" s="88" t="s">
        <v>1778</v>
      </c>
      <c r="AF11" s="88" t="s">
        <v>1779</v>
      </c>
    </row>
    <row r="12" spans="1:52" ht="17.45" customHeight="1">
      <c r="A12" s="74"/>
      <c r="B12" s="96" t="e">
        <f t="shared" si="0"/>
        <v>#VALUE!</v>
      </c>
      <c r="C12" s="112">
        <v>42332</v>
      </c>
      <c r="D12" s="98" t="s">
        <v>1973</v>
      </c>
      <c r="E12" s="118">
        <v>7601220</v>
      </c>
      <c r="F12" s="119" t="s">
        <v>1963</v>
      </c>
      <c r="G12" s="120" t="s">
        <v>92</v>
      </c>
      <c r="H12" s="121" t="s">
        <v>1846</v>
      </c>
      <c r="I12" s="98" t="s">
        <v>1973</v>
      </c>
      <c r="J12" s="122">
        <v>1</v>
      </c>
      <c r="K12" s="123" t="s">
        <v>1810</v>
      </c>
      <c r="L12" s="105">
        <v>1</v>
      </c>
      <c r="M12" s="218" t="s">
        <v>1596</v>
      </c>
      <c r="N12" s="217" t="str">
        <f t="shared" si="1"/>
        <v>11</v>
      </c>
      <c r="O12" s="107"/>
      <c r="P12" s="114" t="s">
        <v>1964</v>
      </c>
      <c r="Q12" s="107"/>
      <c r="R12" s="115" t="s">
        <v>1597</v>
      </c>
      <c r="S12" s="92" t="s">
        <v>1570</v>
      </c>
      <c r="T12" s="110"/>
      <c r="U12" s="94" t="s">
        <v>1597</v>
      </c>
      <c r="V12" s="107"/>
      <c r="W12" s="211">
        <v>7600391</v>
      </c>
      <c r="X12" s="115" t="s">
        <v>1597</v>
      </c>
      <c r="Z12" s="116"/>
      <c r="AA12" s="107"/>
      <c r="AE12" s="88" t="s">
        <v>1778</v>
      </c>
      <c r="AF12" s="88" t="s">
        <v>1779</v>
      </c>
    </row>
    <row r="13" spans="1:52" ht="17.45" customHeight="1">
      <c r="A13" s="74"/>
      <c r="B13" s="96" t="e">
        <f t="shared" si="0"/>
        <v>#VALUE!</v>
      </c>
      <c r="C13" s="112">
        <v>38909</v>
      </c>
      <c r="D13" s="98" t="s">
        <v>1975</v>
      </c>
      <c r="E13" s="118">
        <v>7601221</v>
      </c>
      <c r="F13" s="119" t="s">
        <v>1963</v>
      </c>
      <c r="G13" s="120" t="s">
        <v>96</v>
      </c>
      <c r="H13" s="121" t="s">
        <v>1846</v>
      </c>
      <c r="I13" s="98" t="s">
        <v>1975</v>
      </c>
      <c r="J13" s="122">
        <v>1</v>
      </c>
      <c r="K13" s="123" t="s">
        <v>1810</v>
      </c>
      <c r="L13" s="105">
        <v>1</v>
      </c>
      <c r="M13" s="218" t="s">
        <v>1596</v>
      </c>
      <c r="N13" s="217" t="str">
        <f t="shared" si="1"/>
        <v>11</v>
      </c>
      <c r="O13" s="107"/>
      <c r="P13" s="114" t="s">
        <v>1964</v>
      </c>
      <c r="Q13" s="107"/>
      <c r="R13" s="115" t="s">
        <v>1597</v>
      </c>
      <c r="S13" s="92" t="s">
        <v>1570</v>
      </c>
      <c r="T13" s="110"/>
      <c r="U13" s="94" t="s">
        <v>1597</v>
      </c>
      <c r="V13" s="107"/>
      <c r="W13" s="211">
        <v>7600391</v>
      </c>
      <c r="X13" s="115" t="s">
        <v>1597</v>
      </c>
      <c r="Z13" s="116"/>
      <c r="AA13" s="107"/>
      <c r="AE13" s="88" t="s">
        <v>1778</v>
      </c>
      <c r="AF13" s="88" t="s">
        <v>1779</v>
      </c>
    </row>
    <row r="14" spans="1:52" ht="17.45" customHeight="1">
      <c r="A14" s="74"/>
      <c r="B14" s="96" t="e">
        <f t="shared" si="0"/>
        <v>#VALUE!</v>
      </c>
      <c r="C14" s="112">
        <v>38051</v>
      </c>
      <c r="D14" s="98" t="s">
        <v>1989</v>
      </c>
      <c r="E14" s="98">
        <v>7600358</v>
      </c>
      <c r="F14" s="113" t="s">
        <v>1986</v>
      </c>
      <c r="G14" s="100" t="s">
        <v>20</v>
      </c>
      <c r="H14" s="101" t="s">
        <v>1979</v>
      </c>
      <c r="I14" s="98" t="s">
        <v>1989</v>
      </c>
      <c r="J14" s="102">
        <v>1</v>
      </c>
      <c r="K14" s="103" t="s">
        <v>1810</v>
      </c>
      <c r="L14" s="124">
        <v>2</v>
      </c>
      <c r="M14" s="125" t="s">
        <v>1600</v>
      </c>
      <c r="N14" s="106" t="str">
        <f t="shared" si="1"/>
        <v>12</v>
      </c>
      <c r="O14" s="107"/>
      <c r="P14" s="114" t="s">
        <v>1987</v>
      </c>
      <c r="Q14" s="107"/>
      <c r="R14" s="115" t="s">
        <v>1603</v>
      </c>
      <c r="S14" s="92" t="s">
        <v>1571</v>
      </c>
      <c r="T14" s="110"/>
      <c r="U14" s="94" t="s">
        <v>1603</v>
      </c>
      <c r="V14" s="107"/>
      <c r="W14" s="117">
        <v>7600358</v>
      </c>
      <c r="X14" s="115" t="s">
        <v>1603</v>
      </c>
      <c r="Z14" s="116"/>
      <c r="AA14" s="107"/>
      <c r="AE14" s="88" t="s">
        <v>1778</v>
      </c>
      <c r="AF14" s="88" t="s">
        <v>1779</v>
      </c>
    </row>
    <row r="15" spans="1:52" ht="17.45" customHeight="1">
      <c r="B15" s="96" t="e">
        <f t="shared" si="0"/>
        <v>#VALUE!</v>
      </c>
      <c r="C15" s="112">
        <v>38053</v>
      </c>
      <c r="D15" s="98" t="s">
        <v>1993</v>
      </c>
      <c r="E15" s="98">
        <v>7600361</v>
      </c>
      <c r="F15" s="113" t="s">
        <v>1986</v>
      </c>
      <c r="G15" s="100" t="s">
        <v>26</v>
      </c>
      <c r="H15" s="101" t="s">
        <v>1979</v>
      </c>
      <c r="I15" s="98" t="s">
        <v>1993</v>
      </c>
      <c r="J15" s="102">
        <v>1</v>
      </c>
      <c r="K15" s="103" t="s">
        <v>1810</v>
      </c>
      <c r="L15" s="124">
        <v>2</v>
      </c>
      <c r="M15" s="125" t="s">
        <v>1600</v>
      </c>
      <c r="N15" s="106" t="str">
        <f t="shared" si="1"/>
        <v>12</v>
      </c>
      <c r="O15" s="107"/>
      <c r="P15" s="114" t="s">
        <v>1987</v>
      </c>
      <c r="Q15" s="107"/>
      <c r="R15" s="115" t="s">
        <v>1603</v>
      </c>
      <c r="S15" s="92" t="s">
        <v>1571</v>
      </c>
      <c r="T15" s="110"/>
      <c r="U15" s="94" t="s">
        <v>1603</v>
      </c>
      <c r="V15" s="107"/>
      <c r="W15" s="117">
        <v>7600358</v>
      </c>
      <c r="X15" s="115" t="s">
        <v>1603</v>
      </c>
      <c r="Z15" s="116"/>
      <c r="AE15" s="88" t="s">
        <v>1778</v>
      </c>
      <c r="AF15" s="88" t="s">
        <v>1779</v>
      </c>
    </row>
    <row r="16" spans="1:52" ht="17.100000000000001" customHeight="1">
      <c r="B16" s="96" t="e">
        <f t="shared" si="0"/>
        <v>#VALUE!</v>
      </c>
      <c r="C16" s="112">
        <v>38053</v>
      </c>
      <c r="D16" s="98" t="s">
        <v>1991</v>
      </c>
      <c r="E16" s="98">
        <v>7600360</v>
      </c>
      <c r="F16" s="113" t="s">
        <v>1986</v>
      </c>
      <c r="G16" s="100" t="s">
        <v>53</v>
      </c>
      <c r="H16" s="101" t="s">
        <v>1979</v>
      </c>
      <c r="I16" s="98" t="s">
        <v>1991</v>
      </c>
      <c r="J16" s="102">
        <v>1</v>
      </c>
      <c r="K16" s="103" t="s">
        <v>1810</v>
      </c>
      <c r="L16" s="124">
        <v>2</v>
      </c>
      <c r="M16" s="125" t="s">
        <v>1600</v>
      </c>
      <c r="N16" s="106" t="str">
        <f t="shared" si="1"/>
        <v>12</v>
      </c>
      <c r="O16" s="107"/>
      <c r="P16" s="114" t="s">
        <v>1987</v>
      </c>
      <c r="Q16" s="107"/>
      <c r="R16" s="115" t="s">
        <v>1603</v>
      </c>
      <c r="S16" s="92" t="s">
        <v>1571</v>
      </c>
      <c r="T16" s="110"/>
      <c r="U16" s="94" t="s">
        <v>1603</v>
      </c>
      <c r="V16" s="107"/>
      <c r="W16" s="117">
        <v>7600358</v>
      </c>
      <c r="X16" s="115" t="s">
        <v>1603</v>
      </c>
      <c r="Z16" s="116"/>
      <c r="AE16" s="88" t="s">
        <v>1778</v>
      </c>
      <c r="AF16" s="88" t="s">
        <v>1779</v>
      </c>
    </row>
    <row r="17" spans="2:32" ht="17.45" customHeight="1">
      <c r="B17" s="96" t="e">
        <f t="shared" si="0"/>
        <v>#VALUE!</v>
      </c>
      <c r="C17" s="112">
        <v>42473</v>
      </c>
      <c r="D17" s="98" t="s">
        <v>1997</v>
      </c>
      <c r="E17" s="98">
        <v>7600913</v>
      </c>
      <c r="F17" s="113" t="s">
        <v>1986</v>
      </c>
      <c r="G17" s="100" t="s">
        <v>13</v>
      </c>
      <c r="H17" s="101" t="s">
        <v>1979</v>
      </c>
      <c r="I17" s="98" t="s">
        <v>1997</v>
      </c>
      <c r="J17" s="102">
        <v>1</v>
      </c>
      <c r="K17" s="103" t="s">
        <v>1810</v>
      </c>
      <c r="L17" s="124">
        <v>2</v>
      </c>
      <c r="M17" s="125" t="s">
        <v>1600</v>
      </c>
      <c r="N17" s="106" t="str">
        <f t="shared" si="1"/>
        <v>12</v>
      </c>
      <c r="O17" s="107"/>
      <c r="P17" s="114" t="s">
        <v>1987</v>
      </c>
      <c r="Q17" s="107"/>
      <c r="R17" s="115" t="s">
        <v>1601</v>
      </c>
      <c r="S17" s="92" t="s">
        <v>1571</v>
      </c>
      <c r="T17" s="110"/>
      <c r="U17" s="94" t="s">
        <v>1601</v>
      </c>
      <c r="V17" s="107"/>
      <c r="W17" s="117">
        <v>7600100</v>
      </c>
      <c r="X17" s="115" t="s">
        <v>1601</v>
      </c>
      <c r="Z17" s="116"/>
      <c r="AE17" s="88" t="s">
        <v>1778</v>
      </c>
      <c r="AF17" s="88" t="s">
        <v>1779</v>
      </c>
    </row>
    <row r="18" spans="2:32" ht="17.45" customHeight="1">
      <c r="B18" s="96" t="e">
        <f t="shared" si="0"/>
        <v>#VALUE!</v>
      </c>
      <c r="C18" s="112">
        <v>36224</v>
      </c>
      <c r="D18" s="98" t="s">
        <v>1987</v>
      </c>
      <c r="E18" s="98">
        <v>7600100</v>
      </c>
      <c r="F18" s="113" t="s">
        <v>1986</v>
      </c>
      <c r="G18" s="100" t="s">
        <v>31</v>
      </c>
      <c r="H18" s="101" t="s">
        <v>1979</v>
      </c>
      <c r="I18" s="98" t="s">
        <v>1987</v>
      </c>
      <c r="J18" s="102">
        <v>1</v>
      </c>
      <c r="K18" s="103" t="s">
        <v>1810</v>
      </c>
      <c r="L18" s="124">
        <v>2</v>
      </c>
      <c r="M18" s="125" t="s">
        <v>1600</v>
      </c>
      <c r="N18" s="106" t="str">
        <f t="shared" si="1"/>
        <v>12</v>
      </c>
      <c r="O18" s="107"/>
      <c r="P18" s="114" t="s">
        <v>1987</v>
      </c>
      <c r="Q18" s="107"/>
      <c r="R18" s="115" t="s">
        <v>1601</v>
      </c>
      <c r="S18" s="92" t="s">
        <v>1571</v>
      </c>
      <c r="T18" s="110"/>
      <c r="U18" s="94" t="s">
        <v>1601</v>
      </c>
      <c r="V18" s="107"/>
      <c r="W18" s="117">
        <v>7600100</v>
      </c>
      <c r="X18" s="115" t="s">
        <v>1601</v>
      </c>
      <c r="Z18" s="116"/>
      <c r="AA18" s="107"/>
      <c r="AE18" s="88" t="s">
        <v>1778</v>
      </c>
      <c r="AF18" s="88" t="s">
        <v>1779</v>
      </c>
    </row>
    <row r="19" spans="2:32" ht="17.45" customHeight="1">
      <c r="B19" s="96" t="e">
        <f t="shared" si="0"/>
        <v>#VALUE!</v>
      </c>
      <c r="C19" s="112">
        <v>36228</v>
      </c>
      <c r="D19" s="98" t="s">
        <v>1998</v>
      </c>
      <c r="E19" s="98">
        <v>7601214</v>
      </c>
      <c r="F19" s="113" t="s">
        <v>1986</v>
      </c>
      <c r="G19" s="100" t="s">
        <v>36</v>
      </c>
      <c r="H19" s="101" t="s">
        <v>1979</v>
      </c>
      <c r="I19" s="98" t="s">
        <v>1998</v>
      </c>
      <c r="J19" s="102">
        <v>1</v>
      </c>
      <c r="K19" s="103" t="s">
        <v>1810</v>
      </c>
      <c r="L19" s="124">
        <v>2</v>
      </c>
      <c r="M19" s="125" t="s">
        <v>1600</v>
      </c>
      <c r="N19" s="106" t="str">
        <f t="shared" si="1"/>
        <v>12</v>
      </c>
      <c r="O19" s="107"/>
      <c r="P19" s="114" t="s">
        <v>1987</v>
      </c>
      <c r="Q19" s="107"/>
      <c r="R19" s="115" t="s">
        <v>1601</v>
      </c>
      <c r="S19" s="92" t="s">
        <v>1571</v>
      </c>
      <c r="T19" s="110"/>
      <c r="U19" s="94" t="s">
        <v>1601</v>
      </c>
      <c r="V19" s="107"/>
      <c r="W19" s="117">
        <v>7600100</v>
      </c>
      <c r="X19" s="115" t="s">
        <v>1601</v>
      </c>
      <c r="Z19" s="116"/>
      <c r="AE19" s="88" t="s">
        <v>1778</v>
      </c>
      <c r="AF19" s="88" t="s">
        <v>1779</v>
      </c>
    </row>
    <row r="20" spans="2:32" ht="17.45" customHeight="1">
      <c r="B20" s="96" t="e">
        <f t="shared" si="0"/>
        <v>#VALUE!</v>
      </c>
      <c r="C20" s="112">
        <v>36542</v>
      </c>
      <c r="D20" s="98" t="s">
        <v>1995</v>
      </c>
      <c r="E20" s="98">
        <v>7600728</v>
      </c>
      <c r="F20" s="113" t="s">
        <v>1986</v>
      </c>
      <c r="G20" s="100" t="s">
        <v>40</v>
      </c>
      <c r="H20" s="101" t="s">
        <v>1979</v>
      </c>
      <c r="I20" s="98" t="s">
        <v>1995</v>
      </c>
      <c r="J20" s="102">
        <v>1</v>
      </c>
      <c r="K20" s="103" t="s">
        <v>1810</v>
      </c>
      <c r="L20" s="124">
        <v>2</v>
      </c>
      <c r="M20" s="125" t="s">
        <v>1600</v>
      </c>
      <c r="N20" s="106" t="str">
        <f t="shared" si="1"/>
        <v>12</v>
      </c>
      <c r="O20" s="107"/>
      <c r="P20" s="114" t="s">
        <v>1987</v>
      </c>
      <c r="Q20" s="107"/>
      <c r="R20" s="115" t="s">
        <v>1601</v>
      </c>
      <c r="S20" s="92" t="s">
        <v>1571</v>
      </c>
      <c r="T20" s="110"/>
      <c r="U20" s="94" t="s">
        <v>1601</v>
      </c>
      <c r="V20" s="107"/>
      <c r="W20" s="117">
        <v>7600100</v>
      </c>
      <c r="X20" s="115" t="s">
        <v>1601</v>
      </c>
      <c r="Z20" s="116"/>
      <c r="AE20" s="88" t="s">
        <v>1778</v>
      </c>
      <c r="AF20" s="88" t="s">
        <v>1779</v>
      </c>
    </row>
    <row r="21" spans="2:32" ht="17.45" customHeight="1">
      <c r="B21" s="96" t="e">
        <f t="shared" si="0"/>
        <v>#VALUE!</v>
      </c>
      <c r="C21" s="112">
        <v>40738</v>
      </c>
      <c r="D21" s="98" t="s">
        <v>1994</v>
      </c>
      <c r="E21" s="98">
        <v>7600595</v>
      </c>
      <c r="F21" s="113" t="s">
        <v>1986</v>
      </c>
      <c r="G21" s="100" t="s">
        <v>45</v>
      </c>
      <c r="H21" s="101" t="s">
        <v>1979</v>
      </c>
      <c r="I21" s="98" t="s">
        <v>1994</v>
      </c>
      <c r="J21" s="102">
        <v>1</v>
      </c>
      <c r="K21" s="103" t="s">
        <v>1810</v>
      </c>
      <c r="L21" s="124">
        <v>2</v>
      </c>
      <c r="M21" s="125" t="s">
        <v>1600</v>
      </c>
      <c r="N21" s="106" t="str">
        <f t="shared" si="1"/>
        <v>12</v>
      </c>
      <c r="O21" s="107"/>
      <c r="P21" s="114" t="s">
        <v>1987</v>
      </c>
      <c r="Q21" s="107"/>
      <c r="R21" s="115" t="s">
        <v>1601</v>
      </c>
      <c r="S21" s="92" t="s">
        <v>1571</v>
      </c>
      <c r="T21" s="110"/>
      <c r="U21" s="94" t="s">
        <v>1601</v>
      </c>
      <c r="V21" s="107"/>
      <c r="W21" s="117">
        <v>7600100</v>
      </c>
      <c r="X21" s="115" t="s">
        <v>1601</v>
      </c>
      <c r="Z21" s="116"/>
      <c r="AE21" s="88" t="s">
        <v>1778</v>
      </c>
      <c r="AF21" s="88" t="s">
        <v>1779</v>
      </c>
    </row>
    <row r="22" spans="2:32" ht="17.45" customHeight="1">
      <c r="B22" s="96" t="e">
        <f t="shared" si="0"/>
        <v>#VALUE!</v>
      </c>
      <c r="C22" s="112">
        <v>37600</v>
      </c>
      <c r="D22" s="98" t="s">
        <v>1988</v>
      </c>
      <c r="E22" s="98">
        <v>7600331</v>
      </c>
      <c r="F22" s="113" t="s">
        <v>1986</v>
      </c>
      <c r="G22" s="100" t="s">
        <v>49</v>
      </c>
      <c r="H22" s="101" t="s">
        <v>1979</v>
      </c>
      <c r="I22" s="98" t="s">
        <v>1988</v>
      </c>
      <c r="J22" s="102">
        <v>1</v>
      </c>
      <c r="K22" s="103" t="s">
        <v>1810</v>
      </c>
      <c r="L22" s="124">
        <v>2</v>
      </c>
      <c r="M22" s="125" t="s">
        <v>1600</v>
      </c>
      <c r="N22" s="106" t="str">
        <f t="shared" si="1"/>
        <v>12</v>
      </c>
      <c r="O22" s="107"/>
      <c r="P22" s="114" t="s">
        <v>1987</v>
      </c>
      <c r="Q22" s="107"/>
      <c r="R22" s="115" t="s">
        <v>1601</v>
      </c>
      <c r="S22" s="92" t="s">
        <v>1571</v>
      </c>
      <c r="T22" s="110"/>
      <c r="U22" s="94" t="s">
        <v>1601</v>
      </c>
      <c r="V22" s="107"/>
      <c r="W22" s="117">
        <v>7600100</v>
      </c>
      <c r="X22" s="115" t="s">
        <v>1601</v>
      </c>
      <c r="Z22" s="95"/>
      <c r="AA22" s="107"/>
      <c r="AE22" s="88" t="s">
        <v>1778</v>
      </c>
      <c r="AF22" s="88" t="s">
        <v>1779</v>
      </c>
    </row>
    <row r="23" spans="2:32" ht="17.45" customHeight="1">
      <c r="B23" s="96" t="e">
        <f t="shared" si="0"/>
        <v>#VALUE!</v>
      </c>
      <c r="C23" s="112">
        <v>37256</v>
      </c>
      <c r="D23" s="98" t="s">
        <v>1817</v>
      </c>
      <c r="E23" s="98">
        <v>7601216</v>
      </c>
      <c r="F23" s="113" t="s">
        <v>1808</v>
      </c>
      <c r="G23" s="100" t="s">
        <v>137</v>
      </c>
      <c r="H23" s="101" t="s">
        <v>1828</v>
      </c>
      <c r="I23" s="98" t="s">
        <v>1817</v>
      </c>
      <c r="J23" s="102">
        <v>1</v>
      </c>
      <c r="K23" s="103" t="s">
        <v>1810</v>
      </c>
      <c r="L23" s="124">
        <v>3</v>
      </c>
      <c r="M23" s="125" t="s">
        <v>1604</v>
      </c>
      <c r="N23" s="106" t="str">
        <f t="shared" si="1"/>
        <v>13</v>
      </c>
      <c r="O23" s="107"/>
      <c r="P23" s="114" t="s">
        <v>1809</v>
      </c>
      <c r="Q23" s="107"/>
      <c r="R23" s="115" t="s">
        <v>1605</v>
      </c>
      <c r="S23" s="92" t="s">
        <v>1572</v>
      </c>
      <c r="T23" s="110"/>
      <c r="U23" s="94" t="s">
        <v>1605</v>
      </c>
      <c r="V23" s="107"/>
      <c r="W23" s="117">
        <v>7600742</v>
      </c>
      <c r="X23" s="115" t="s">
        <v>1605</v>
      </c>
      <c r="Z23" s="127" t="s">
        <v>1633</v>
      </c>
      <c r="AE23" s="88" t="s">
        <v>1778</v>
      </c>
      <c r="AF23" s="88" t="s">
        <v>1779</v>
      </c>
    </row>
    <row r="24" spans="2:32" ht="17.45" customHeight="1">
      <c r="B24" s="96" t="e">
        <f t="shared" si="0"/>
        <v>#VALUE!</v>
      </c>
      <c r="C24" s="112">
        <v>44866</v>
      </c>
      <c r="D24" s="98" t="s">
        <v>1816</v>
      </c>
      <c r="E24" s="98">
        <v>7601210</v>
      </c>
      <c r="F24" s="113" t="s">
        <v>1808</v>
      </c>
      <c r="G24" s="100" t="s">
        <v>142</v>
      </c>
      <c r="H24" s="101" t="s">
        <v>1828</v>
      </c>
      <c r="I24" s="98" t="s">
        <v>1816</v>
      </c>
      <c r="J24" s="126">
        <v>1</v>
      </c>
      <c r="K24" s="124" t="s">
        <v>1810</v>
      </c>
      <c r="L24" s="124">
        <v>3</v>
      </c>
      <c r="M24" s="125" t="s">
        <v>1604</v>
      </c>
      <c r="N24" s="106" t="str">
        <f t="shared" si="1"/>
        <v>13</v>
      </c>
      <c r="O24" s="107"/>
      <c r="P24" s="114" t="s">
        <v>1809</v>
      </c>
      <c r="Q24" s="107"/>
      <c r="R24" s="115" t="s">
        <v>1605</v>
      </c>
      <c r="S24" s="92" t="s">
        <v>1572</v>
      </c>
      <c r="T24" s="110"/>
      <c r="U24" s="94" t="s">
        <v>1605</v>
      </c>
      <c r="V24" s="107"/>
      <c r="W24" s="117">
        <v>7600742</v>
      </c>
      <c r="X24" s="115" t="s">
        <v>1605</v>
      </c>
      <c r="Z24" s="127" t="s">
        <v>1610</v>
      </c>
      <c r="AE24" s="88" t="s">
        <v>1778</v>
      </c>
      <c r="AF24" s="88" t="s">
        <v>1779</v>
      </c>
    </row>
    <row r="25" spans="2:32" ht="17.45" customHeight="1">
      <c r="B25" s="96" t="e">
        <f t="shared" si="0"/>
        <v>#VALUE!</v>
      </c>
      <c r="C25" s="112">
        <v>45202</v>
      </c>
      <c r="D25" s="98" t="s">
        <v>1819</v>
      </c>
      <c r="E25" s="98">
        <v>7601224</v>
      </c>
      <c r="F25" s="113" t="s">
        <v>1808</v>
      </c>
      <c r="G25" s="128" t="s">
        <v>1818</v>
      </c>
      <c r="H25" s="101" t="s">
        <v>1828</v>
      </c>
      <c r="I25" s="98" t="s">
        <v>1819</v>
      </c>
      <c r="J25" s="102">
        <v>1</v>
      </c>
      <c r="K25" s="103" t="s">
        <v>1810</v>
      </c>
      <c r="L25" s="124">
        <v>3</v>
      </c>
      <c r="M25" s="125" t="s">
        <v>1604</v>
      </c>
      <c r="N25" s="106" t="str">
        <f t="shared" si="1"/>
        <v>13</v>
      </c>
      <c r="O25" s="107"/>
      <c r="P25" s="114" t="s">
        <v>1809</v>
      </c>
      <c r="Q25" s="107"/>
      <c r="R25" s="115" t="s">
        <v>1605</v>
      </c>
      <c r="S25" s="92" t="s">
        <v>1572</v>
      </c>
      <c r="T25" s="110"/>
      <c r="U25" s="94" t="s">
        <v>1605</v>
      </c>
      <c r="V25" s="107"/>
      <c r="W25" s="117">
        <v>7600742</v>
      </c>
      <c r="X25" s="115" t="s">
        <v>1605</v>
      </c>
      <c r="Z25" s="127" t="s">
        <v>1834</v>
      </c>
      <c r="AE25" s="88" t="s">
        <v>1778</v>
      </c>
      <c r="AF25" s="88" t="s">
        <v>1779</v>
      </c>
    </row>
    <row r="26" spans="2:32" ht="17.45" customHeight="1">
      <c r="B26" s="96" t="e">
        <f t="shared" si="0"/>
        <v>#VALUE!</v>
      </c>
      <c r="C26" s="112">
        <v>41628</v>
      </c>
      <c r="D26" s="98" t="s">
        <v>1813</v>
      </c>
      <c r="E26" s="98">
        <v>7600777</v>
      </c>
      <c r="F26" s="113" t="s">
        <v>1808</v>
      </c>
      <c r="G26" s="100" t="s">
        <v>148</v>
      </c>
      <c r="H26" s="101" t="s">
        <v>1828</v>
      </c>
      <c r="I26" s="98" t="s">
        <v>1813</v>
      </c>
      <c r="J26" s="126">
        <v>1</v>
      </c>
      <c r="K26" s="124" t="s">
        <v>1810</v>
      </c>
      <c r="L26" s="124">
        <v>3</v>
      </c>
      <c r="M26" s="125" t="s">
        <v>1604</v>
      </c>
      <c r="N26" s="106" t="str">
        <f t="shared" si="1"/>
        <v>13</v>
      </c>
      <c r="O26" s="107"/>
      <c r="P26" s="114" t="s">
        <v>1809</v>
      </c>
      <c r="Q26" s="107"/>
      <c r="R26" s="115" t="s">
        <v>1605</v>
      </c>
      <c r="S26" s="92" t="s">
        <v>1572</v>
      </c>
      <c r="T26" s="110"/>
      <c r="U26" s="94" t="s">
        <v>1605</v>
      </c>
      <c r="V26" s="107"/>
      <c r="W26" s="117">
        <v>7600742</v>
      </c>
      <c r="X26" s="115" t="s">
        <v>1605</v>
      </c>
      <c r="Z26" s="127" t="s">
        <v>1714</v>
      </c>
      <c r="AE26" s="88" t="s">
        <v>1778</v>
      </c>
      <c r="AF26" s="88" t="s">
        <v>1779</v>
      </c>
    </row>
    <row r="27" spans="2:32" ht="17.45" customHeight="1">
      <c r="B27" s="96" t="e">
        <f t="shared" si="0"/>
        <v>#VALUE!</v>
      </c>
      <c r="C27" s="112">
        <v>41486</v>
      </c>
      <c r="D27" s="98" t="s">
        <v>1809</v>
      </c>
      <c r="E27" s="98">
        <v>7600742</v>
      </c>
      <c r="F27" s="113" t="s">
        <v>1808</v>
      </c>
      <c r="G27" s="100" t="s">
        <v>151</v>
      </c>
      <c r="H27" s="101" t="s">
        <v>1828</v>
      </c>
      <c r="I27" s="98" t="s">
        <v>1809</v>
      </c>
      <c r="J27" s="126">
        <v>1</v>
      </c>
      <c r="K27" s="124" t="s">
        <v>1810</v>
      </c>
      <c r="L27" s="124">
        <v>3</v>
      </c>
      <c r="M27" s="125" t="s">
        <v>1604</v>
      </c>
      <c r="N27" s="106" t="str">
        <f t="shared" si="1"/>
        <v>13</v>
      </c>
      <c r="O27" s="107"/>
      <c r="P27" s="114" t="s">
        <v>1809</v>
      </c>
      <c r="Q27" s="107"/>
      <c r="R27" s="115" t="s">
        <v>1605</v>
      </c>
      <c r="S27" s="92" t="s">
        <v>1572</v>
      </c>
      <c r="T27" s="110"/>
      <c r="U27" s="94" t="s">
        <v>1605</v>
      </c>
      <c r="V27" s="107"/>
      <c r="W27" s="117">
        <v>7600742</v>
      </c>
      <c r="X27" s="115" t="s">
        <v>1605</v>
      </c>
      <c r="Z27" s="127" t="s">
        <v>1688</v>
      </c>
      <c r="AE27" s="88" t="s">
        <v>1778</v>
      </c>
      <c r="AF27" s="88" t="s">
        <v>1779</v>
      </c>
    </row>
    <row r="28" spans="2:32" ht="17.45" customHeight="1">
      <c r="B28" s="96" t="e">
        <f t="shared" si="0"/>
        <v>#VALUE!</v>
      </c>
      <c r="C28" s="112">
        <v>42502</v>
      </c>
      <c r="D28" s="98" t="s">
        <v>1814</v>
      </c>
      <c r="E28" s="98">
        <v>7600873</v>
      </c>
      <c r="F28" s="113" t="s">
        <v>1808</v>
      </c>
      <c r="G28" s="100" t="s">
        <v>154</v>
      </c>
      <c r="H28" s="101" t="s">
        <v>1828</v>
      </c>
      <c r="I28" s="98" t="s">
        <v>1814</v>
      </c>
      <c r="J28" s="126">
        <v>1</v>
      </c>
      <c r="K28" s="124" t="s">
        <v>1810</v>
      </c>
      <c r="L28" s="124">
        <v>3</v>
      </c>
      <c r="M28" s="125" t="s">
        <v>1604</v>
      </c>
      <c r="N28" s="106" t="str">
        <f t="shared" si="1"/>
        <v>13</v>
      </c>
      <c r="O28" s="107"/>
      <c r="P28" s="114" t="s">
        <v>1809</v>
      </c>
      <c r="Q28" s="107"/>
      <c r="R28" s="115" t="s">
        <v>1605</v>
      </c>
      <c r="S28" s="92" t="s">
        <v>1572</v>
      </c>
      <c r="T28" s="110"/>
      <c r="U28" s="94" t="s">
        <v>1605</v>
      </c>
      <c r="V28" s="107"/>
      <c r="W28" s="117">
        <v>7600742</v>
      </c>
      <c r="X28" s="115" t="s">
        <v>1605</v>
      </c>
      <c r="Z28" s="127" t="s">
        <v>1649</v>
      </c>
      <c r="AE28" s="88" t="s">
        <v>1778</v>
      </c>
      <c r="AF28" s="88" t="s">
        <v>1779</v>
      </c>
    </row>
    <row r="29" spans="2:32" ht="17.45" customHeight="1">
      <c r="B29" s="133" t="e">
        <f t="shared" si="0"/>
        <v>#VALUE!</v>
      </c>
      <c r="C29" s="240">
        <v>45744</v>
      </c>
      <c r="D29" s="134" t="s">
        <v>2005</v>
      </c>
      <c r="E29" s="134">
        <v>7601142</v>
      </c>
      <c r="F29" s="241" t="s">
        <v>2001</v>
      </c>
      <c r="G29" s="243" t="s">
        <v>1133</v>
      </c>
      <c r="H29" s="135" t="s">
        <v>1992</v>
      </c>
      <c r="I29" s="134" t="s">
        <v>2005</v>
      </c>
      <c r="J29" s="136">
        <v>1</v>
      </c>
      <c r="K29" s="137" t="s">
        <v>1810</v>
      </c>
      <c r="L29" s="138">
        <v>3</v>
      </c>
      <c r="M29" s="139" t="s">
        <v>1604</v>
      </c>
      <c r="N29" s="140" t="str">
        <f t="shared" si="1"/>
        <v>13</v>
      </c>
      <c r="O29" s="141"/>
      <c r="P29" s="142" t="s">
        <v>2003</v>
      </c>
      <c r="Q29" s="141"/>
      <c r="R29" s="143" t="s">
        <v>1607</v>
      </c>
      <c r="S29" s="92" t="s">
        <v>1572</v>
      </c>
      <c r="T29" s="144"/>
      <c r="U29" s="94" t="s">
        <v>1607</v>
      </c>
      <c r="V29" s="141"/>
      <c r="W29" s="212">
        <v>7600991</v>
      </c>
      <c r="X29" s="143" t="s">
        <v>1607</v>
      </c>
      <c r="Y29" s="145"/>
      <c r="Z29" s="116"/>
      <c r="AE29" s="88" t="s">
        <v>1778</v>
      </c>
      <c r="AF29" s="88" t="s">
        <v>1779</v>
      </c>
    </row>
    <row r="30" spans="2:32" ht="17.45" customHeight="1">
      <c r="B30" s="96" t="e">
        <f t="shared" si="0"/>
        <v>#VALUE!</v>
      </c>
      <c r="C30" s="112">
        <v>44158</v>
      </c>
      <c r="D30" s="98" t="s">
        <v>2003</v>
      </c>
      <c r="E30" s="98">
        <v>7600991</v>
      </c>
      <c r="F30" s="113" t="s">
        <v>2001</v>
      </c>
      <c r="G30" s="100" t="s">
        <v>127</v>
      </c>
      <c r="H30" s="101" t="s">
        <v>1992</v>
      </c>
      <c r="I30" s="98" t="s">
        <v>2003</v>
      </c>
      <c r="J30" s="102">
        <v>1</v>
      </c>
      <c r="K30" s="103" t="s">
        <v>1810</v>
      </c>
      <c r="L30" s="124">
        <v>3</v>
      </c>
      <c r="M30" s="125" t="s">
        <v>1604</v>
      </c>
      <c r="N30" s="106" t="str">
        <f t="shared" si="1"/>
        <v>13</v>
      </c>
      <c r="O30" s="107"/>
      <c r="P30" s="114" t="s">
        <v>2003</v>
      </c>
      <c r="Q30" s="107"/>
      <c r="R30" s="115" t="s">
        <v>1607</v>
      </c>
      <c r="S30" s="92" t="s">
        <v>1572</v>
      </c>
      <c r="T30" s="110"/>
      <c r="U30" s="94" t="s">
        <v>1607</v>
      </c>
      <c r="V30" s="107"/>
      <c r="W30" s="117">
        <v>7600991</v>
      </c>
      <c r="X30" s="115" t="s">
        <v>1607</v>
      </c>
      <c r="Y30" s="129"/>
      <c r="Z30" s="116"/>
      <c r="AE30" s="88" t="s">
        <v>1778</v>
      </c>
      <c r="AF30" s="88" t="s">
        <v>1779</v>
      </c>
    </row>
    <row r="31" spans="2:32" ht="17.45" customHeight="1">
      <c r="B31" s="96" t="e">
        <f t="shared" si="0"/>
        <v>#VALUE!</v>
      </c>
      <c r="C31" s="112">
        <v>38708</v>
      </c>
      <c r="D31" s="98" t="s">
        <v>2004</v>
      </c>
      <c r="E31" s="98">
        <v>7601047</v>
      </c>
      <c r="F31" s="113" t="s">
        <v>2001</v>
      </c>
      <c r="G31" s="100" t="s">
        <v>134</v>
      </c>
      <c r="H31" s="101" t="s">
        <v>1992</v>
      </c>
      <c r="I31" s="98" t="s">
        <v>2004</v>
      </c>
      <c r="J31" s="102">
        <v>1</v>
      </c>
      <c r="K31" s="103" t="s">
        <v>1810</v>
      </c>
      <c r="L31" s="124">
        <v>3</v>
      </c>
      <c r="M31" s="125" t="s">
        <v>1604</v>
      </c>
      <c r="N31" s="106" t="str">
        <f t="shared" si="1"/>
        <v>13</v>
      </c>
      <c r="O31" s="107"/>
      <c r="P31" s="114" t="s">
        <v>2003</v>
      </c>
      <c r="Q31" s="107"/>
      <c r="R31" s="115" t="s">
        <v>1607</v>
      </c>
      <c r="S31" s="92" t="s">
        <v>1572</v>
      </c>
      <c r="T31" s="110"/>
      <c r="U31" s="94" t="s">
        <v>1607</v>
      </c>
      <c r="V31" s="107"/>
      <c r="W31" s="117">
        <v>7600991</v>
      </c>
      <c r="X31" s="115" t="s">
        <v>1607</v>
      </c>
      <c r="Y31" s="129"/>
      <c r="Z31" s="116"/>
      <c r="AE31" s="88" t="s">
        <v>1778</v>
      </c>
      <c r="AF31" s="88" t="s">
        <v>1779</v>
      </c>
    </row>
    <row r="32" spans="2:32" ht="17.45" customHeight="1">
      <c r="B32" s="96" t="e">
        <f t="shared" si="0"/>
        <v>#VALUE!</v>
      </c>
      <c r="C32" s="112">
        <v>38295</v>
      </c>
      <c r="D32" s="98" t="s">
        <v>2022</v>
      </c>
      <c r="E32" s="98">
        <v>7600373</v>
      </c>
      <c r="F32" s="113" t="s">
        <v>2019</v>
      </c>
      <c r="G32" s="100" t="s">
        <v>252</v>
      </c>
      <c r="H32" s="101" t="s">
        <v>2010</v>
      </c>
      <c r="I32" s="98" t="s">
        <v>2022</v>
      </c>
      <c r="J32" s="102">
        <v>1</v>
      </c>
      <c r="K32" s="103" t="s">
        <v>1810</v>
      </c>
      <c r="L32" s="124">
        <v>3</v>
      </c>
      <c r="M32" s="125" t="s">
        <v>1604</v>
      </c>
      <c r="N32" s="106" t="str">
        <f t="shared" si="1"/>
        <v>13</v>
      </c>
      <c r="O32" s="107"/>
      <c r="P32" s="114" t="s">
        <v>2020</v>
      </c>
      <c r="Q32" s="107"/>
      <c r="R32" s="115" t="s">
        <v>1608</v>
      </c>
      <c r="S32" s="92" t="s">
        <v>1572</v>
      </c>
      <c r="T32" s="110"/>
      <c r="U32" s="94" t="s">
        <v>1608</v>
      </c>
      <c r="V32" s="107"/>
      <c r="W32" s="117">
        <v>7600023</v>
      </c>
      <c r="X32" s="115" t="s">
        <v>1608</v>
      </c>
      <c r="Z32" s="116"/>
      <c r="AE32" s="88" t="s">
        <v>1778</v>
      </c>
      <c r="AF32" s="88" t="s">
        <v>1779</v>
      </c>
    </row>
    <row r="33" spans="2:32" ht="17.45" customHeight="1">
      <c r="B33" s="96" t="e">
        <f t="shared" si="0"/>
        <v>#VALUE!</v>
      </c>
      <c r="C33" s="112">
        <v>41249</v>
      </c>
      <c r="D33" s="98" t="s">
        <v>2024</v>
      </c>
      <c r="E33" s="98">
        <v>7600701</v>
      </c>
      <c r="F33" s="113" t="s">
        <v>2019</v>
      </c>
      <c r="G33" s="100" t="s">
        <v>257</v>
      </c>
      <c r="H33" s="101" t="s">
        <v>2010</v>
      </c>
      <c r="I33" s="98" t="s">
        <v>2024</v>
      </c>
      <c r="J33" s="102">
        <v>1</v>
      </c>
      <c r="K33" s="103" t="s">
        <v>1810</v>
      </c>
      <c r="L33" s="124">
        <v>3</v>
      </c>
      <c r="M33" s="125" t="s">
        <v>1604</v>
      </c>
      <c r="N33" s="106" t="str">
        <f t="shared" si="1"/>
        <v>13</v>
      </c>
      <c r="O33" s="107"/>
      <c r="P33" s="114" t="s">
        <v>2020</v>
      </c>
      <c r="Q33" s="107"/>
      <c r="R33" s="115" t="s">
        <v>1608</v>
      </c>
      <c r="S33" s="92" t="s">
        <v>1572</v>
      </c>
      <c r="T33" s="110"/>
      <c r="U33" s="94" t="s">
        <v>1608</v>
      </c>
      <c r="V33" s="107"/>
      <c r="W33" s="117">
        <v>7600023</v>
      </c>
      <c r="X33" s="115" t="s">
        <v>1608</v>
      </c>
      <c r="Z33" s="116"/>
      <c r="AE33" s="88" t="s">
        <v>1778</v>
      </c>
      <c r="AF33" s="88" t="s">
        <v>1779</v>
      </c>
    </row>
    <row r="34" spans="2:32" ht="17.45" customHeight="1">
      <c r="B34" s="96" t="e">
        <f t="shared" si="0"/>
        <v>#VALUE!</v>
      </c>
      <c r="C34" s="112">
        <v>37160</v>
      </c>
      <c r="D34" s="98" t="s">
        <v>2026</v>
      </c>
      <c r="E34" s="98">
        <v>7600756</v>
      </c>
      <c r="F34" s="113" t="s">
        <v>2019</v>
      </c>
      <c r="G34" s="100" t="s">
        <v>260</v>
      </c>
      <c r="H34" s="101" t="s">
        <v>2010</v>
      </c>
      <c r="I34" s="98" t="s">
        <v>2026</v>
      </c>
      <c r="J34" s="102">
        <v>1</v>
      </c>
      <c r="K34" s="103" t="s">
        <v>1810</v>
      </c>
      <c r="L34" s="124">
        <v>3</v>
      </c>
      <c r="M34" s="125" t="s">
        <v>1604</v>
      </c>
      <c r="N34" s="106" t="str">
        <f t="shared" si="1"/>
        <v>13</v>
      </c>
      <c r="O34" s="107"/>
      <c r="P34" s="114" t="s">
        <v>2020</v>
      </c>
      <c r="Q34" s="107"/>
      <c r="R34" s="115" t="s">
        <v>1608</v>
      </c>
      <c r="S34" s="92" t="s">
        <v>1572</v>
      </c>
      <c r="T34" s="110"/>
      <c r="U34" s="94" t="s">
        <v>1608</v>
      </c>
      <c r="V34" s="107"/>
      <c r="W34" s="117">
        <v>7600023</v>
      </c>
      <c r="X34" s="115" t="s">
        <v>1608</v>
      </c>
      <c r="Z34" s="116"/>
      <c r="AE34" s="88" t="s">
        <v>1778</v>
      </c>
      <c r="AF34" s="88" t="s">
        <v>1779</v>
      </c>
    </row>
    <row r="35" spans="2:32" ht="17.45" customHeight="1">
      <c r="B35" s="96" t="e">
        <f t="shared" si="0"/>
        <v>#VALUE!</v>
      </c>
      <c r="C35" s="112">
        <v>35571</v>
      </c>
      <c r="D35" s="98" t="s">
        <v>2020</v>
      </c>
      <c r="E35" s="98">
        <v>7600023</v>
      </c>
      <c r="F35" s="113" t="s">
        <v>2019</v>
      </c>
      <c r="G35" s="100" t="s">
        <v>264</v>
      </c>
      <c r="H35" s="101" t="s">
        <v>2010</v>
      </c>
      <c r="I35" s="98" t="s">
        <v>2020</v>
      </c>
      <c r="J35" s="102">
        <v>1</v>
      </c>
      <c r="K35" s="103" t="s">
        <v>1810</v>
      </c>
      <c r="L35" s="124">
        <v>3</v>
      </c>
      <c r="M35" s="125" t="s">
        <v>1604</v>
      </c>
      <c r="N35" s="106" t="str">
        <f t="shared" si="1"/>
        <v>13</v>
      </c>
      <c r="O35" s="107"/>
      <c r="P35" s="114" t="s">
        <v>2020</v>
      </c>
      <c r="Q35" s="107"/>
      <c r="R35" s="115" t="s">
        <v>1608</v>
      </c>
      <c r="S35" s="92" t="s">
        <v>1572</v>
      </c>
      <c r="T35" s="110"/>
      <c r="U35" s="94" t="s">
        <v>1608</v>
      </c>
      <c r="V35" s="107"/>
      <c r="W35" s="117">
        <v>7600023</v>
      </c>
      <c r="X35" s="115" t="s">
        <v>1608</v>
      </c>
      <c r="Z35" s="116"/>
      <c r="AE35" s="88" t="s">
        <v>1778</v>
      </c>
      <c r="AF35" s="88" t="s">
        <v>1779</v>
      </c>
    </row>
    <row r="36" spans="2:32" ht="17.45" customHeight="1">
      <c r="B36" s="96" t="e">
        <f t="shared" si="0"/>
        <v>#VALUE!</v>
      </c>
      <c r="C36" s="112">
        <v>37246</v>
      </c>
      <c r="D36" s="98" t="s">
        <v>2021</v>
      </c>
      <c r="E36" s="98">
        <v>7600271</v>
      </c>
      <c r="F36" s="113" t="s">
        <v>2019</v>
      </c>
      <c r="G36" s="100" t="s">
        <v>266</v>
      </c>
      <c r="H36" s="101" t="s">
        <v>2010</v>
      </c>
      <c r="I36" s="98" t="s">
        <v>2021</v>
      </c>
      <c r="J36" s="102">
        <v>1</v>
      </c>
      <c r="K36" s="103" t="s">
        <v>1810</v>
      </c>
      <c r="L36" s="124">
        <v>3</v>
      </c>
      <c r="M36" s="125" t="s">
        <v>1604</v>
      </c>
      <c r="N36" s="106" t="str">
        <f t="shared" si="1"/>
        <v>13</v>
      </c>
      <c r="O36" s="107"/>
      <c r="P36" s="114" t="s">
        <v>2020</v>
      </c>
      <c r="Q36" s="107"/>
      <c r="R36" s="115" t="s">
        <v>1608</v>
      </c>
      <c r="S36" s="92" t="s">
        <v>1572</v>
      </c>
      <c r="T36" s="110"/>
      <c r="U36" s="94" t="s">
        <v>1608</v>
      </c>
      <c r="V36" s="107"/>
      <c r="W36" s="117">
        <v>7600023</v>
      </c>
      <c r="X36" s="115" t="s">
        <v>1608</v>
      </c>
      <c r="Z36" s="116"/>
      <c r="AE36" s="88" t="s">
        <v>1778</v>
      </c>
      <c r="AF36" s="88" t="s">
        <v>1779</v>
      </c>
    </row>
    <row r="37" spans="2:32" ht="17.45" customHeight="1">
      <c r="B37" s="96" t="e">
        <f t="shared" ref="B37:B68" si="2">B36+1</f>
        <v>#VALUE!</v>
      </c>
      <c r="C37" s="112">
        <v>35479</v>
      </c>
      <c r="D37" s="98" t="s">
        <v>1880</v>
      </c>
      <c r="E37" s="98">
        <v>7601213</v>
      </c>
      <c r="F37" s="113" t="s">
        <v>1869</v>
      </c>
      <c r="G37" s="100" t="s">
        <v>157</v>
      </c>
      <c r="H37" s="101" t="s">
        <v>1872</v>
      </c>
      <c r="I37" s="98" t="s">
        <v>1880</v>
      </c>
      <c r="J37" s="102">
        <v>1</v>
      </c>
      <c r="K37" s="103" t="s">
        <v>1810</v>
      </c>
      <c r="L37" s="124">
        <v>4</v>
      </c>
      <c r="M37" s="125" t="s">
        <v>1609</v>
      </c>
      <c r="N37" s="106" t="str">
        <f t="shared" si="1"/>
        <v>14</v>
      </c>
      <c r="O37" s="107"/>
      <c r="P37" s="114" t="s">
        <v>1871</v>
      </c>
      <c r="Q37" s="107"/>
      <c r="R37" s="115" t="s">
        <v>1610</v>
      </c>
      <c r="S37" s="92" t="s">
        <v>1573</v>
      </c>
      <c r="T37" s="110"/>
      <c r="U37" s="94" t="s">
        <v>1610</v>
      </c>
      <c r="V37" s="107"/>
      <c r="W37" s="117">
        <v>7600167</v>
      </c>
      <c r="X37" s="115" t="s">
        <v>1610</v>
      </c>
      <c r="Z37" s="127" t="s">
        <v>1703</v>
      </c>
      <c r="AE37" s="88" t="s">
        <v>1778</v>
      </c>
      <c r="AF37" s="88" t="s">
        <v>1779</v>
      </c>
    </row>
    <row r="38" spans="2:32" ht="17.45" customHeight="1">
      <c r="B38" s="96" t="e">
        <f t="shared" si="2"/>
        <v>#VALUE!</v>
      </c>
      <c r="C38" s="112">
        <v>41445</v>
      </c>
      <c r="D38" s="98" t="s">
        <v>1875</v>
      </c>
      <c r="E38" s="98">
        <v>7600746</v>
      </c>
      <c r="F38" s="99" t="s">
        <v>1869</v>
      </c>
      <c r="G38" s="100" t="s">
        <v>163</v>
      </c>
      <c r="H38" s="101" t="s">
        <v>1872</v>
      </c>
      <c r="I38" s="98" t="s">
        <v>1875</v>
      </c>
      <c r="J38" s="126">
        <v>1</v>
      </c>
      <c r="K38" s="126" t="s">
        <v>1810</v>
      </c>
      <c r="L38" s="124">
        <v>4</v>
      </c>
      <c r="M38" s="125" t="s">
        <v>1609</v>
      </c>
      <c r="N38" s="106" t="str">
        <f t="shared" si="1"/>
        <v>14</v>
      </c>
      <c r="O38" s="107"/>
      <c r="P38" s="114" t="s">
        <v>1871</v>
      </c>
      <c r="Q38" s="107"/>
      <c r="R38" s="115" t="s">
        <v>1610</v>
      </c>
      <c r="S38" s="92" t="s">
        <v>1573</v>
      </c>
      <c r="T38" s="110"/>
      <c r="U38" s="94" t="s">
        <v>1610</v>
      </c>
      <c r="V38" s="107"/>
      <c r="W38" s="117">
        <v>7600167</v>
      </c>
      <c r="X38" s="115" t="s">
        <v>1610</v>
      </c>
      <c r="Z38" s="127" t="s">
        <v>1625</v>
      </c>
      <c r="AA38" s="147"/>
      <c r="AB38" s="147"/>
      <c r="AC38" s="147"/>
      <c r="AD38" s="147"/>
      <c r="AE38" s="88" t="s">
        <v>1778</v>
      </c>
      <c r="AF38" s="88" t="s">
        <v>1779</v>
      </c>
    </row>
    <row r="39" spans="2:32" ht="17.45" customHeight="1">
      <c r="B39" s="96" t="e">
        <f t="shared" si="2"/>
        <v>#VALUE!</v>
      </c>
      <c r="C39" s="112">
        <v>35571</v>
      </c>
      <c r="D39" s="98" t="s">
        <v>1878</v>
      </c>
      <c r="E39" s="98">
        <v>7600943</v>
      </c>
      <c r="F39" s="113" t="s">
        <v>1869</v>
      </c>
      <c r="G39" s="100" t="s">
        <v>167</v>
      </c>
      <c r="H39" s="101" t="s">
        <v>1872</v>
      </c>
      <c r="I39" s="98" t="s">
        <v>1878</v>
      </c>
      <c r="J39" s="102">
        <v>1</v>
      </c>
      <c r="K39" s="103" t="s">
        <v>1810</v>
      </c>
      <c r="L39" s="124">
        <v>4</v>
      </c>
      <c r="M39" s="125" t="s">
        <v>1609</v>
      </c>
      <c r="N39" s="106" t="str">
        <f t="shared" si="1"/>
        <v>14</v>
      </c>
      <c r="O39" s="107"/>
      <c r="P39" s="114" t="s">
        <v>1871</v>
      </c>
      <c r="Q39" s="107"/>
      <c r="R39" s="115" t="s">
        <v>1610</v>
      </c>
      <c r="S39" s="92" t="s">
        <v>1573</v>
      </c>
      <c r="T39" s="110"/>
      <c r="U39" s="94" t="s">
        <v>1610</v>
      </c>
      <c r="V39" s="107"/>
      <c r="W39" s="117">
        <v>7600167</v>
      </c>
      <c r="X39" s="115" t="s">
        <v>1610</v>
      </c>
      <c r="Z39" s="127" t="s">
        <v>1617</v>
      </c>
      <c r="AA39" s="147"/>
      <c r="AB39" s="147"/>
      <c r="AC39" s="147"/>
      <c r="AD39" s="147"/>
      <c r="AE39" s="88" t="s">
        <v>1778</v>
      </c>
      <c r="AF39" s="88" t="s">
        <v>1779</v>
      </c>
    </row>
    <row r="40" spans="2:32" ht="17.45" customHeight="1">
      <c r="B40" s="96" t="e">
        <f t="shared" si="2"/>
        <v>#VALUE!</v>
      </c>
      <c r="C40" s="112">
        <v>40876</v>
      </c>
      <c r="D40" s="98" t="s">
        <v>1873</v>
      </c>
      <c r="E40" s="98">
        <v>7600633</v>
      </c>
      <c r="F40" s="113" t="s">
        <v>1869</v>
      </c>
      <c r="G40" s="100" t="s">
        <v>170</v>
      </c>
      <c r="H40" s="101" t="s">
        <v>1872</v>
      </c>
      <c r="I40" s="98" t="s">
        <v>1873</v>
      </c>
      <c r="J40" s="102">
        <v>1</v>
      </c>
      <c r="K40" s="103" t="s">
        <v>1810</v>
      </c>
      <c r="L40" s="124">
        <v>4</v>
      </c>
      <c r="M40" s="125" t="s">
        <v>1609</v>
      </c>
      <c r="N40" s="106" t="str">
        <f t="shared" si="1"/>
        <v>14</v>
      </c>
      <c r="O40" s="107"/>
      <c r="P40" s="114" t="s">
        <v>1871</v>
      </c>
      <c r="Q40" s="107"/>
      <c r="R40" s="115" t="s">
        <v>1610</v>
      </c>
      <c r="S40" s="92" t="s">
        <v>1573</v>
      </c>
      <c r="T40" s="110"/>
      <c r="U40" s="94" t="s">
        <v>1610</v>
      </c>
      <c r="V40" s="107"/>
      <c r="W40" s="117">
        <v>7600167</v>
      </c>
      <c r="X40" s="115" t="s">
        <v>1610</v>
      </c>
      <c r="Z40" s="127" t="s">
        <v>1702</v>
      </c>
      <c r="AE40" s="88" t="s">
        <v>1778</v>
      </c>
      <c r="AF40" s="88" t="s">
        <v>1779</v>
      </c>
    </row>
    <row r="41" spans="2:32" ht="17.45" customHeight="1">
      <c r="B41" s="96" t="e">
        <f t="shared" si="2"/>
        <v>#VALUE!</v>
      </c>
      <c r="C41" s="146">
        <v>36779</v>
      </c>
      <c r="D41" s="98" t="s">
        <v>1871</v>
      </c>
      <c r="E41" s="98">
        <v>7600167</v>
      </c>
      <c r="F41" s="113" t="s">
        <v>1869</v>
      </c>
      <c r="G41" s="100" t="s">
        <v>173</v>
      </c>
      <c r="H41" s="101" t="s">
        <v>1872</v>
      </c>
      <c r="I41" s="98" t="s">
        <v>1871</v>
      </c>
      <c r="J41" s="102">
        <v>1</v>
      </c>
      <c r="K41" s="103" t="s">
        <v>1810</v>
      </c>
      <c r="L41" s="124">
        <v>4</v>
      </c>
      <c r="M41" s="125" t="s">
        <v>1609</v>
      </c>
      <c r="N41" s="106" t="str">
        <f t="shared" si="1"/>
        <v>14</v>
      </c>
      <c r="O41" s="107"/>
      <c r="P41" s="114" t="s">
        <v>1871</v>
      </c>
      <c r="Q41" s="107"/>
      <c r="R41" s="115" t="s">
        <v>1610</v>
      </c>
      <c r="S41" s="92" t="s">
        <v>1573</v>
      </c>
      <c r="T41" s="110"/>
      <c r="U41" s="94" t="s">
        <v>1610</v>
      </c>
      <c r="V41" s="107"/>
      <c r="W41" s="117">
        <v>7600167</v>
      </c>
      <c r="X41" s="115" t="s">
        <v>1610</v>
      </c>
      <c r="Z41" s="127" t="s">
        <v>1749</v>
      </c>
      <c r="AE41" s="88" t="s">
        <v>1778</v>
      </c>
      <c r="AF41" s="88" t="s">
        <v>1779</v>
      </c>
    </row>
    <row r="42" spans="2:32" ht="17.45" customHeight="1">
      <c r="B42" s="96" t="e">
        <f t="shared" si="2"/>
        <v>#VALUE!</v>
      </c>
      <c r="C42" s="112">
        <v>41626</v>
      </c>
      <c r="D42" s="98" t="s">
        <v>1876</v>
      </c>
      <c r="E42" s="98">
        <v>7600776</v>
      </c>
      <c r="F42" s="113" t="s">
        <v>1869</v>
      </c>
      <c r="G42" s="100" t="s">
        <v>176</v>
      </c>
      <c r="H42" s="101" t="s">
        <v>1872</v>
      </c>
      <c r="I42" s="98" t="s">
        <v>1876</v>
      </c>
      <c r="J42" s="126">
        <v>1</v>
      </c>
      <c r="K42" s="124" t="s">
        <v>1810</v>
      </c>
      <c r="L42" s="124">
        <v>4</v>
      </c>
      <c r="M42" s="125" t="s">
        <v>1609</v>
      </c>
      <c r="N42" s="106" t="str">
        <f t="shared" si="1"/>
        <v>14</v>
      </c>
      <c r="O42" s="107"/>
      <c r="P42" s="114" t="s">
        <v>1871</v>
      </c>
      <c r="Q42" s="107"/>
      <c r="R42" s="115" t="s">
        <v>1610</v>
      </c>
      <c r="S42" s="92" t="s">
        <v>1573</v>
      </c>
      <c r="T42" s="110"/>
      <c r="U42" s="94" t="s">
        <v>1610</v>
      </c>
      <c r="V42" s="107"/>
      <c r="W42" s="117">
        <v>7600167</v>
      </c>
      <c r="X42" s="115" t="s">
        <v>1610</v>
      </c>
      <c r="Z42" s="127" t="s">
        <v>1667</v>
      </c>
      <c r="AA42" s="147"/>
      <c r="AB42" s="147"/>
      <c r="AC42" s="147"/>
      <c r="AD42" s="147"/>
      <c r="AE42" s="88" t="s">
        <v>1778</v>
      </c>
      <c r="AF42" s="88" t="s">
        <v>1779</v>
      </c>
    </row>
    <row r="43" spans="2:32" ht="17.45" customHeight="1">
      <c r="B43" s="96" t="e">
        <f t="shared" si="2"/>
        <v>#VALUE!</v>
      </c>
      <c r="C43" s="112">
        <v>44096</v>
      </c>
      <c r="D43" s="98" t="s">
        <v>1879</v>
      </c>
      <c r="E43" s="98">
        <v>7601126</v>
      </c>
      <c r="F43" s="113" t="s">
        <v>1869</v>
      </c>
      <c r="G43" s="100" t="s">
        <v>178</v>
      </c>
      <c r="H43" s="101" t="s">
        <v>1872</v>
      </c>
      <c r="I43" s="98" t="s">
        <v>1879</v>
      </c>
      <c r="J43" s="102">
        <v>1</v>
      </c>
      <c r="K43" s="103" t="s">
        <v>1810</v>
      </c>
      <c r="L43" s="124">
        <v>4</v>
      </c>
      <c r="M43" s="125" t="s">
        <v>1609</v>
      </c>
      <c r="N43" s="106" t="str">
        <f t="shared" si="1"/>
        <v>14</v>
      </c>
      <c r="O43" s="107"/>
      <c r="P43" s="114" t="s">
        <v>1871</v>
      </c>
      <c r="Q43" s="107"/>
      <c r="R43" s="115" t="s">
        <v>1610</v>
      </c>
      <c r="S43" s="92" t="s">
        <v>1573</v>
      </c>
      <c r="T43" s="110"/>
      <c r="U43" s="94" t="s">
        <v>1610</v>
      </c>
      <c r="V43" s="107"/>
      <c r="W43" s="117">
        <v>7600167</v>
      </c>
      <c r="X43" s="115" t="s">
        <v>1610</v>
      </c>
      <c r="Z43" s="127" t="s">
        <v>1731</v>
      </c>
      <c r="AA43" s="147"/>
      <c r="AB43" s="147"/>
      <c r="AC43" s="147"/>
      <c r="AD43" s="147"/>
      <c r="AE43" s="88" t="s">
        <v>1778</v>
      </c>
      <c r="AF43" s="88" t="s">
        <v>1779</v>
      </c>
    </row>
    <row r="44" spans="2:32" s="147" customFormat="1" ht="17.45" customHeight="1">
      <c r="B44" s="96" t="e">
        <f t="shared" si="2"/>
        <v>#VALUE!</v>
      </c>
      <c r="C44" s="112">
        <v>40889</v>
      </c>
      <c r="D44" s="98" t="s">
        <v>1874</v>
      </c>
      <c r="E44" s="98">
        <v>7600641</v>
      </c>
      <c r="F44" s="113" t="s">
        <v>1869</v>
      </c>
      <c r="G44" s="100" t="s">
        <v>179</v>
      </c>
      <c r="H44" s="101" t="s">
        <v>1872</v>
      </c>
      <c r="I44" s="98" t="s">
        <v>1874</v>
      </c>
      <c r="J44" s="102">
        <v>1</v>
      </c>
      <c r="K44" s="103" t="s">
        <v>1810</v>
      </c>
      <c r="L44" s="124">
        <v>4</v>
      </c>
      <c r="M44" s="125" t="s">
        <v>1609</v>
      </c>
      <c r="N44" s="106" t="str">
        <f t="shared" si="1"/>
        <v>14</v>
      </c>
      <c r="O44" s="107"/>
      <c r="P44" s="114" t="s">
        <v>1871</v>
      </c>
      <c r="Q44" s="107"/>
      <c r="R44" s="115" t="s">
        <v>1610</v>
      </c>
      <c r="S44" s="92" t="s">
        <v>1573</v>
      </c>
      <c r="T44" s="110"/>
      <c r="U44" s="94" t="s">
        <v>1610</v>
      </c>
      <c r="V44" s="107"/>
      <c r="W44" s="117">
        <v>7600167</v>
      </c>
      <c r="X44" s="115" t="s">
        <v>1610</v>
      </c>
      <c r="Y44" s="74"/>
      <c r="Z44" s="127" t="s">
        <v>1636</v>
      </c>
      <c r="AE44" s="88" t="s">
        <v>1778</v>
      </c>
      <c r="AF44" s="88" t="s">
        <v>1779</v>
      </c>
    </row>
    <row r="45" spans="2:32" s="147" customFormat="1" ht="17.45" customHeight="1">
      <c r="B45" s="96" t="e">
        <f t="shared" si="2"/>
        <v>#VALUE!</v>
      </c>
      <c r="C45" s="112">
        <v>42333</v>
      </c>
      <c r="D45" s="98" t="s">
        <v>1877</v>
      </c>
      <c r="E45" s="98">
        <v>7600888</v>
      </c>
      <c r="F45" s="99" t="s">
        <v>1869</v>
      </c>
      <c r="G45" s="100" t="s">
        <v>181</v>
      </c>
      <c r="H45" s="101" t="s">
        <v>1872</v>
      </c>
      <c r="I45" s="98" t="s">
        <v>1877</v>
      </c>
      <c r="J45" s="126">
        <v>1</v>
      </c>
      <c r="K45" s="126" t="s">
        <v>1810</v>
      </c>
      <c r="L45" s="126">
        <v>4</v>
      </c>
      <c r="M45" s="125" t="s">
        <v>1609</v>
      </c>
      <c r="N45" s="106" t="str">
        <f t="shared" si="1"/>
        <v>14</v>
      </c>
      <c r="O45" s="107"/>
      <c r="P45" s="114" t="s">
        <v>1871</v>
      </c>
      <c r="Q45" s="107"/>
      <c r="R45" s="115" t="s">
        <v>1610</v>
      </c>
      <c r="S45" s="92" t="s">
        <v>1573</v>
      </c>
      <c r="T45" s="110"/>
      <c r="U45" s="94" t="s">
        <v>1610</v>
      </c>
      <c r="V45" s="107"/>
      <c r="W45" s="117">
        <v>7600167</v>
      </c>
      <c r="X45" s="115" t="s">
        <v>1610</v>
      </c>
      <c r="Y45" s="74"/>
      <c r="Z45" s="127" t="s">
        <v>1662</v>
      </c>
      <c r="AE45" s="88" t="s">
        <v>1778</v>
      </c>
      <c r="AF45" s="88" t="s">
        <v>1779</v>
      </c>
    </row>
    <row r="46" spans="2:32" s="147" customFormat="1" ht="17.45" customHeight="1">
      <c r="B46" s="96" t="e">
        <f t="shared" si="2"/>
        <v>#VALUE!</v>
      </c>
      <c r="C46" s="112">
        <v>44180</v>
      </c>
      <c r="D46" s="98" t="s">
        <v>2199</v>
      </c>
      <c r="E46" s="98">
        <v>7601148</v>
      </c>
      <c r="F46" s="99" t="s">
        <v>2196</v>
      </c>
      <c r="G46" s="100" t="s">
        <v>119</v>
      </c>
      <c r="H46" s="101" t="s">
        <v>1938</v>
      </c>
      <c r="I46" s="98" t="s">
        <v>2199</v>
      </c>
      <c r="J46" s="126">
        <v>1</v>
      </c>
      <c r="K46" s="126" t="s">
        <v>1810</v>
      </c>
      <c r="L46" s="126">
        <v>4</v>
      </c>
      <c r="M46" s="125" t="s">
        <v>1609</v>
      </c>
      <c r="N46" s="106" t="str">
        <f t="shared" si="1"/>
        <v>14</v>
      </c>
      <c r="O46" s="107"/>
      <c r="P46" s="114" t="s">
        <v>2198</v>
      </c>
      <c r="Q46" s="107"/>
      <c r="R46" s="115" t="s">
        <v>1612</v>
      </c>
      <c r="S46" s="92" t="s">
        <v>1573</v>
      </c>
      <c r="T46" s="110"/>
      <c r="U46" s="94" t="s">
        <v>1612</v>
      </c>
      <c r="V46" s="107"/>
      <c r="W46" s="117">
        <v>7600990</v>
      </c>
      <c r="X46" s="115" t="s">
        <v>1612</v>
      </c>
      <c r="Y46" s="74"/>
      <c r="Z46" s="116"/>
      <c r="AA46" s="129"/>
      <c r="AB46" s="74"/>
      <c r="AC46" s="74"/>
      <c r="AD46" s="74"/>
      <c r="AE46" s="88" t="s">
        <v>1778</v>
      </c>
      <c r="AF46" s="88" t="s">
        <v>1779</v>
      </c>
    </row>
    <row r="47" spans="2:32" s="147" customFormat="1" ht="17.45" customHeight="1">
      <c r="B47" s="96" t="e">
        <f t="shared" si="2"/>
        <v>#VALUE!</v>
      </c>
      <c r="C47" s="112">
        <v>38344</v>
      </c>
      <c r="D47" s="98" t="s">
        <v>2198</v>
      </c>
      <c r="E47" s="98">
        <v>7600990</v>
      </c>
      <c r="F47" s="113" t="s">
        <v>2196</v>
      </c>
      <c r="G47" s="100" t="s">
        <v>125</v>
      </c>
      <c r="H47" s="101" t="s">
        <v>1938</v>
      </c>
      <c r="I47" s="98" t="s">
        <v>2198</v>
      </c>
      <c r="J47" s="126">
        <v>1</v>
      </c>
      <c r="K47" s="124" t="s">
        <v>1810</v>
      </c>
      <c r="L47" s="124">
        <v>4</v>
      </c>
      <c r="M47" s="125" t="s">
        <v>1609</v>
      </c>
      <c r="N47" s="106" t="str">
        <f t="shared" si="1"/>
        <v>14</v>
      </c>
      <c r="O47" s="107"/>
      <c r="P47" s="114" t="s">
        <v>2198</v>
      </c>
      <c r="Q47" s="107"/>
      <c r="R47" s="115" t="s">
        <v>1612</v>
      </c>
      <c r="S47" s="92" t="s">
        <v>1573</v>
      </c>
      <c r="T47" s="110"/>
      <c r="U47" s="94" t="s">
        <v>1612</v>
      </c>
      <c r="V47" s="107"/>
      <c r="W47" s="117">
        <v>7600990</v>
      </c>
      <c r="X47" s="115" t="s">
        <v>1612</v>
      </c>
      <c r="Y47" s="74"/>
      <c r="Z47" s="116"/>
      <c r="AA47" s="129"/>
      <c r="AB47" s="74"/>
      <c r="AC47" s="74"/>
      <c r="AD47" s="74"/>
      <c r="AE47" s="88" t="s">
        <v>1778</v>
      </c>
      <c r="AF47" s="88" t="s">
        <v>1779</v>
      </c>
    </row>
    <row r="48" spans="2:32" s="147" customFormat="1" ht="17.45" customHeight="1">
      <c r="B48" s="96" t="e">
        <f t="shared" si="2"/>
        <v>#VALUE!</v>
      </c>
      <c r="C48" s="112">
        <v>43060</v>
      </c>
      <c r="D48" s="98" t="s">
        <v>1985</v>
      </c>
      <c r="E48" s="98">
        <v>7600993</v>
      </c>
      <c r="F48" s="113" t="s">
        <v>1983</v>
      </c>
      <c r="G48" s="100" t="s">
        <v>208</v>
      </c>
      <c r="H48" s="101" t="s">
        <v>1972</v>
      </c>
      <c r="I48" s="98" t="s">
        <v>1985</v>
      </c>
      <c r="J48" s="102">
        <v>1</v>
      </c>
      <c r="K48" s="103" t="s">
        <v>1810</v>
      </c>
      <c r="L48" s="124">
        <v>5</v>
      </c>
      <c r="M48" s="125" t="s">
        <v>1613</v>
      </c>
      <c r="N48" s="106" t="str">
        <f t="shared" si="1"/>
        <v>15</v>
      </c>
      <c r="O48" s="107"/>
      <c r="P48" s="114" t="s">
        <v>1984</v>
      </c>
      <c r="Q48" s="107"/>
      <c r="R48" s="115" t="s">
        <v>1614</v>
      </c>
      <c r="S48" s="92" t="s">
        <v>1574</v>
      </c>
      <c r="T48" s="110"/>
      <c r="U48" s="94" t="s">
        <v>1614</v>
      </c>
      <c r="V48" s="107"/>
      <c r="W48" s="117">
        <v>7600983</v>
      </c>
      <c r="X48" s="115" t="s">
        <v>1614</v>
      </c>
      <c r="Y48" s="74"/>
      <c r="Z48" s="116"/>
      <c r="AA48" s="129"/>
      <c r="AB48" s="74"/>
      <c r="AC48" s="74"/>
      <c r="AD48" s="74"/>
      <c r="AE48" s="88" t="s">
        <v>1778</v>
      </c>
      <c r="AF48" s="88" t="s">
        <v>1779</v>
      </c>
    </row>
    <row r="49" spans="2:32" s="147" customFormat="1" ht="17.45" customHeight="1">
      <c r="B49" s="96" t="e">
        <f t="shared" si="2"/>
        <v>#VALUE!</v>
      </c>
      <c r="C49" s="112">
        <v>38993</v>
      </c>
      <c r="D49" s="98" t="s">
        <v>1984</v>
      </c>
      <c r="E49" s="98">
        <v>7600983</v>
      </c>
      <c r="F49" s="113" t="s">
        <v>1983</v>
      </c>
      <c r="G49" s="100" t="s">
        <v>214</v>
      </c>
      <c r="H49" s="101" t="s">
        <v>1974</v>
      </c>
      <c r="I49" s="98" t="s">
        <v>1984</v>
      </c>
      <c r="J49" s="126">
        <v>1</v>
      </c>
      <c r="K49" s="124" t="s">
        <v>1810</v>
      </c>
      <c r="L49" s="124">
        <v>5</v>
      </c>
      <c r="M49" s="125" t="s">
        <v>1613</v>
      </c>
      <c r="N49" s="106" t="str">
        <f t="shared" si="1"/>
        <v>15</v>
      </c>
      <c r="O49" s="107"/>
      <c r="P49" s="114" t="s">
        <v>1984</v>
      </c>
      <c r="Q49" s="107"/>
      <c r="R49" s="115" t="s">
        <v>1614</v>
      </c>
      <c r="S49" s="92" t="s">
        <v>1574</v>
      </c>
      <c r="T49" s="110"/>
      <c r="U49" s="94" t="s">
        <v>1614</v>
      </c>
      <c r="V49" s="107"/>
      <c r="W49" s="117">
        <v>7600983</v>
      </c>
      <c r="X49" s="115" t="s">
        <v>1614</v>
      </c>
      <c r="Y49" s="74"/>
      <c r="Z49" s="116"/>
      <c r="AA49" s="129"/>
      <c r="AB49" s="74"/>
      <c r="AC49" s="74"/>
      <c r="AD49" s="74"/>
      <c r="AE49" s="88" t="s">
        <v>1778</v>
      </c>
      <c r="AF49" s="88" t="s">
        <v>1779</v>
      </c>
    </row>
    <row r="50" spans="2:32" ht="17.45" customHeight="1">
      <c r="B50" s="96" t="e">
        <f t="shared" si="2"/>
        <v>#VALUE!</v>
      </c>
      <c r="C50" s="112">
        <v>36714</v>
      </c>
      <c r="D50" s="98" t="s">
        <v>2008</v>
      </c>
      <c r="E50" s="98">
        <v>7600154</v>
      </c>
      <c r="F50" s="113" t="s">
        <v>2006</v>
      </c>
      <c r="G50" s="100" t="s">
        <v>224</v>
      </c>
      <c r="H50" s="101" t="s">
        <v>1996</v>
      </c>
      <c r="I50" s="98" t="s">
        <v>2008</v>
      </c>
      <c r="J50" s="102">
        <v>1</v>
      </c>
      <c r="K50" s="103" t="s">
        <v>1810</v>
      </c>
      <c r="L50" s="124">
        <v>5</v>
      </c>
      <c r="M50" s="125" t="s">
        <v>1613</v>
      </c>
      <c r="N50" s="106" t="str">
        <f t="shared" si="1"/>
        <v>15</v>
      </c>
      <c r="O50" s="107"/>
      <c r="P50" s="114" t="s">
        <v>2007</v>
      </c>
      <c r="Q50" s="107"/>
      <c r="R50" s="115" t="s">
        <v>1616</v>
      </c>
      <c r="S50" s="92" t="s">
        <v>1574</v>
      </c>
      <c r="T50" s="110"/>
      <c r="U50" s="94" t="s">
        <v>1616</v>
      </c>
      <c r="V50" s="107"/>
      <c r="W50" s="117">
        <v>7600012</v>
      </c>
      <c r="X50" s="115" t="s">
        <v>1616</v>
      </c>
      <c r="Z50" s="116"/>
      <c r="AE50" s="88" t="s">
        <v>1778</v>
      </c>
      <c r="AF50" s="88" t="s">
        <v>1779</v>
      </c>
    </row>
    <row r="51" spans="2:32" ht="17.45" customHeight="1">
      <c r="B51" s="96" t="e">
        <f t="shared" si="2"/>
        <v>#VALUE!</v>
      </c>
      <c r="C51" s="148">
        <v>40714</v>
      </c>
      <c r="D51" s="98" t="s">
        <v>2013</v>
      </c>
      <c r="E51" s="118">
        <v>7600860</v>
      </c>
      <c r="F51" s="149" t="s">
        <v>2006</v>
      </c>
      <c r="G51" s="150" t="s">
        <v>231</v>
      </c>
      <c r="H51" s="101" t="s">
        <v>1996</v>
      </c>
      <c r="I51" s="98" t="s">
        <v>2013</v>
      </c>
      <c r="J51" s="102">
        <v>1</v>
      </c>
      <c r="K51" s="103" t="s">
        <v>1810</v>
      </c>
      <c r="L51" s="124">
        <v>5</v>
      </c>
      <c r="M51" s="125" t="s">
        <v>1613</v>
      </c>
      <c r="N51" s="106" t="str">
        <f t="shared" si="1"/>
        <v>15</v>
      </c>
      <c r="O51" s="107"/>
      <c r="P51" s="114" t="s">
        <v>2007</v>
      </c>
      <c r="Q51" s="107"/>
      <c r="R51" s="115" t="s">
        <v>1616</v>
      </c>
      <c r="S51" s="92" t="s">
        <v>1574</v>
      </c>
      <c r="T51" s="110"/>
      <c r="U51" s="94" t="s">
        <v>1616</v>
      </c>
      <c r="V51" s="107"/>
      <c r="W51" s="117">
        <v>7600012</v>
      </c>
      <c r="X51" s="115" t="s">
        <v>1616</v>
      </c>
      <c r="Z51" s="116"/>
      <c r="AE51" s="88" t="s">
        <v>1778</v>
      </c>
      <c r="AF51" s="88" t="s">
        <v>1779</v>
      </c>
    </row>
    <row r="52" spans="2:32" ht="17.45" customHeight="1">
      <c r="B52" s="96" t="e">
        <f t="shared" si="2"/>
        <v>#VALUE!</v>
      </c>
      <c r="C52" s="112">
        <v>42387</v>
      </c>
      <c r="D52" s="98" t="s">
        <v>2014</v>
      </c>
      <c r="E52" s="98">
        <v>7600887</v>
      </c>
      <c r="F52" s="113" t="s">
        <v>2006</v>
      </c>
      <c r="G52" s="100" t="s">
        <v>235</v>
      </c>
      <c r="H52" s="151" t="s">
        <v>1996</v>
      </c>
      <c r="I52" s="98" t="s">
        <v>2014</v>
      </c>
      <c r="J52" s="126">
        <v>1</v>
      </c>
      <c r="K52" s="124" t="s">
        <v>1810</v>
      </c>
      <c r="L52" s="124">
        <v>5</v>
      </c>
      <c r="M52" s="125" t="s">
        <v>1613</v>
      </c>
      <c r="N52" s="106" t="str">
        <f t="shared" si="1"/>
        <v>15</v>
      </c>
      <c r="O52" s="107"/>
      <c r="P52" s="114" t="s">
        <v>2007</v>
      </c>
      <c r="Q52" s="107"/>
      <c r="R52" s="115" t="s">
        <v>1616</v>
      </c>
      <c r="S52" s="92" t="s">
        <v>1574</v>
      </c>
      <c r="T52" s="110"/>
      <c r="U52" s="94" t="s">
        <v>1616</v>
      </c>
      <c r="V52" s="107"/>
      <c r="W52" s="117">
        <v>7600012</v>
      </c>
      <c r="X52" s="115" t="s">
        <v>1616</v>
      </c>
      <c r="Z52" s="116"/>
      <c r="AE52" s="88" t="s">
        <v>1778</v>
      </c>
      <c r="AF52" s="88" t="s">
        <v>1779</v>
      </c>
    </row>
    <row r="53" spans="2:32" ht="17.45" customHeight="1">
      <c r="B53" s="96" t="e">
        <f t="shared" si="2"/>
        <v>#VALUE!</v>
      </c>
      <c r="C53" s="112">
        <v>40800</v>
      </c>
      <c r="D53" s="98" t="s">
        <v>2016</v>
      </c>
      <c r="E53" s="98">
        <v>7601199</v>
      </c>
      <c r="F53" s="113" t="s">
        <v>2006</v>
      </c>
      <c r="G53" s="100" t="s">
        <v>237</v>
      </c>
      <c r="H53" s="151" t="s">
        <v>2002</v>
      </c>
      <c r="I53" s="98" t="s">
        <v>2016</v>
      </c>
      <c r="J53" s="126">
        <v>1</v>
      </c>
      <c r="K53" s="124" t="s">
        <v>1810</v>
      </c>
      <c r="L53" s="124">
        <v>5</v>
      </c>
      <c r="M53" s="125" t="s">
        <v>1613</v>
      </c>
      <c r="N53" s="106" t="str">
        <f t="shared" si="1"/>
        <v>15</v>
      </c>
      <c r="O53" s="107"/>
      <c r="P53" s="114" t="s">
        <v>2007</v>
      </c>
      <c r="Q53" s="107"/>
      <c r="R53" s="115" t="s">
        <v>1616</v>
      </c>
      <c r="S53" s="92" t="s">
        <v>1574</v>
      </c>
      <c r="T53" s="110"/>
      <c r="U53" s="94" t="s">
        <v>1616</v>
      </c>
      <c r="V53" s="107"/>
      <c r="W53" s="211">
        <v>7600012</v>
      </c>
      <c r="X53" s="115" t="s">
        <v>1616</v>
      </c>
      <c r="Z53" s="116"/>
      <c r="AE53" s="88" t="s">
        <v>1778</v>
      </c>
      <c r="AF53" s="88" t="s">
        <v>1779</v>
      </c>
    </row>
    <row r="54" spans="2:32" ht="17.45" customHeight="1">
      <c r="B54" s="96" t="e">
        <f t="shared" si="2"/>
        <v>#VALUE!</v>
      </c>
      <c r="C54" s="112">
        <v>40869</v>
      </c>
      <c r="D54" s="98" t="s">
        <v>2009</v>
      </c>
      <c r="E54" s="98">
        <v>7600602</v>
      </c>
      <c r="F54" s="113" t="s">
        <v>2006</v>
      </c>
      <c r="G54" s="100" t="s">
        <v>240</v>
      </c>
      <c r="H54" s="101" t="s">
        <v>1996</v>
      </c>
      <c r="I54" s="98" t="s">
        <v>2009</v>
      </c>
      <c r="J54" s="102">
        <v>1</v>
      </c>
      <c r="K54" s="103" t="s">
        <v>1810</v>
      </c>
      <c r="L54" s="124">
        <v>5</v>
      </c>
      <c r="M54" s="125" t="s">
        <v>1613</v>
      </c>
      <c r="N54" s="106" t="str">
        <f t="shared" si="1"/>
        <v>15</v>
      </c>
      <c r="O54" s="107"/>
      <c r="P54" s="114" t="s">
        <v>2007</v>
      </c>
      <c r="Q54" s="107"/>
      <c r="R54" s="115" t="s">
        <v>1616</v>
      </c>
      <c r="S54" s="92" t="s">
        <v>1574</v>
      </c>
      <c r="T54" s="110"/>
      <c r="U54" s="94" t="s">
        <v>1616</v>
      </c>
      <c r="V54" s="107"/>
      <c r="W54" s="117">
        <v>7600012</v>
      </c>
      <c r="X54" s="115" t="s">
        <v>1616</v>
      </c>
      <c r="Z54" s="116"/>
      <c r="AE54" s="88" t="s">
        <v>1778</v>
      </c>
      <c r="AF54" s="88" t="s">
        <v>1779</v>
      </c>
    </row>
    <row r="55" spans="2:32" ht="17.45" customHeight="1">
      <c r="B55" s="96" t="e">
        <f t="shared" si="2"/>
        <v>#VALUE!</v>
      </c>
      <c r="C55" s="112">
        <v>38623</v>
      </c>
      <c r="D55" s="98" t="s">
        <v>2011</v>
      </c>
      <c r="E55" s="98">
        <v>7600854</v>
      </c>
      <c r="F55" s="113" t="s">
        <v>2006</v>
      </c>
      <c r="G55" s="100" t="s">
        <v>243</v>
      </c>
      <c r="H55" s="101" t="s">
        <v>1996</v>
      </c>
      <c r="I55" s="98" t="s">
        <v>2011</v>
      </c>
      <c r="J55" s="102">
        <v>1</v>
      </c>
      <c r="K55" s="103" t="s">
        <v>1810</v>
      </c>
      <c r="L55" s="124">
        <v>5</v>
      </c>
      <c r="M55" s="125" t="s">
        <v>1613</v>
      </c>
      <c r="N55" s="106" t="str">
        <f t="shared" si="1"/>
        <v>15</v>
      </c>
      <c r="O55" s="107"/>
      <c r="P55" s="114" t="s">
        <v>2007</v>
      </c>
      <c r="Q55" s="107"/>
      <c r="R55" s="115" t="s">
        <v>1616</v>
      </c>
      <c r="S55" s="92" t="s">
        <v>1574</v>
      </c>
      <c r="T55" s="110"/>
      <c r="U55" s="94" t="s">
        <v>1616</v>
      </c>
      <c r="V55" s="107"/>
      <c r="W55" s="117">
        <v>7600012</v>
      </c>
      <c r="X55" s="115" t="s">
        <v>1616</v>
      </c>
      <c r="Z55" s="116"/>
      <c r="AE55" s="88" t="s">
        <v>1778</v>
      </c>
      <c r="AF55" s="88" t="s">
        <v>1779</v>
      </c>
    </row>
    <row r="56" spans="2:32" ht="17.45" customHeight="1">
      <c r="B56" s="96" t="e">
        <f t="shared" si="2"/>
        <v>#VALUE!</v>
      </c>
      <c r="C56" s="112">
        <v>43018</v>
      </c>
      <c r="D56" s="98" t="s">
        <v>2015</v>
      </c>
      <c r="E56" s="98">
        <v>7601197</v>
      </c>
      <c r="F56" s="113" t="s">
        <v>2006</v>
      </c>
      <c r="G56" s="100" t="s">
        <v>246</v>
      </c>
      <c r="H56" s="151" t="s">
        <v>2002</v>
      </c>
      <c r="I56" s="98" t="s">
        <v>2015</v>
      </c>
      <c r="J56" s="126">
        <v>1</v>
      </c>
      <c r="K56" s="124" t="s">
        <v>1810</v>
      </c>
      <c r="L56" s="124">
        <v>5</v>
      </c>
      <c r="M56" s="125" t="s">
        <v>1613</v>
      </c>
      <c r="N56" s="106" t="str">
        <f t="shared" si="1"/>
        <v>15</v>
      </c>
      <c r="O56" s="107"/>
      <c r="P56" s="114" t="s">
        <v>2007</v>
      </c>
      <c r="Q56" s="107"/>
      <c r="R56" s="115" t="s">
        <v>1616</v>
      </c>
      <c r="S56" s="92" t="s">
        <v>1574</v>
      </c>
      <c r="T56" s="110"/>
      <c r="U56" s="94" t="s">
        <v>1616</v>
      </c>
      <c r="V56" s="107"/>
      <c r="W56" s="211">
        <v>7600012</v>
      </c>
      <c r="X56" s="115" t="s">
        <v>1616</v>
      </c>
      <c r="Z56" s="116"/>
      <c r="AE56" s="88" t="s">
        <v>1778</v>
      </c>
      <c r="AF56" s="88" t="s">
        <v>1779</v>
      </c>
    </row>
    <row r="57" spans="2:32" ht="17.45" customHeight="1">
      <c r="B57" s="96" t="e">
        <f t="shared" si="2"/>
        <v>#VALUE!</v>
      </c>
      <c r="C57" s="112">
        <v>35468</v>
      </c>
      <c r="D57" s="98" t="s">
        <v>2007</v>
      </c>
      <c r="E57" s="98">
        <v>7600012</v>
      </c>
      <c r="F57" s="113" t="s">
        <v>2006</v>
      </c>
      <c r="G57" s="100" t="s">
        <v>249</v>
      </c>
      <c r="H57" s="101" t="s">
        <v>1996</v>
      </c>
      <c r="I57" s="98" t="s">
        <v>2007</v>
      </c>
      <c r="J57" s="102">
        <v>1</v>
      </c>
      <c r="K57" s="103" t="s">
        <v>1810</v>
      </c>
      <c r="L57" s="124">
        <v>5</v>
      </c>
      <c r="M57" s="125" t="s">
        <v>1613</v>
      </c>
      <c r="N57" s="106" t="str">
        <f t="shared" si="1"/>
        <v>15</v>
      </c>
      <c r="O57" s="107"/>
      <c r="P57" s="114" t="s">
        <v>2007</v>
      </c>
      <c r="Q57" s="107"/>
      <c r="R57" s="115" t="s">
        <v>1616</v>
      </c>
      <c r="S57" s="92" t="s">
        <v>1574</v>
      </c>
      <c r="T57" s="110"/>
      <c r="U57" s="94" t="s">
        <v>1616</v>
      </c>
      <c r="V57" s="107"/>
      <c r="W57" s="117">
        <v>7600012</v>
      </c>
      <c r="X57" s="115" t="s">
        <v>1616</v>
      </c>
      <c r="Y57" s="129"/>
      <c r="Z57" s="116"/>
      <c r="AE57" s="88" t="s">
        <v>1778</v>
      </c>
      <c r="AF57" s="88" t="s">
        <v>1779</v>
      </c>
    </row>
    <row r="58" spans="2:32" ht="17.45" customHeight="1">
      <c r="B58" s="96" t="e">
        <f t="shared" si="2"/>
        <v>#VALUE!</v>
      </c>
      <c r="C58" s="112">
        <v>40907</v>
      </c>
      <c r="D58" s="98" t="s">
        <v>2093</v>
      </c>
      <c r="E58" s="98">
        <v>7600816</v>
      </c>
      <c r="F58" s="113" t="s">
        <v>2087</v>
      </c>
      <c r="G58" s="100" t="s">
        <v>216</v>
      </c>
      <c r="H58" s="101" t="s">
        <v>2101</v>
      </c>
      <c r="I58" s="98" t="s">
        <v>2093</v>
      </c>
      <c r="J58" s="102">
        <v>1</v>
      </c>
      <c r="K58" s="103" t="s">
        <v>1810</v>
      </c>
      <c r="L58" s="124">
        <v>5</v>
      </c>
      <c r="M58" s="125" t="s">
        <v>1613</v>
      </c>
      <c r="N58" s="106" t="str">
        <f t="shared" si="1"/>
        <v>15</v>
      </c>
      <c r="O58" s="107"/>
      <c r="P58" s="114" t="s">
        <v>2089</v>
      </c>
      <c r="Q58" s="107"/>
      <c r="R58" s="115" t="s">
        <v>1617</v>
      </c>
      <c r="S58" s="92" t="s">
        <v>1574</v>
      </c>
      <c r="T58" s="110"/>
      <c r="U58" s="94" t="s">
        <v>1617</v>
      </c>
      <c r="V58" s="107"/>
      <c r="W58" s="117">
        <v>7600442</v>
      </c>
      <c r="X58" s="115" t="s">
        <v>1617</v>
      </c>
      <c r="Z58" s="116"/>
      <c r="AE58" s="88" t="s">
        <v>1778</v>
      </c>
      <c r="AF58" s="88" t="s">
        <v>1779</v>
      </c>
    </row>
    <row r="59" spans="2:32" ht="17.45" customHeight="1">
      <c r="B59" s="96" t="e">
        <f t="shared" si="2"/>
        <v>#VALUE!</v>
      </c>
      <c r="C59" s="112">
        <v>38841</v>
      </c>
      <c r="D59" s="98" t="s">
        <v>2089</v>
      </c>
      <c r="E59" s="98">
        <v>7600442</v>
      </c>
      <c r="F59" s="113" t="s">
        <v>2087</v>
      </c>
      <c r="G59" s="100" t="s">
        <v>218</v>
      </c>
      <c r="H59" s="101" t="s">
        <v>2101</v>
      </c>
      <c r="I59" s="98" t="s">
        <v>2089</v>
      </c>
      <c r="J59" s="102">
        <v>1</v>
      </c>
      <c r="K59" s="103" t="s">
        <v>1810</v>
      </c>
      <c r="L59" s="124">
        <v>5</v>
      </c>
      <c r="M59" s="125" t="s">
        <v>1613</v>
      </c>
      <c r="N59" s="106" t="str">
        <f t="shared" si="1"/>
        <v>15</v>
      </c>
      <c r="O59" s="107"/>
      <c r="P59" s="114" t="s">
        <v>2089</v>
      </c>
      <c r="Q59" s="107"/>
      <c r="R59" s="115" t="s">
        <v>1617</v>
      </c>
      <c r="S59" s="92" t="s">
        <v>1574</v>
      </c>
      <c r="T59" s="110"/>
      <c r="U59" s="94" t="s">
        <v>1617</v>
      </c>
      <c r="V59" s="107"/>
      <c r="W59" s="117">
        <v>7600442</v>
      </c>
      <c r="X59" s="115" t="s">
        <v>1617</v>
      </c>
      <c r="Z59" s="116"/>
      <c r="AE59" s="88" t="s">
        <v>1778</v>
      </c>
      <c r="AF59" s="88" t="s">
        <v>1779</v>
      </c>
    </row>
    <row r="60" spans="2:32" ht="17.45" customHeight="1">
      <c r="B60" s="96" t="e">
        <f t="shared" si="2"/>
        <v>#VALUE!</v>
      </c>
      <c r="C60" s="112">
        <v>40836</v>
      </c>
      <c r="D60" s="98" t="s">
        <v>2091</v>
      </c>
      <c r="E60" s="98">
        <v>7600601</v>
      </c>
      <c r="F60" s="99" t="s">
        <v>2087</v>
      </c>
      <c r="G60" s="100" t="s">
        <v>221</v>
      </c>
      <c r="H60" s="101" t="s">
        <v>2101</v>
      </c>
      <c r="I60" s="98" t="s">
        <v>2091</v>
      </c>
      <c r="J60" s="102">
        <v>1</v>
      </c>
      <c r="K60" s="103" t="s">
        <v>1810</v>
      </c>
      <c r="L60" s="124">
        <v>5</v>
      </c>
      <c r="M60" s="125" t="s">
        <v>1613</v>
      </c>
      <c r="N60" s="106" t="str">
        <f t="shared" si="1"/>
        <v>15</v>
      </c>
      <c r="O60" s="107"/>
      <c r="P60" s="114" t="s">
        <v>2089</v>
      </c>
      <c r="Q60" s="107"/>
      <c r="R60" s="115" t="s">
        <v>1617</v>
      </c>
      <c r="S60" s="92" t="s">
        <v>1574</v>
      </c>
      <c r="T60" s="110"/>
      <c r="U60" s="94" t="s">
        <v>1617</v>
      </c>
      <c r="V60" s="107"/>
      <c r="W60" s="117">
        <v>7600442</v>
      </c>
      <c r="X60" s="115" t="s">
        <v>1617</v>
      </c>
      <c r="Z60" s="116"/>
      <c r="AE60" s="88" t="s">
        <v>1778</v>
      </c>
      <c r="AF60" s="88" t="s">
        <v>1779</v>
      </c>
    </row>
    <row r="61" spans="2:32" ht="17.45" customHeight="1">
      <c r="B61" s="96" t="e">
        <f t="shared" si="2"/>
        <v>#VALUE!</v>
      </c>
      <c r="C61" s="112">
        <v>36867</v>
      </c>
      <c r="D61" s="98" t="s">
        <v>1919</v>
      </c>
      <c r="E61" s="98">
        <v>7600192</v>
      </c>
      <c r="F61" s="113" t="s">
        <v>1916</v>
      </c>
      <c r="G61" s="100" t="s">
        <v>183</v>
      </c>
      <c r="H61" s="101" t="s">
        <v>1899</v>
      </c>
      <c r="I61" s="98" t="s">
        <v>1919</v>
      </c>
      <c r="J61" s="102">
        <v>1</v>
      </c>
      <c r="K61" s="103" t="s">
        <v>1810</v>
      </c>
      <c r="L61" s="124">
        <v>6</v>
      </c>
      <c r="M61" s="125" t="s">
        <v>1618</v>
      </c>
      <c r="N61" s="106" t="str">
        <f t="shared" si="1"/>
        <v>16</v>
      </c>
      <c r="O61" s="107"/>
      <c r="P61" s="114" t="s">
        <v>1917</v>
      </c>
      <c r="Q61" s="107"/>
      <c r="R61" s="115" t="s">
        <v>1619</v>
      </c>
      <c r="S61" s="92" t="s">
        <v>1575</v>
      </c>
      <c r="T61" s="110"/>
      <c r="U61" s="94" t="s">
        <v>1619</v>
      </c>
      <c r="V61" s="107"/>
      <c r="W61" s="117">
        <v>7600109</v>
      </c>
      <c r="X61" s="115" t="s">
        <v>1619</v>
      </c>
      <c r="Z61" s="127" t="s">
        <v>1697</v>
      </c>
      <c r="AE61" s="88" t="s">
        <v>1778</v>
      </c>
      <c r="AF61" s="88" t="s">
        <v>1779</v>
      </c>
    </row>
    <row r="62" spans="2:32" ht="17.45" customHeight="1">
      <c r="B62" s="96" t="e">
        <f t="shared" si="2"/>
        <v>#VALUE!</v>
      </c>
      <c r="C62" s="148">
        <v>41240</v>
      </c>
      <c r="D62" s="98" t="s">
        <v>1921</v>
      </c>
      <c r="E62" s="98">
        <v>7600692</v>
      </c>
      <c r="F62" s="113" t="s">
        <v>1916</v>
      </c>
      <c r="G62" s="100" t="s">
        <v>189</v>
      </c>
      <c r="H62" s="101" t="s">
        <v>1899</v>
      </c>
      <c r="I62" s="98" t="s">
        <v>1921</v>
      </c>
      <c r="J62" s="126">
        <v>1</v>
      </c>
      <c r="K62" s="124" t="s">
        <v>1810</v>
      </c>
      <c r="L62" s="124">
        <v>6</v>
      </c>
      <c r="M62" s="125" t="s">
        <v>1618</v>
      </c>
      <c r="N62" s="106" t="str">
        <f t="shared" si="1"/>
        <v>16</v>
      </c>
      <c r="O62" s="107"/>
      <c r="P62" s="114" t="s">
        <v>1917</v>
      </c>
      <c r="Q62" s="107"/>
      <c r="R62" s="115" t="s">
        <v>1619</v>
      </c>
      <c r="S62" s="92" t="s">
        <v>1575</v>
      </c>
      <c r="T62" s="110"/>
      <c r="U62" s="94" t="s">
        <v>1619</v>
      </c>
      <c r="V62" s="107"/>
      <c r="W62" s="117">
        <v>7600109</v>
      </c>
      <c r="X62" s="115" t="s">
        <v>1619</v>
      </c>
      <c r="Z62" s="127" t="s">
        <v>1656</v>
      </c>
      <c r="AE62" s="88" t="s">
        <v>1778</v>
      </c>
      <c r="AF62" s="88" t="s">
        <v>1779</v>
      </c>
    </row>
    <row r="63" spans="2:32" ht="17.45" customHeight="1">
      <c r="B63" s="96" t="e">
        <f t="shared" si="2"/>
        <v>#VALUE!</v>
      </c>
      <c r="C63" s="112">
        <v>41486</v>
      </c>
      <c r="D63" s="98" t="s">
        <v>1923</v>
      </c>
      <c r="E63" s="98">
        <v>7600752</v>
      </c>
      <c r="F63" s="113" t="s">
        <v>1916</v>
      </c>
      <c r="G63" s="100" t="s">
        <v>1922</v>
      </c>
      <c r="H63" s="101" t="s">
        <v>1899</v>
      </c>
      <c r="I63" s="98" t="s">
        <v>1923</v>
      </c>
      <c r="J63" s="126">
        <v>1</v>
      </c>
      <c r="K63" s="124" t="s">
        <v>1810</v>
      </c>
      <c r="L63" s="124">
        <v>6</v>
      </c>
      <c r="M63" s="125" t="s">
        <v>1618</v>
      </c>
      <c r="N63" s="106" t="str">
        <f t="shared" si="1"/>
        <v>16</v>
      </c>
      <c r="O63" s="107"/>
      <c r="P63" s="114" t="s">
        <v>1917</v>
      </c>
      <c r="Q63" s="107"/>
      <c r="R63" s="115" t="s">
        <v>1619</v>
      </c>
      <c r="S63" s="92" t="s">
        <v>1575</v>
      </c>
      <c r="T63" s="110"/>
      <c r="U63" s="94" t="s">
        <v>1619</v>
      </c>
      <c r="V63" s="107"/>
      <c r="W63" s="117">
        <v>7600109</v>
      </c>
      <c r="X63" s="115" t="s">
        <v>1619</v>
      </c>
      <c r="Z63" s="127" t="s">
        <v>1651</v>
      </c>
      <c r="AE63" s="88" t="s">
        <v>1778</v>
      </c>
      <c r="AF63" s="88" t="s">
        <v>1779</v>
      </c>
    </row>
    <row r="64" spans="2:32" ht="17.45" customHeight="1">
      <c r="B64" s="96" t="e">
        <f t="shared" si="2"/>
        <v>#VALUE!</v>
      </c>
      <c r="C64" s="112">
        <v>41607</v>
      </c>
      <c r="D64" s="98" t="s">
        <v>1924</v>
      </c>
      <c r="E64" s="98">
        <v>7600762</v>
      </c>
      <c r="F64" s="113" t="s">
        <v>1916</v>
      </c>
      <c r="G64" s="100" t="s">
        <v>192</v>
      </c>
      <c r="H64" s="101" t="s">
        <v>1899</v>
      </c>
      <c r="I64" s="98" t="s">
        <v>1924</v>
      </c>
      <c r="J64" s="126">
        <v>1</v>
      </c>
      <c r="K64" s="124" t="s">
        <v>1810</v>
      </c>
      <c r="L64" s="124">
        <v>6</v>
      </c>
      <c r="M64" s="125" t="s">
        <v>1618</v>
      </c>
      <c r="N64" s="106" t="str">
        <f t="shared" si="1"/>
        <v>16</v>
      </c>
      <c r="O64" s="107"/>
      <c r="P64" s="114" t="s">
        <v>1917</v>
      </c>
      <c r="Q64" s="107"/>
      <c r="R64" s="115" t="s">
        <v>1619</v>
      </c>
      <c r="S64" s="92" t="s">
        <v>1575</v>
      </c>
      <c r="T64" s="110"/>
      <c r="U64" s="94" t="s">
        <v>1619</v>
      </c>
      <c r="V64" s="107"/>
      <c r="W64" s="117">
        <v>7600109</v>
      </c>
      <c r="X64" s="115" t="s">
        <v>1619</v>
      </c>
      <c r="Z64" s="127" t="s">
        <v>1643</v>
      </c>
      <c r="AE64" s="88" t="s">
        <v>1778</v>
      </c>
      <c r="AF64" s="88" t="s">
        <v>1779</v>
      </c>
    </row>
    <row r="65" spans="2:32" ht="17.45" customHeight="1">
      <c r="B65" s="96" t="e">
        <f t="shared" si="2"/>
        <v>#VALUE!</v>
      </c>
      <c r="C65" s="112">
        <v>36307</v>
      </c>
      <c r="D65" s="98" t="s">
        <v>1917</v>
      </c>
      <c r="E65" s="98">
        <v>7600109</v>
      </c>
      <c r="F65" s="99" t="s">
        <v>1916</v>
      </c>
      <c r="G65" s="100" t="s">
        <v>195</v>
      </c>
      <c r="H65" s="101" t="s">
        <v>1899</v>
      </c>
      <c r="I65" s="98" t="s">
        <v>1917</v>
      </c>
      <c r="J65" s="102">
        <v>1</v>
      </c>
      <c r="K65" s="103" t="s">
        <v>1810</v>
      </c>
      <c r="L65" s="124">
        <v>6</v>
      </c>
      <c r="M65" s="125" t="s">
        <v>1618</v>
      </c>
      <c r="N65" s="106" t="str">
        <f t="shared" si="1"/>
        <v>16</v>
      </c>
      <c r="O65" s="107"/>
      <c r="P65" s="114" t="s">
        <v>1917</v>
      </c>
      <c r="Q65" s="107"/>
      <c r="R65" s="115" t="s">
        <v>1619</v>
      </c>
      <c r="S65" s="92" t="s">
        <v>1575</v>
      </c>
      <c r="T65" s="110"/>
      <c r="U65" s="94" t="s">
        <v>1619</v>
      </c>
      <c r="V65" s="107"/>
      <c r="W65" s="117">
        <v>7600109</v>
      </c>
      <c r="X65" s="115" t="s">
        <v>1619</v>
      </c>
      <c r="Z65" s="127" t="s">
        <v>1907</v>
      </c>
      <c r="AE65" s="88" t="s">
        <v>1778</v>
      </c>
      <c r="AF65" s="88" t="s">
        <v>1779</v>
      </c>
    </row>
    <row r="66" spans="2:32" ht="17.45" customHeight="1">
      <c r="B66" s="96" t="e">
        <f t="shared" si="2"/>
        <v>#VALUE!</v>
      </c>
      <c r="C66" s="112">
        <v>42873</v>
      </c>
      <c r="D66" s="98" t="s">
        <v>1928</v>
      </c>
      <c r="E66" s="98">
        <v>7601198</v>
      </c>
      <c r="F66" s="99" t="s">
        <v>1916</v>
      </c>
      <c r="G66" s="100" t="s">
        <v>197</v>
      </c>
      <c r="H66" s="101" t="s">
        <v>1911</v>
      </c>
      <c r="I66" s="98" t="s">
        <v>1928</v>
      </c>
      <c r="J66" s="126">
        <v>1</v>
      </c>
      <c r="K66" s="124" t="s">
        <v>1810</v>
      </c>
      <c r="L66" s="124">
        <v>6</v>
      </c>
      <c r="M66" s="125" t="s">
        <v>1618</v>
      </c>
      <c r="N66" s="106" t="str">
        <f t="shared" si="1"/>
        <v>16</v>
      </c>
      <c r="O66" s="107"/>
      <c r="P66" s="114" t="s">
        <v>1917</v>
      </c>
      <c r="Q66" s="107"/>
      <c r="R66" s="115" t="s">
        <v>1619</v>
      </c>
      <c r="S66" s="92" t="s">
        <v>1575</v>
      </c>
      <c r="T66" s="110"/>
      <c r="U66" s="94" t="s">
        <v>1619</v>
      </c>
      <c r="V66" s="107"/>
      <c r="W66" s="117">
        <v>7600109</v>
      </c>
      <c r="X66" s="115" t="s">
        <v>1619</v>
      </c>
      <c r="Z66" s="152" t="s">
        <v>1655</v>
      </c>
      <c r="AE66" s="88" t="s">
        <v>1778</v>
      </c>
      <c r="AF66" s="88" t="s">
        <v>1779</v>
      </c>
    </row>
    <row r="67" spans="2:32" ht="17.45" customHeight="1">
      <c r="B67" s="96" t="e">
        <f t="shared" si="2"/>
        <v>#VALUE!</v>
      </c>
      <c r="C67" s="112">
        <v>42270</v>
      </c>
      <c r="D67" s="98" t="s">
        <v>1926</v>
      </c>
      <c r="E67" s="98">
        <v>7600871</v>
      </c>
      <c r="F67" s="99" t="s">
        <v>1916</v>
      </c>
      <c r="G67" s="100" t="s">
        <v>200</v>
      </c>
      <c r="H67" s="101" t="s">
        <v>1899</v>
      </c>
      <c r="I67" s="98" t="s">
        <v>1926</v>
      </c>
      <c r="J67" s="126">
        <v>1</v>
      </c>
      <c r="K67" s="124" t="s">
        <v>1810</v>
      </c>
      <c r="L67" s="124">
        <v>6</v>
      </c>
      <c r="M67" s="125" t="s">
        <v>1618</v>
      </c>
      <c r="N67" s="106" t="str">
        <f t="shared" si="1"/>
        <v>16</v>
      </c>
      <c r="O67" s="107"/>
      <c r="P67" s="114" t="s">
        <v>1917</v>
      </c>
      <c r="Q67" s="107"/>
      <c r="R67" s="115" t="s">
        <v>1619</v>
      </c>
      <c r="S67" s="92" t="s">
        <v>1575</v>
      </c>
      <c r="T67" s="110"/>
      <c r="U67" s="94" t="s">
        <v>1619</v>
      </c>
      <c r="V67" s="107"/>
      <c r="W67" s="117">
        <v>7600109</v>
      </c>
      <c r="X67" s="115" t="s">
        <v>1619</v>
      </c>
      <c r="Z67" s="127" t="s">
        <v>1733</v>
      </c>
      <c r="AE67" s="88" t="s">
        <v>1778</v>
      </c>
      <c r="AF67" s="88" t="s">
        <v>1779</v>
      </c>
    </row>
    <row r="68" spans="2:32" ht="17.45" customHeight="1">
      <c r="B68" s="96" t="e">
        <f t="shared" si="2"/>
        <v>#VALUE!</v>
      </c>
      <c r="C68" s="112">
        <v>42870</v>
      </c>
      <c r="D68" s="98" t="s">
        <v>1927</v>
      </c>
      <c r="E68" s="98">
        <v>7600963</v>
      </c>
      <c r="F68" s="113" t="s">
        <v>1916</v>
      </c>
      <c r="G68" s="100" t="s">
        <v>203</v>
      </c>
      <c r="H68" s="101" t="s">
        <v>1899</v>
      </c>
      <c r="I68" s="98" t="s">
        <v>1927</v>
      </c>
      <c r="J68" s="126">
        <v>1</v>
      </c>
      <c r="K68" s="124" t="s">
        <v>1810</v>
      </c>
      <c r="L68" s="124">
        <v>6</v>
      </c>
      <c r="M68" s="125" t="s">
        <v>1618</v>
      </c>
      <c r="N68" s="106" t="str">
        <f t="shared" si="1"/>
        <v>16</v>
      </c>
      <c r="O68" s="107"/>
      <c r="P68" s="114" t="s">
        <v>1917</v>
      </c>
      <c r="Q68" s="107"/>
      <c r="R68" s="115" t="s">
        <v>1619</v>
      </c>
      <c r="S68" s="92" t="s">
        <v>1575</v>
      </c>
      <c r="T68" s="110"/>
      <c r="U68" s="94" t="s">
        <v>1619</v>
      </c>
      <c r="V68" s="107"/>
      <c r="W68" s="117">
        <v>7600109</v>
      </c>
      <c r="X68" s="115" t="s">
        <v>1619</v>
      </c>
      <c r="Z68" s="127" t="s">
        <v>1698</v>
      </c>
      <c r="AE68" s="88" t="s">
        <v>1778</v>
      </c>
      <c r="AF68" s="88" t="s">
        <v>1779</v>
      </c>
    </row>
    <row r="69" spans="2:32" ht="17.45" customHeight="1">
      <c r="B69" s="96" t="e">
        <f t="shared" ref="B69:B100" si="3">B68+1</f>
        <v>#VALUE!</v>
      </c>
      <c r="C69" s="112">
        <v>41264</v>
      </c>
      <c r="D69" s="98" t="s">
        <v>1925</v>
      </c>
      <c r="E69" s="98">
        <v>7600808</v>
      </c>
      <c r="F69" s="113" t="s">
        <v>1916</v>
      </c>
      <c r="G69" s="100" t="s">
        <v>204</v>
      </c>
      <c r="H69" s="101" t="s">
        <v>1899</v>
      </c>
      <c r="I69" s="98" t="s">
        <v>1925</v>
      </c>
      <c r="J69" s="102">
        <v>1</v>
      </c>
      <c r="K69" s="103" t="s">
        <v>1810</v>
      </c>
      <c r="L69" s="124">
        <v>6</v>
      </c>
      <c r="M69" s="125" t="s">
        <v>1618</v>
      </c>
      <c r="N69" s="106" t="str">
        <f t="shared" ref="N69:N132" si="4">J69&amp;L69</f>
        <v>16</v>
      </c>
      <c r="O69" s="107"/>
      <c r="P69" s="114" t="s">
        <v>1917</v>
      </c>
      <c r="Q69" s="107"/>
      <c r="R69" s="115" t="s">
        <v>1619</v>
      </c>
      <c r="S69" s="92" t="s">
        <v>1575</v>
      </c>
      <c r="T69" s="110"/>
      <c r="U69" s="94" t="s">
        <v>1619</v>
      </c>
      <c r="V69" s="107"/>
      <c r="W69" s="117">
        <v>7600109</v>
      </c>
      <c r="X69" s="115" t="s">
        <v>1619</v>
      </c>
      <c r="Z69" s="127" t="s">
        <v>1918</v>
      </c>
      <c r="AE69" s="88" t="s">
        <v>1778</v>
      </c>
      <c r="AF69" s="88" t="s">
        <v>1779</v>
      </c>
    </row>
    <row r="70" spans="2:32" ht="17.45" customHeight="1">
      <c r="B70" s="96" t="e">
        <f t="shared" si="3"/>
        <v>#VALUE!</v>
      </c>
      <c r="C70" s="112">
        <v>41787</v>
      </c>
      <c r="D70" s="98" t="s">
        <v>2285</v>
      </c>
      <c r="E70" s="98">
        <v>7600788</v>
      </c>
      <c r="F70" s="113" t="s">
        <v>1916</v>
      </c>
      <c r="G70" s="100" t="s">
        <v>206</v>
      </c>
      <c r="H70" s="101" t="s">
        <v>1899</v>
      </c>
      <c r="I70" s="98" t="s">
        <v>2285</v>
      </c>
      <c r="J70" s="126">
        <v>1</v>
      </c>
      <c r="K70" s="124" t="s">
        <v>1810</v>
      </c>
      <c r="L70" s="124">
        <v>6</v>
      </c>
      <c r="M70" s="125" t="s">
        <v>1618</v>
      </c>
      <c r="N70" s="106" t="str">
        <f t="shared" si="4"/>
        <v>16</v>
      </c>
      <c r="O70" s="107"/>
      <c r="P70" s="114" t="s">
        <v>1917</v>
      </c>
      <c r="Q70" s="107"/>
      <c r="R70" s="115" t="s">
        <v>1619</v>
      </c>
      <c r="S70" s="92" t="s">
        <v>1575</v>
      </c>
      <c r="T70" s="110"/>
      <c r="U70" s="94" t="s">
        <v>1619</v>
      </c>
      <c r="V70" s="107"/>
      <c r="W70" s="117">
        <v>7600109</v>
      </c>
      <c r="X70" s="115" t="s">
        <v>1619</v>
      </c>
      <c r="Z70" s="127" t="s">
        <v>1599</v>
      </c>
      <c r="AE70" s="88" t="s">
        <v>1778</v>
      </c>
      <c r="AF70" s="88" t="s">
        <v>1779</v>
      </c>
    </row>
    <row r="71" spans="2:32" ht="17.45" customHeight="1">
      <c r="B71" s="96" t="e">
        <f t="shared" si="3"/>
        <v>#VALUE!</v>
      </c>
      <c r="C71" s="112">
        <v>40057</v>
      </c>
      <c r="D71" s="98" t="s">
        <v>2299</v>
      </c>
      <c r="E71" s="98">
        <v>7600515</v>
      </c>
      <c r="F71" s="113" t="s">
        <v>2287</v>
      </c>
      <c r="G71" s="100" t="s">
        <v>268</v>
      </c>
      <c r="H71" s="101" t="s">
        <v>2288</v>
      </c>
      <c r="I71" s="98" t="s">
        <v>2299</v>
      </c>
      <c r="J71" s="102">
        <v>1</v>
      </c>
      <c r="K71" s="103" t="s">
        <v>1810</v>
      </c>
      <c r="L71" s="124">
        <v>6</v>
      </c>
      <c r="M71" s="125" t="s">
        <v>1618</v>
      </c>
      <c r="N71" s="106" t="str">
        <f t="shared" si="4"/>
        <v>16</v>
      </c>
      <c r="O71" s="107"/>
      <c r="P71" s="114" t="s">
        <v>2289</v>
      </c>
      <c r="Q71" s="107"/>
      <c r="R71" s="115" t="s">
        <v>1621</v>
      </c>
      <c r="S71" s="92" t="s">
        <v>1575</v>
      </c>
      <c r="T71" s="110"/>
      <c r="U71" s="94" t="s">
        <v>1621</v>
      </c>
      <c r="V71" s="107"/>
      <c r="W71" s="117">
        <v>7600403</v>
      </c>
      <c r="X71" s="115" t="s">
        <v>1621</v>
      </c>
      <c r="Z71" s="116"/>
      <c r="AE71" s="88" t="s">
        <v>1778</v>
      </c>
      <c r="AF71" s="88" t="s">
        <v>1779</v>
      </c>
    </row>
    <row r="72" spans="2:32" ht="17.45" customHeight="1">
      <c r="B72" s="96" t="e">
        <f t="shared" si="3"/>
        <v>#VALUE!</v>
      </c>
      <c r="C72" s="112">
        <v>38595</v>
      </c>
      <c r="D72" s="98" t="s">
        <v>2289</v>
      </c>
      <c r="E72" s="98">
        <v>7600403</v>
      </c>
      <c r="F72" s="113" t="s">
        <v>2287</v>
      </c>
      <c r="G72" s="100" t="s">
        <v>275</v>
      </c>
      <c r="H72" s="101" t="s">
        <v>2288</v>
      </c>
      <c r="I72" s="98" t="s">
        <v>2289</v>
      </c>
      <c r="J72" s="102">
        <v>1</v>
      </c>
      <c r="K72" s="103" t="s">
        <v>1810</v>
      </c>
      <c r="L72" s="124">
        <v>6</v>
      </c>
      <c r="M72" s="125" t="s">
        <v>1618</v>
      </c>
      <c r="N72" s="106" t="str">
        <f t="shared" si="4"/>
        <v>16</v>
      </c>
      <c r="O72" s="107"/>
      <c r="P72" s="114" t="s">
        <v>2289</v>
      </c>
      <c r="Q72" s="107"/>
      <c r="R72" s="115" t="s">
        <v>1621</v>
      </c>
      <c r="S72" s="92" t="s">
        <v>1575</v>
      </c>
      <c r="T72" s="110"/>
      <c r="U72" s="94" t="s">
        <v>1621</v>
      </c>
      <c r="V72" s="107"/>
      <c r="W72" s="117">
        <v>7600403</v>
      </c>
      <c r="X72" s="115" t="s">
        <v>1621</v>
      </c>
      <c r="Z72" s="116"/>
      <c r="AE72" s="88" t="s">
        <v>1778</v>
      </c>
      <c r="AF72" s="88" t="s">
        <v>1779</v>
      </c>
    </row>
    <row r="73" spans="2:32" ht="17.45" customHeight="1">
      <c r="B73" s="96" t="e">
        <f t="shared" si="3"/>
        <v>#VALUE!</v>
      </c>
      <c r="C73" s="112">
        <v>39384</v>
      </c>
      <c r="D73" s="98" t="s">
        <v>2300</v>
      </c>
      <c r="E73" s="98">
        <v>7600470</v>
      </c>
      <c r="F73" s="113" t="s">
        <v>2287</v>
      </c>
      <c r="G73" s="100" t="s">
        <v>279</v>
      </c>
      <c r="H73" s="101" t="s">
        <v>2288</v>
      </c>
      <c r="I73" s="98" t="s">
        <v>2300</v>
      </c>
      <c r="J73" s="102">
        <v>1</v>
      </c>
      <c r="K73" s="103" t="s">
        <v>1810</v>
      </c>
      <c r="L73" s="124">
        <v>6</v>
      </c>
      <c r="M73" s="125" t="s">
        <v>1618</v>
      </c>
      <c r="N73" s="106" t="str">
        <f t="shared" si="4"/>
        <v>16</v>
      </c>
      <c r="O73" s="107"/>
      <c r="P73" s="114" t="s">
        <v>2289</v>
      </c>
      <c r="Q73" s="107"/>
      <c r="R73" s="115" t="s">
        <v>1621</v>
      </c>
      <c r="S73" s="92" t="s">
        <v>1575</v>
      </c>
      <c r="T73" s="110"/>
      <c r="U73" s="94" t="s">
        <v>1621</v>
      </c>
      <c r="V73" s="107"/>
      <c r="W73" s="117">
        <v>7600403</v>
      </c>
      <c r="X73" s="115" t="s">
        <v>1621</v>
      </c>
      <c r="Z73" s="116"/>
      <c r="AE73" s="88" t="s">
        <v>1778</v>
      </c>
      <c r="AF73" s="88" t="s">
        <v>1779</v>
      </c>
    </row>
    <row r="74" spans="2:32" ht="17.45" customHeight="1">
      <c r="B74" s="96" t="e">
        <f t="shared" si="3"/>
        <v>#VALUE!</v>
      </c>
      <c r="C74" s="112">
        <v>38617</v>
      </c>
      <c r="D74" s="98" t="s">
        <v>2286</v>
      </c>
      <c r="E74" s="98">
        <v>7600405</v>
      </c>
      <c r="F74" s="113" t="s">
        <v>2287</v>
      </c>
      <c r="G74" s="100" t="s">
        <v>283</v>
      </c>
      <c r="H74" s="101" t="s">
        <v>2288</v>
      </c>
      <c r="I74" s="98" t="s">
        <v>2286</v>
      </c>
      <c r="J74" s="102">
        <v>1</v>
      </c>
      <c r="K74" s="103" t="s">
        <v>1810</v>
      </c>
      <c r="L74" s="124">
        <v>6</v>
      </c>
      <c r="M74" s="125" t="s">
        <v>1618</v>
      </c>
      <c r="N74" s="106" t="str">
        <f t="shared" si="4"/>
        <v>16</v>
      </c>
      <c r="O74" s="107"/>
      <c r="P74" s="114" t="s">
        <v>2289</v>
      </c>
      <c r="Q74" s="107"/>
      <c r="R74" s="115" t="s">
        <v>1621</v>
      </c>
      <c r="S74" s="92" t="s">
        <v>1575</v>
      </c>
      <c r="T74" s="110"/>
      <c r="U74" s="94" t="s">
        <v>1621</v>
      </c>
      <c r="V74" s="107"/>
      <c r="W74" s="117">
        <v>7600403</v>
      </c>
      <c r="X74" s="115" t="s">
        <v>1621</v>
      </c>
      <c r="Z74" s="116"/>
      <c r="AE74" s="88" t="s">
        <v>1778</v>
      </c>
      <c r="AF74" s="88" t="s">
        <v>1779</v>
      </c>
    </row>
    <row r="75" spans="2:32" ht="17.45" customHeight="1">
      <c r="B75" s="96" t="e">
        <f t="shared" si="3"/>
        <v>#VALUE!</v>
      </c>
      <c r="C75" s="112">
        <v>40542</v>
      </c>
      <c r="D75" s="98" t="s">
        <v>2168</v>
      </c>
      <c r="E75" s="98">
        <v>7600560</v>
      </c>
      <c r="F75" s="113" t="s">
        <v>2163</v>
      </c>
      <c r="G75" s="100" t="s">
        <v>101</v>
      </c>
      <c r="H75" s="101" t="s">
        <v>1815</v>
      </c>
      <c r="I75" s="98" t="s">
        <v>2168</v>
      </c>
      <c r="J75" s="102">
        <v>1</v>
      </c>
      <c r="K75" s="103" t="s">
        <v>1810</v>
      </c>
      <c r="L75" s="124">
        <v>7</v>
      </c>
      <c r="M75" s="125" t="s">
        <v>1622</v>
      </c>
      <c r="N75" s="106" t="str">
        <f t="shared" si="4"/>
        <v>17</v>
      </c>
      <c r="O75" s="107"/>
      <c r="P75" s="114" t="s">
        <v>2164</v>
      </c>
      <c r="Q75" s="107"/>
      <c r="R75" s="115" t="s">
        <v>1626</v>
      </c>
      <c r="S75" s="92" t="s">
        <v>1576</v>
      </c>
      <c r="T75" s="110"/>
      <c r="U75" s="94" t="s">
        <v>1626</v>
      </c>
      <c r="V75" s="107"/>
      <c r="W75" s="117">
        <v>7600007</v>
      </c>
      <c r="X75" s="115" t="s">
        <v>1626</v>
      </c>
      <c r="Z75" s="116"/>
      <c r="AE75" s="88" t="s">
        <v>1778</v>
      </c>
      <c r="AF75" s="88" t="s">
        <v>1779</v>
      </c>
    </row>
    <row r="76" spans="2:32" ht="17.45" customHeight="1">
      <c r="B76" s="96" t="e">
        <f t="shared" si="3"/>
        <v>#VALUE!</v>
      </c>
      <c r="C76" s="112">
        <v>36972</v>
      </c>
      <c r="D76" s="98" t="s">
        <v>2166</v>
      </c>
      <c r="E76" s="98">
        <v>7600219</v>
      </c>
      <c r="F76" s="113" t="s">
        <v>2163</v>
      </c>
      <c r="G76" s="100" t="s">
        <v>108</v>
      </c>
      <c r="H76" s="101" t="s">
        <v>1815</v>
      </c>
      <c r="I76" s="98" t="s">
        <v>2166</v>
      </c>
      <c r="J76" s="102">
        <v>1</v>
      </c>
      <c r="K76" s="103" t="s">
        <v>1810</v>
      </c>
      <c r="L76" s="124">
        <v>7</v>
      </c>
      <c r="M76" s="125" t="s">
        <v>1622</v>
      </c>
      <c r="N76" s="106" t="str">
        <f t="shared" si="4"/>
        <v>17</v>
      </c>
      <c r="O76" s="107"/>
      <c r="P76" s="114" t="s">
        <v>2164</v>
      </c>
      <c r="Q76" s="107"/>
      <c r="R76" s="115" t="s">
        <v>1626</v>
      </c>
      <c r="S76" s="92" t="s">
        <v>1576</v>
      </c>
      <c r="T76" s="110"/>
      <c r="U76" s="94" t="s">
        <v>1626</v>
      </c>
      <c r="V76" s="107"/>
      <c r="W76" s="117">
        <v>7600007</v>
      </c>
      <c r="X76" s="115" t="s">
        <v>1626</v>
      </c>
      <c r="Z76" s="116"/>
      <c r="AE76" s="88" t="s">
        <v>1778</v>
      </c>
      <c r="AF76" s="88" t="s">
        <v>1779</v>
      </c>
    </row>
    <row r="77" spans="2:32" ht="17.45" customHeight="1">
      <c r="B77" s="96" t="e">
        <f t="shared" si="3"/>
        <v>#VALUE!</v>
      </c>
      <c r="C77" s="112">
        <v>35455</v>
      </c>
      <c r="D77" s="98" t="s">
        <v>2164</v>
      </c>
      <c r="E77" s="98">
        <v>7600007</v>
      </c>
      <c r="F77" s="113" t="s">
        <v>2163</v>
      </c>
      <c r="G77" s="100" t="s">
        <v>111</v>
      </c>
      <c r="H77" s="101" t="s">
        <v>1815</v>
      </c>
      <c r="I77" s="98" t="s">
        <v>2164</v>
      </c>
      <c r="J77" s="102">
        <v>1</v>
      </c>
      <c r="K77" s="103" t="s">
        <v>1810</v>
      </c>
      <c r="L77" s="124">
        <v>7</v>
      </c>
      <c r="M77" s="125" t="s">
        <v>1622</v>
      </c>
      <c r="N77" s="106" t="str">
        <f t="shared" si="4"/>
        <v>17</v>
      </c>
      <c r="O77" s="107"/>
      <c r="P77" s="114" t="s">
        <v>2164</v>
      </c>
      <c r="Q77" s="107"/>
      <c r="R77" s="115" t="s">
        <v>1626</v>
      </c>
      <c r="S77" s="92" t="s">
        <v>1576</v>
      </c>
      <c r="T77" s="110"/>
      <c r="U77" s="94" t="s">
        <v>1626</v>
      </c>
      <c r="V77" s="107"/>
      <c r="W77" s="117">
        <v>7600007</v>
      </c>
      <c r="X77" s="115" t="s">
        <v>1626</v>
      </c>
      <c r="Z77" s="116"/>
      <c r="AE77" s="88" t="s">
        <v>1778</v>
      </c>
      <c r="AF77" s="88" t="s">
        <v>1779</v>
      </c>
    </row>
    <row r="78" spans="2:32" ht="17.45" customHeight="1">
      <c r="B78" s="96" t="e">
        <f t="shared" si="3"/>
        <v>#VALUE!</v>
      </c>
      <c r="C78" s="112">
        <v>40892</v>
      </c>
      <c r="D78" s="98" t="s">
        <v>2170</v>
      </c>
      <c r="E78" s="98">
        <v>7600642</v>
      </c>
      <c r="F78" s="113" t="s">
        <v>2163</v>
      </c>
      <c r="G78" s="100" t="s">
        <v>114</v>
      </c>
      <c r="H78" s="101" t="s">
        <v>1815</v>
      </c>
      <c r="I78" s="98" t="s">
        <v>2170</v>
      </c>
      <c r="J78" s="102">
        <v>1</v>
      </c>
      <c r="K78" s="103" t="s">
        <v>1810</v>
      </c>
      <c r="L78" s="124">
        <v>7</v>
      </c>
      <c r="M78" s="125" t="s">
        <v>1622</v>
      </c>
      <c r="N78" s="106" t="str">
        <f t="shared" si="4"/>
        <v>17</v>
      </c>
      <c r="O78" s="107"/>
      <c r="P78" s="114" t="s">
        <v>2164</v>
      </c>
      <c r="Q78" s="107"/>
      <c r="R78" s="115" t="s">
        <v>1626</v>
      </c>
      <c r="S78" s="92" t="s">
        <v>1576</v>
      </c>
      <c r="T78" s="110"/>
      <c r="U78" s="94" t="s">
        <v>1626</v>
      </c>
      <c r="V78" s="107"/>
      <c r="W78" s="117">
        <v>7600007</v>
      </c>
      <c r="X78" s="115" t="s">
        <v>1626</v>
      </c>
      <c r="Z78" s="116"/>
      <c r="AE78" s="88" t="s">
        <v>1778</v>
      </c>
      <c r="AF78" s="88" t="s">
        <v>1779</v>
      </c>
    </row>
    <row r="79" spans="2:32" ht="17.45" customHeight="1">
      <c r="B79" s="96" t="e">
        <f t="shared" si="3"/>
        <v>#VALUE!</v>
      </c>
      <c r="C79" s="112">
        <v>41627</v>
      </c>
      <c r="D79" s="98" t="s">
        <v>2171</v>
      </c>
      <c r="E79" s="98">
        <v>7600778</v>
      </c>
      <c r="F79" s="113" t="s">
        <v>2163</v>
      </c>
      <c r="G79" s="100" t="s">
        <v>117</v>
      </c>
      <c r="H79" s="101" t="s">
        <v>1815</v>
      </c>
      <c r="I79" s="98" t="s">
        <v>2171</v>
      </c>
      <c r="J79" s="126">
        <v>1</v>
      </c>
      <c r="K79" s="124" t="s">
        <v>1810</v>
      </c>
      <c r="L79" s="124">
        <v>7</v>
      </c>
      <c r="M79" s="125" t="s">
        <v>1622</v>
      </c>
      <c r="N79" s="106" t="str">
        <f t="shared" si="4"/>
        <v>17</v>
      </c>
      <c r="O79" s="107"/>
      <c r="P79" s="114" t="s">
        <v>2164</v>
      </c>
      <c r="Q79" s="107"/>
      <c r="R79" s="115" t="s">
        <v>1626</v>
      </c>
      <c r="S79" s="92" t="s">
        <v>1576</v>
      </c>
      <c r="T79" s="110"/>
      <c r="U79" s="94" t="s">
        <v>1626</v>
      </c>
      <c r="V79" s="107"/>
      <c r="W79" s="117">
        <v>7600007</v>
      </c>
      <c r="X79" s="115" t="s">
        <v>1626</v>
      </c>
      <c r="Z79" s="116"/>
      <c r="AE79" s="88" t="s">
        <v>1778</v>
      </c>
      <c r="AF79" s="88" t="s">
        <v>1779</v>
      </c>
    </row>
    <row r="80" spans="2:32" ht="17.45" customHeight="1">
      <c r="B80" s="96" t="e">
        <f t="shared" si="3"/>
        <v>#VALUE!</v>
      </c>
      <c r="C80" s="112">
        <v>45204</v>
      </c>
      <c r="D80" s="98" t="s">
        <v>1962</v>
      </c>
      <c r="E80" s="98">
        <v>7601234</v>
      </c>
      <c r="F80" s="153" t="s">
        <v>1959</v>
      </c>
      <c r="G80" s="101" t="s">
        <v>287</v>
      </c>
      <c r="H80" s="154" t="s">
        <v>1969</v>
      </c>
      <c r="I80" s="98" t="s">
        <v>1962</v>
      </c>
      <c r="J80" s="126">
        <v>1</v>
      </c>
      <c r="K80" s="124" t="s">
        <v>1810</v>
      </c>
      <c r="L80" s="124">
        <v>7</v>
      </c>
      <c r="M80" s="125" t="s">
        <v>1622</v>
      </c>
      <c r="N80" s="106" t="str">
        <f t="shared" si="4"/>
        <v>17</v>
      </c>
      <c r="O80" s="107"/>
      <c r="P80" s="114" t="s">
        <v>1960</v>
      </c>
      <c r="Q80" s="107"/>
      <c r="R80" s="115" t="s">
        <v>1623</v>
      </c>
      <c r="S80" s="92" t="s">
        <v>1576</v>
      </c>
      <c r="T80" s="110"/>
      <c r="U80" s="94" t="s">
        <v>1623</v>
      </c>
      <c r="V80" s="107"/>
      <c r="W80" s="117">
        <v>7601105</v>
      </c>
      <c r="X80" s="115" t="s">
        <v>1623</v>
      </c>
      <c r="Z80" s="116"/>
      <c r="AE80" s="88" t="s">
        <v>1778</v>
      </c>
      <c r="AF80" s="88" t="s">
        <v>1779</v>
      </c>
    </row>
    <row r="81" spans="2:32" ht="17.45" customHeight="1">
      <c r="B81" s="96" t="e">
        <f t="shared" si="3"/>
        <v>#VALUE!</v>
      </c>
      <c r="C81" s="112">
        <v>43892</v>
      </c>
      <c r="D81" s="98" t="s">
        <v>1960</v>
      </c>
      <c r="E81" s="98">
        <v>7601105</v>
      </c>
      <c r="F81" s="113" t="s">
        <v>1959</v>
      </c>
      <c r="G81" s="100" t="s">
        <v>294</v>
      </c>
      <c r="H81" s="101" t="s">
        <v>1969</v>
      </c>
      <c r="I81" s="98" t="s">
        <v>1960</v>
      </c>
      <c r="J81" s="102">
        <v>1</v>
      </c>
      <c r="K81" s="103" t="s">
        <v>1810</v>
      </c>
      <c r="L81" s="124">
        <v>7</v>
      </c>
      <c r="M81" s="125" t="s">
        <v>1622</v>
      </c>
      <c r="N81" s="106" t="str">
        <f t="shared" si="4"/>
        <v>17</v>
      </c>
      <c r="O81" s="107"/>
      <c r="P81" s="114" t="s">
        <v>1960</v>
      </c>
      <c r="Q81" s="107"/>
      <c r="R81" s="115" t="s">
        <v>1623</v>
      </c>
      <c r="S81" s="92" t="s">
        <v>1576</v>
      </c>
      <c r="T81" s="110"/>
      <c r="U81" s="94" t="s">
        <v>1623</v>
      </c>
      <c r="V81" s="107"/>
      <c r="W81" s="117">
        <v>7601105</v>
      </c>
      <c r="X81" s="115" t="s">
        <v>1623</v>
      </c>
      <c r="Z81" s="116"/>
      <c r="AE81" s="88" t="s">
        <v>1778</v>
      </c>
      <c r="AF81" s="88" t="s">
        <v>1779</v>
      </c>
    </row>
    <row r="82" spans="2:32" ht="17.45" customHeight="1">
      <c r="B82" s="96" t="e">
        <f t="shared" si="3"/>
        <v>#VALUE!</v>
      </c>
      <c r="C82" s="112">
        <v>41149</v>
      </c>
      <c r="D82" s="98" t="s">
        <v>2082</v>
      </c>
      <c r="E82" s="98">
        <v>7600671</v>
      </c>
      <c r="F82" s="113" t="s">
        <v>2081</v>
      </c>
      <c r="G82" s="100" t="s">
        <v>297</v>
      </c>
      <c r="H82" s="101" t="s">
        <v>2088</v>
      </c>
      <c r="I82" s="98" t="s">
        <v>2082</v>
      </c>
      <c r="J82" s="102">
        <v>1</v>
      </c>
      <c r="K82" s="103" t="s">
        <v>1810</v>
      </c>
      <c r="L82" s="124">
        <v>7</v>
      </c>
      <c r="M82" s="125" t="s">
        <v>1622</v>
      </c>
      <c r="N82" s="106" t="str">
        <f t="shared" si="4"/>
        <v>17</v>
      </c>
      <c r="O82" s="107"/>
      <c r="P82" s="114" t="s">
        <v>2082</v>
      </c>
      <c r="Q82" s="107"/>
      <c r="R82" s="115" t="s">
        <v>1625</v>
      </c>
      <c r="S82" s="92" t="s">
        <v>1576</v>
      </c>
      <c r="T82" s="110"/>
      <c r="U82" s="94" t="s">
        <v>1625</v>
      </c>
      <c r="V82" s="107"/>
      <c r="W82" s="117">
        <v>7600671</v>
      </c>
      <c r="X82" s="115" t="s">
        <v>1625</v>
      </c>
      <c r="Z82" s="116"/>
      <c r="AE82" s="88" t="s">
        <v>1778</v>
      </c>
      <c r="AF82" s="88" t="s">
        <v>1779</v>
      </c>
    </row>
    <row r="83" spans="2:32" ht="17.45" customHeight="1">
      <c r="B83" s="96" t="e">
        <f t="shared" si="3"/>
        <v>#VALUE!</v>
      </c>
      <c r="C83" s="112">
        <v>37256</v>
      </c>
      <c r="D83" s="98" t="s">
        <v>2105</v>
      </c>
      <c r="E83" s="98">
        <v>7600258</v>
      </c>
      <c r="F83" s="113" t="s">
        <v>2104</v>
      </c>
      <c r="G83" s="100" t="s">
        <v>303</v>
      </c>
      <c r="H83" s="101" t="s">
        <v>2110</v>
      </c>
      <c r="I83" s="98" t="s">
        <v>2105</v>
      </c>
      <c r="J83" s="102">
        <v>1</v>
      </c>
      <c r="K83" s="103" t="s">
        <v>1810</v>
      </c>
      <c r="L83" s="124">
        <v>7</v>
      </c>
      <c r="M83" s="125" t="s">
        <v>1622</v>
      </c>
      <c r="N83" s="106" t="str">
        <f t="shared" si="4"/>
        <v>17</v>
      </c>
      <c r="O83" s="107"/>
      <c r="P83" s="114" t="s">
        <v>2105</v>
      </c>
      <c r="Q83" s="107"/>
      <c r="R83" s="115" t="s">
        <v>1627</v>
      </c>
      <c r="S83" s="92" t="s">
        <v>1576</v>
      </c>
      <c r="T83" s="110"/>
      <c r="U83" s="94" t="s">
        <v>1627</v>
      </c>
      <c r="V83" s="107"/>
      <c r="W83" s="117">
        <v>7600258</v>
      </c>
      <c r="X83" s="115" t="s">
        <v>1627</v>
      </c>
      <c r="Z83" s="116"/>
      <c r="AE83" s="88" t="s">
        <v>1778</v>
      </c>
      <c r="AF83" s="88" t="s">
        <v>1779</v>
      </c>
    </row>
    <row r="84" spans="2:32" ht="17.45" customHeight="1">
      <c r="B84" s="96" t="e">
        <f t="shared" si="3"/>
        <v>#VALUE!</v>
      </c>
      <c r="C84" s="112">
        <v>37224</v>
      </c>
      <c r="D84" s="98" t="s">
        <v>2109</v>
      </c>
      <c r="E84" s="98">
        <v>7600277</v>
      </c>
      <c r="F84" s="113" t="s">
        <v>2104</v>
      </c>
      <c r="G84" s="100" t="s">
        <v>310</v>
      </c>
      <c r="H84" s="101" t="s">
        <v>2110</v>
      </c>
      <c r="I84" s="98" t="s">
        <v>2109</v>
      </c>
      <c r="J84" s="102">
        <v>1</v>
      </c>
      <c r="K84" s="103" t="s">
        <v>1810</v>
      </c>
      <c r="L84" s="124">
        <v>7</v>
      </c>
      <c r="M84" s="125" t="s">
        <v>1622</v>
      </c>
      <c r="N84" s="106" t="str">
        <f t="shared" si="4"/>
        <v>17</v>
      </c>
      <c r="O84" s="107"/>
      <c r="P84" s="114" t="s">
        <v>2105</v>
      </c>
      <c r="Q84" s="107"/>
      <c r="R84" s="115" t="s">
        <v>1627</v>
      </c>
      <c r="S84" s="92" t="s">
        <v>1576</v>
      </c>
      <c r="T84" s="110"/>
      <c r="U84" s="94" t="s">
        <v>1627</v>
      </c>
      <c r="V84" s="107"/>
      <c r="W84" s="117">
        <v>7600258</v>
      </c>
      <c r="X84" s="115" t="s">
        <v>1627</v>
      </c>
      <c r="Z84" s="116"/>
      <c r="AE84" s="88" t="s">
        <v>1778</v>
      </c>
      <c r="AF84" s="88" t="s">
        <v>1779</v>
      </c>
    </row>
    <row r="85" spans="2:32" ht="17.45" customHeight="1">
      <c r="B85" s="96" t="e">
        <f t="shared" si="3"/>
        <v>#VALUE!</v>
      </c>
      <c r="C85" s="112">
        <v>37181</v>
      </c>
      <c r="D85" s="98" t="s">
        <v>2107</v>
      </c>
      <c r="E85" s="98">
        <v>7600263</v>
      </c>
      <c r="F85" s="113" t="s">
        <v>2104</v>
      </c>
      <c r="G85" s="100" t="s">
        <v>313</v>
      </c>
      <c r="H85" s="101" t="s">
        <v>2110</v>
      </c>
      <c r="I85" s="98" t="s">
        <v>2107</v>
      </c>
      <c r="J85" s="102">
        <v>1</v>
      </c>
      <c r="K85" s="103" t="s">
        <v>1810</v>
      </c>
      <c r="L85" s="124">
        <v>7</v>
      </c>
      <c r="M85" s="125" t="s">
        <v>1622</v>
      </c>
      <c r="N85" s="106" t="str">
        <f t="shared" si="4"/>
        <v>17</v>
      </c>
      <c r="O85" s="107"/>
      <c r="P85" s="114" t="s">
        <v>2105</v>
      </c>
      <c r="Q85" s="107"/>
      <c r="R85" s="115" t="s">
        <v>1627</v>
      </c>
      <c r="S85" s="92" t="s">
        <v>1576</v>
      </c>
      <c r="T85" s="110"/>
      <c r="U85" s="94" t="s">
        <v>1627</v>
      </c>
      <c r="V85" s="107"/>
      <c r="W85" s="117">
        <v>7600258</v>
      </c>
      <c r="X85" s="115" t="s">
        <v>1627</v>
      </c>
      <c r="Z85" s="116"/>
      <c r="AE85" s="88" t="s">
        <v>1778</v>
      </c>
      <c r="AF85" s="88" t="s">
        <v>1779</v>
      </c>
    </row>
    <row r="86" spans="2:32" ht="17.45" customHeight="1">
      <c r="B86" s="96" t="e">
        <f t="shared" si="3"/>
        <v>#VALUE!</v>
      </c>
      <c r="C86" s="112">
        <v>37589</v>
      </c>
      <c r="D86" s="98" t="s">
        <v>1882</v>
      </c>
      <c r="E86" s="98">
        <v>7600332</v>
      </c>
      <c r="F86" s="113" t="s">
        <v>1881</v>
      </c>
      <c r="G86" s="100" t="s">
        <v>440</v>
      </c>
      <c r="H86" s="101" t="s">
        <v>1883</v>
      </c>
      <c r="I86" s="98" t="s">
        <v>1882</v>
      </c>
      <c r="J86" s="102">
        <v>2</v>
      </c>
      <c r="K86" s="103" t="s">
        <v>1784</v>
      </c>
      <c r="L86" s="124">
        <v>1</v>
      </c>
      <c r="M86" s="125" t="s">
        <v>1628</v>
      </c>
      <c r="N86" s="106" t="str">
        <f t="shared" si="4"/>
        <v>21</v>
      </c>
      <c r="O86" s="107"/>
      <c r="P86" s="114" t="s">
        <v>1882</v>
      </c>
      <c r="Q86" s="107"/>
      <c r="R86" s="115" t="s">
        <v>1633</v>
      </c>
      <c r="S86" s="92" t="s">
        <v>1630</v>
      </c>
      <c r="T86" s="110"/>
      <c r="U86" s="94" t="s">
        <v>1633</v>
      </c>
      <c r="V86" s="107"/>
      <c r="W86" s="117">
        <v>7600332</v>
      </c>
      <c r="X86" s="115" t="s">
        <v>1633</v>
      </c>
      <c r="Z86" s="127" t="s">
        <v>1632</v>
      </c>
      <c r="AA86" s="132"/>
      <c r="AB86" s="132"/>
      <c r="AC86" s="132"/>
      <c r="AD86" s="132"/>
      <c r="AE86" s="88" t="s">
        <v>1778</v>
      </c>
      <c r="AF86" s="88" t="s">
        <v>1779</v>
      </c>
    </row>
    <row r="87" spans="2:32" ht="17.45" customHeight="1">
      <c r="B87" s="96" t="e">
        <f t="shared" si="3"/>
        <v>#VALUE!</v>
      </c>
      <c r="C87" s="112">
        <v>41999</v>
      </c>
      <c r="D87" s="98" t="s">
        <v>1884</v>
      </c>
      <c r="E87" s="98">
        <v>7600845</v>
      </c>
      <c r="F87" s="113" t="s">
        <v>1881</v>
      </c>
      <c r="G87" s="100" t="s">
        <v>445</v>
      </c>
      <c r="H87" s="101" t="s">
        <v>1883</v>
      </c>
      <c r="I87" s="98" t="s">
        <v>1884</v>
      </c>
      <c r="J87" s="126">
        <v>2</v>
      </c>
      <c r="K87" s="124" t="s">
        <v>1784</v>
      </c>
      <c r="L87" s="124">
        <v>1</v>
      </c>
      <c r="M87" s="125" t="s">
        <v>1628</v>
      </c>
      <c r="N87" s="106" t="str">
        <f t="shared" si="4"/>
        <v>21</v>
      </c>
      <c r="O87" s="107"/>
      <c r="P87" s="114" t="s">
        <v>1882</v>
      </c>
      <c r="Q87" s="107"/>
      <c r="R87" s="115" t="s">
        <v>1633</v>
      </c>
      <c r="S87" s="92" t="s">
        <v>1630</v>
      </c>
      <c r="T87" s="110"/>
      <c r="U87" s="94" t="s">
        <v>1633</v>
      </c>
      <c r="V87" s="107"/>
      <c r="W87" s="117">
        <v>7600332</v>
      </c>
      <c r="X87" s="115" t="s">
        <v>1633</v>
      </c>
      <c r="Z87" s="127" t="s">
        <v>1627</v>
      </c>
      <c r="AE87" s="88" t="s">
        <v>1778</v>
      </c>
      <c r="AF87" s="88" t="s">
        <v>1779</v>
      </c>
    </row>
    <row r="88" spans="2:32" ht="17.45" customHeight="1">
      <c r="B88" s="96" t="e">
        <f t="shared" si="3"/>
        <v>#VALUE!</v>
      </c>
      <c r="C88" s="112">
        <v>36783</v>
      </c>
      <c r="D88" s="98" t="s">
        <v>2030</v>
      </c>
      <c r="E88" s="98">
        <v>7600187</v>
      </c>
      <c r="F88" s="113" t="s">
        <v>2027</v>
      </c>
      <c r="G88" s="100" t="s">
        <v>507</v>
      </c>
      <c r="H88" s="101" t="s">
        <v>2017</v>
      </c>
      <c r="I88" s="98" t="s">
        <v>2030</v>
      </c>
      <c r="J88" s="102">
        <v>2</v>
      </c>
      <c r="K88" s="103" t="s">
        <v>1784</v>
      </c>
      <c r="L88" s="124">
        <v>1</v>
      </c>
      <c r="M88" s="125" t="s">
        <v>1628</v>
      </c>
      <c r="N88" s="106" t="str">
        <f t="shared" si="4"/>
        <v>21</v>
      </c>
      <c r="O88" s="107"/>
      <c r="P88" s="114" t="s">
        <v>2028</v>
      </c>
      <c r="Q88" s="107"/>
      <c r="R88" s="115" t="s">
        <v>1629</v>
      </c>
      <c r="S88" s="92" t="s">
        <v>1630</v>
      </c>
      <c r="T88" s="110"/>
      <c r="U88" s="94" t="s">
        <v>1629</v>
      </c>
      <c r="V88" s="107"/>
      <c r="W88" s="117">
        <v>7600152</v>
      </c>
      <c r="X88" s="115" t="s">
        <v>1629</v>
      </c>
      <c r="Z88" s="116"/>
      <c r="AE88" s="88" t="s">
        <v>1778</v>
      </c>
      <c r="AF88" s="88" t="s">
        <v>1779</v>
      </c>
    </row>
    <row r="89" spans="2:32" ht="17.45" customHeight="1">
      <c r="B89" s="96" t="e">
        <f t="shared" si="3"/>
        <v>#VALUE!</v>
      </c>
      <c r="C89" s="112">
        <v>36648</v>
      </c>
      <c r="D89" s="98" t="s">
        <v>2028</v>
      </c>
      <c r="E89" s="98">
        <v>7600152</v>
      </c>
      <c r="F89" s="113" t="s">
        <v>2027</v>
      </c>
      <c r="G89" s="100" t="s">
        <v>514</v>
      </c>
      <c r="H89" s="101" t="s">
        <v>2017</v>
      </c>
      <c r="I89" s="98" t="s">
        <v>2028</v>
      </c>
      <c r="J89" s="102">
        <v>2</v>
      </c>
      <c r="K89" s="103" t="s">
        <v>1784</v>
      </c>
      <c r="L89" s="124">
        <v>1</v>
      </c>
      <c r="M89" s="125" t="s">
        <v>1628</v>
      </c>
      <c r="N89" s="106" t="str">
        <f t="shared" si="4"/>
        <v>21</v>
      </c>
      <c r="O89" s="107"/>
      <c r="P89" s="114" t="s">
        <v>2028</v>
      </c>
      <c r="Q89" s="107"/>
      <c r="R89" s="115" t="s">
        <v>1629</v>
      </c>
      <c r="S89" s="92" t="s">
        <v>1630</v>
      </c>
      <c r="T89" s="110"/>
      <c r="U89" s="94" t="s">
        <v>1629</v>
      </c>
      <c r="V89" s="107"/>
      <c r="W89" s="117">
        <v>7600152</v>
      </c>
      <c r="X89" s="115" t="s">
        <v>1629</v>
      </c>
      <c r="Z89" s="116"/>
      <c r="AE89" s="88" t="s">
        <v>1778</v>
      </c>
      <c r="AF89" s="88" t="s">
        <v>1779</v>
      </c>
    </row>
    <row r="90" spans="2:32" ht="17.45" customHeight="1">
      <c r="B90" s="96" t="e">
        <f t="shared" si="3"/>
        <v>#VALUE!</v>
      </c>
      <c r="C90" s="112">
        <v>40542</v>
      </c>
      <c r="D90" s="98" t="s">
        <v>2032</v>
      </c>
      <c r="E90" s="98">
        <v>7600566</v>
      </c>
      <c r="F90" s="113" t="s">
        <v>2027</v>
      </c>
      <c r="G90" s="100" t="s">
        <v>521</v>
      </c>
      <c r="H90" s="101" t="s">
        <v>2017</v>
      </c>
      <c r="I90" s="98" t="s">
        <v>2032</v>
      </c>
      <c r="J90" s="102">
        <v>2</v>
      </c>
      <c r="K90" s="103" t="s">
        <v>1784</v>
      </c>
      <c r="L90" s="124">
        <v>1</v>
      </c>
      <c r="M90" s="125" t="s">
        <v>1628</v>
      </c>
      <c r="N90" s="106" t="str">
        <f t="shared" si="4"/>
        <v>21</v>
      </c>
      <c r="O90" s="107"/>
      <c r="P90" s="114" t="s">
        <v>2028</v>
      </c>
      <c r="Q90" s="107"/>
      <c r="R90" s="115" t="s">
        <v>1629</v>
      </c>
      <c r="S90" s="92" t="s">
        <v>1630</v>
      </c>
      <c r="T90" s="110"/>
      <c r="U90" s="94" t="s">
        <v>1629</v>
      </c>
      <c r="V90" s="107"/>
      <c r="W90" s="117">
        <v>7600152</v>
      </c>
      <c r="X90" s="115" t="s">
        <v>1629</v>
      </c>
      <c r="Z90" s="116"/>
      <c r="AE90" s="88" t="s">
        <v>1778</v>
      </c>
      <c r="AF90" s="88" t="s">
        <v>1779</v>
      </c>
    </row>
    <row r="91" spans="2:32" ht="17.45" customHeight="1">
      <c r="B91" s="96" t="e">
        <f t="shared" si="3"/>
        <v>#VALUE!</v>
      </c>
      <c r="C91" s="112">
        <v>37961</v>
      </c>
      <c r="D91" s="98" t="s">
        <v>2031</v>
      </c>
      <c r="E91" s="98">
        <v>7600353</v>
      </c>
      <c r="F91" s="113" t="s">
        <v>2027</v>
      </c>
      <c r="G91" s="100" t="s">
        <v>526</v>
      </c>
      <c r="H91" s="101" t="s">
        <v>2017</v>
      </c>
      <c r="I91" s="98" t="s">
        <v>2031</v>
      </c>
      <c r="J91" s="102">
        <v>2</v>
      </c>
      <c r="K91" s="103" t="s">
        <v>1784</v>
      </c>
      <c r="L91" s="124">
        <v>1</v>
      </c>
      <c r="M91" s="125" t="s">
        <v>1628</v>
      </c>
      <c r="N91" s="106" t="str">
        <f t="shared" si="4"/>
        <v>21</v>
      </c>
      <c r="O91" s="107"/>
      <c r="P91" s="114" t="s">
        <v>2028</v>
      </c>
      <c r="Q91" s="107"/>
      <c r="R91" s="115" t="s">
        <v>1629</v>
      </c>
      <c r="S91" s="92" t="s">
        <v>1630</v>
      </c>
      <c r="T91" s="110"/>
      <c r="U91" s="94" t="s">
        <v>1629</v>
      </c>
      <c r="V91" s="107"/>
      <c r="W91" s="117">
        <v>7600152</v>
      </c>
      <c r="X91" s="115" t="s">
        <v>1629</v>
      </c>
      <c r="Z91" s="155"/>
      <c r="AE91" s="88" t="s">
        <v>1778</v>
      </c>
      <c r="AF91" s="88" t="s">
        <v>1779</v>
      </c>
    </row>
    <row r="92" spans="2:32" ht="17.45" customHeight="1">
      <c r="B92" s="96" t="e">
        <f t="shared" si="3"/>
        <v>#VALUE!</v>
      </c>
      <c r="C92" s="112">
        <v>40661</v>
      </c>
      <c r="D92" s="98" t="s">
        <v>2103</v>
      </c>
      <c r="E92" s="98">
        <v>7600954</v>
      </c>
      <c r="F92" s="113" t="s">
        <v>2100</v>
      </c>
      <c r="G92" s="100" t="s">
        <v>401</v>
      </c>
      <c r="H92" s="101" t="s">
        <v>2222</v>
      </c>
      <c r="I92" s="98" t="s">
        <v>2103</v>
      </c>
      <c r="J92" s="126">
        <v>2</v>
      </c>
      <c r="K92" s="124" t="s">
        <v>1784</v>
      </c>
      <c r="L92" s="124">
        <v>1</v>
      </c>
      <c r="M92" s="125" t="s">
        <v>1628</v>
      </c>
      <c r="N92" s="106" t="str">
        <f t="shared" si="4"/>
        <v>21</v>
      </c>
      <c r="O92" s="107"/>
      <c r="P92" s="114" t="s">
        <v>2102</v>
      </c>
      <c r="Q92" s="61"/>
      <c r="R92" s="115" t="s">
        <v>1632</v>
      </c>
      <c r="S92" s="92" t="s">
        <v>1630</v>
      </c>
      <c r="T92" s="110"/>
      <c r="U92" s="94" t="s">
        <v>1632</v>
      </c>
      <c r="V92" s="61"/>
      <c r="W92" s="117">
        <v>7600953</v>
      </c>
      <c r="X92" s="115" t="s">
        <v>1632</v>
      </c>
      <c r="Z92" s="155"/>
      <c r="AE92" s="88" t="s">
        <v>1778</v>
      </c>
      <c r="AF92" s="88" t="s">
        <v>1779</v>
      </c>
    </row>
    <row r="93" spans="2:32" ht="17.45" customHeight="1">
      <c r="B93" s="96" t="e">
        <f t="shared" si="3"/>
        <v>#VALUE!</v>
      </c>
      <c r="C93" s="112">
        <v>42751</v>
      </c>
      <c r="D93" s="98" t="s">
        <v>2102</v>
      </c>
      <c r="E93" s="98">
        <v>7600953</v>
      </c>
      <c r="F93" s="113" t="s">
        <v>2100</v>
      </c>
      <c r="G93" s="100" t="s">
        <v>407</v>
      </c>
      <c r="H93" s="101" t="s">
        <v>2222</v>
      </c>
      <c r="I93" s="98" t="s">
        <v>2102</v>
      </c>
      <c r="J93" s="126">
        <v>2</v>
      </c>
      <c r="K93" s="124" t="s">
        <v>1784</v>
      </c>
      <c r="L93" s="124">
        <v>1</v>
      </c>
      <c r="M93" s="125" t="s">
        <v>1628</v>
      </c>
      <c r="N93" s="106" t="str">
        <f t="shared" si="4"/>
        <v>21</v>
      </c>
      <c r="O93" s="107"/>
      <c r="P93" s="114" t="s">
        <v>2102</v>
      </c>
      <c r="Q93" s="61"/>
      <c r="R93" s="115" t="s">
        <v>1632</v>
      </c>
      <c r="S93" s="92" t="s">
        <v>1630</v>
      </c>
      <c r="T93" s="110"/>
      <c r="U93" s="94" t="s">
        <v>1632</v>
      </c>
      <c r="V93" s="61"/>
      <c r="W93" s="117">
        <v>7600953</v>
      </c>
      <c r="X93" s="115" t="s">
        <v>1632</v>
      </c>
      <c r="Z93" s="155"/>
      <c r="AE93" s="88" t="s">
        <v>1778</v>
      </c>
      <c r="AF93" s="88" t="s">
        <v>1779</v>
      </c>
    </row>
    <row r="94" spans="2:32" ht="17.45" customHeight="1">
      <c r="B94" s="96" t="e">
        <f t="shared" si="3"/>
        <v>#VALUE!</v>
      </c>
      <c r="C94" s="112">
        <v>44379</v>
      </c>
      <c r="D94" s="98" t="s">
        <v>1799</v>
      </c>
      <c r="E94" s="98">
        <v>7601165</v>
      </c>
      <c r="F94" s="113" t="s">
        <v>1793</v>
      </c>
      <c r="G94" s="100" t="s">
        <v>316</v>
      </c>
      <c r="H94" s="101" t="s">
        <v>1782</v>
      </c>
      <c r="I94" s="98" t="s">
        <v>1799</v>
      </c>
      <c r="J94" s="102">
        <v>2</v>
      </c>
      <c r="K94" s="103" t="s">
        <v>1784</v>
      </c>
      <c r="L94" s="124">
        <v>2</v>
      </c>
      <c r="M94" s="125" t="s">
        <v>1634</v>
      </c>
      <c r="N94" s="106" t="str">
        <f t="shared" si="4"/>
        <v>22</v>
      </c>
      <c r="O94" s="107"/>
      <c r="P94" s="114" t="s">
        <v>1794</v>
      </c>
      <c r="Q94" s="107"/>
      <c r="R94" s="115" t="s">
        <v>1635</v>
      </c>
      <c r="S94" s="92" t="s">
        <v>1578</v>
      </c>
      <c r="T94" s="110"/>
      <c r="U94" s="94" t="s">
        <v>1635</v>
      </c>
      <c r="V94" s="107"/>
      <c r="W94" s="117">
        <v>7601062</v>
      </c>
      <c r="X94" s="115" t="s">
        <v>1635</v>
      </c>
      <c r="Z94" s="110" t="s">
        <v>1659</v>
      </c>
      <c r="AE94" s="88" t="s">
        <v>1778</v>
      </c>
      <c r="AF94" s="88" t="s">
        <v>1779</v>
      </c>
    </row>
    <row r="95" spans="2:32" ht="17.45" customHeight="1">
      <c r="B95" s="96" t="e">
        <f t="shared" si="3"/>
        <v>#VALUE!</v>
      </c>
      <c r="C95" s="112">
        <v>43368</v>
      </c>
      <c r="D95" s="98" t="s">
        <v>1794</v>
      </c>
      <c r="E95" s="98">
        <v>7601062</v>
      </c>
      <c r="F95" s="113" t="s">
        <v>1793</v>
      </c>
      <c r="G95" s="100" t="s">
        <v>322</v>
      </c>
      <c r="H95" s="101" t="s">
        <v>1782</v>
      </c>
      <c r="I95" s="98" t="s">
        <v>1794</v>
      </c>
      <c r="J95" s="102">
        <v>2</v>
      </c>
      <c r="K95" s="103" t="s">
        <v>1784</v>
      </c>
      <c r="L95" s="124">
        <v>2</v>
      </c>
      <c r="M95" s="125" t="s">
        <v>1634</v>
      </c>
      <c r="N95" s="106" t="str">
        <f t="shared" si="4"/>
        <v>22</v>
      </c>
      <c r="O95" s="107"/>
      <c r="P95" s="114" t="s">
        <v>1794</v>
      </c>
      <c r="Q95" s="107"/>
      <c r="R95" s="115" t="s">
        <v>1635</v>
      </c>
      <c r="S95" s="92" t="s">
        <v>1578</v>
      </c>
      <c r="T95" s="110"/>
      <c r="U95" s="94" t="s">
        <v>1635</v>
      </c>
      <c r="V95" s="107"/>
      <c r="W95" s="117">
        <v>7601062</v>
      </c>
      <c r="X95" s="115" t="s">
        <v>1635</v>
      </c>
      <c r="Z95" s="110" t="s">
        <v>1641</v>
      </c>
      <c r="AE95" s="88" t="s">
        <v>1778</v>
      </c>
      <c r="AF95" s="88" t="s">
        <v>1779</v>
      </c>
    </row>
    <row r="96" spans="2:32" ht="17.45" customHeight="1">
      <c r="B96" s="96" t="e">
        <f t="shared" si="3"/>
        <v>#VALUE!</v>
      </c>
      <c r="C96" s="112">
        <v>38971</v>
      </c>
      <c r="D96" s="98" t="s">
        <v>2072</v>
      </c>
      <c r="E96" s="98">
        <v>7600449</v>
      </c>
      <c r="F96" s="113" t="s">
        <v>2068</v>
      </c>
      <c r="G96" s="100" t="s">
        <v>325</v>
      </c>
      <c r="H96" s="101" t="s">
        <v>2074</v>
      </c>
      <c r="I96" s="98" t="s">
        <v>2072</v>
      </c>
      <c r="J96" s="126">
        <v>2</v>
      </c>
      <c r="K96" s="124" t="s">
        <v>1784</v>
      </c>
      <c r="L96" s="124">
        <v>2</v>
      </c>
      <c r="M96" s="125" t="s">
        <v>1634</v>
      </c>
      <c r="N96" s="106" t="str">
        <f t="shared" si="4"/>
        <v>22</v>
      </c>
      <c r="O96" s="107"/>
      <c r="P96" s="114" t="s">
        <v>2070</v>
      </c>
      <c r="Q96" s="107"/>
      <c r="R96" s="115" t="s">
        <v>1636</v>
      </c>
      <c r="S96" s="92" t="s">
        <v>1578</v>
      </c>
      <c r="T96" s="110"/>
      <c r="U96" s="94" t="s">
        <v>1636</v>
      </c>
      <c r="V96" s="107"/>
      <c r="W96" s="117">
        <v>7600382</v>
      </c>
      <c r="X96" s="115" t="s">
        <v>1636</v>
      </c>
      <c r="Z96" s="155"/>
      <c r="AE96" s="88" t="s">
        <v>1778</v>
      </c>
      <c r="AF96" s="88" t="s">
        <v>1779</v>
      </c>
    </row>
    <row r="97" spans="2:32" ht="17.45" customHeight="1">
      <c r="B97" s="96" t="e">
        <f t="shared" si="3"/>
        <v>#VALUE!</v>
      </c>
      <c r="C97" s="112">
        <v>36875</v>
      </c>
      <c r="D97" s="98" t="s">
        <v>2080</v>
      </c>
      <c r="E97" s="98">
        <v>7601236</v>
      </c>
      <c r="F97" s="153" t="s">
        <v>2068</v>
      </c>
      <c r="G97" s="101" t="s">
        <v>331</v>
      </c>
      <c r="H97" s="154" t="s">
        <v>2074</v>
      </c>
      <c r="I97" s="98" t="s">
        <v>2080</v>
      </c>
      <c r="J97" s="126">
        <v>2</v>
      </c>
      <c r="K97" s="124" t="s">
        <v>1784</v>
      </c>
      <c r="L97" s="124">
        <v>2</v>
      </c>
      <c r="M97" s="125" t="s">
        <v>1634</v>
      </c>
      <c r="N97" s="106" t="str">
        <f t="shared" si="4"/>
        <v>22</v>
      </c>
      <c r="O97" s="107"/>
      <c r="P97" s="114" t="s">
        <v>2070</v>
      </c>
      <c r="Q97" s="107"/>
      <c r="R97" s="115" t="s">
        <v>1636</v>
      </c>
      <c r="S97" s="92" t="s">
        <v>1578</v>
      </c>
      <c r="T97" s="110"/>
      <c r="U97" s="94" t="s">
        <v>1636</v>
      </c>
      <c r="V97" s="107"/>
      <c r="W97" s="117">
        <v>7600382</v>
      </c>
      <c r="X97" s="115" t="s">
        <v>1636</v>
      </c>
      <c r="Z97" s="155"/>
      <c r="AE97" s="88" t="s">
        <v>1778</v>
      </c>
      <c r="AF97" s="88" t="s">
        <v>1779</v>
      </c>
    </row>
    <row r="98" spans="2:32" ht="17.45" customHeight="1">
      <c r="B98" s="96" t="e">
        <f t="shared" si="3"/>
        <v>#VALUE!</v>
      </c>
      <c r="C98" s="112">
        <v>36443</v>
      </c>
      <c r="D98" s="98" t="s">
        <v>2077</v>
      </c>
      <c r="E98" s="98">
        <v>7601235</v>
      </c>
      <c r="F98" s="153" t="s">
        <v>2068</v>
      </c>
      <c r="G98" s="101" t="s">
        <v>335</v>
      </c>
      <c r="H98" s="154" t="s">
        <v>2074</v>
      </c>
      <c r="I98" s="98" t="s">
        <v>2077</v>
      </c>
      <c r="J98" s="126">
        <v>2</v>
      </c>
      <c r="K98" s="124" t="s">
        <v>1784</v>
      </c>
      <c r="L98" s="124">
        <v>2</v>
      </c>
      <c r="M98" s="125" t="s">
        <v>1634</v>
      </c>
      <c r="N98" s="106" t="str">
        <f t="shared" si="4"/>
        <v>22</v>
      </c>
      <c r="O98" s="107"/>
      <c r="P98" s="114" t="s">
        <v>2070</v>
      </c>
      <c r="Q98" s="107"/>
      <c r="R98" s="115" t="s">
        <v>1636</v>
      </c>
      <c r="S98" s="92" t="s">
        <v>1578</v>
      </c>
      <c r="T98" s="110"/>
      <c r="U98" s="94" t="s">
        <v>1636</v>
      </c>
      <c r="V98" s="107"/>
      <c r="W98" s="117">
        <v>7600382</v>
      </c>
      <c r="X98" s="115" t="s">
        <v>1636</v>
      </c>
      <c r="Z98" s="155"/>
      <c r="AE98" s="88" t="s">
        <v>1778</v>
      </c>
      <c r="AF98" s="88" t="s">
        <v>1779</v>
      </c>
    </row>
    <row r="99" spans="2:32" ht="17.45" customHeight="1">
      <c r="B99" s="96" t="e">
        <f t="shared" si="3"/>
        <v>#VALUE!</v>
      </c>
      <c r="C99" s="112">
        <v>38818</v>
      </c>
      <c r="D99" s="98" t="s">
        <v>2076</v>
      </c>
      <c r="E99" s="98">
        <v>7601112</v>
      </c>
      <c r="F99" s="224" t="s">
        <v>2068</v>
      </c>
      <c r="G99" s="101" t="s">
        <v>339</v>
      </c>
      <c r="H99" s="154" t="s">
        <v>2074</v>
      </c>
      <c r="I99" s="98" t="s">
        <v>2076</v>
      </c>
      <c r="J99" s="126">
        <v>2</v>
      </c>
      <c r="K99" s="124" t="s">
        <v>1784</v>
      </c>
      <c r="L99" s="124">
        <v>2</v>
      </c>
      <c r="M99" s="125" t="s">
        <v>1634</v>
      </c>
      <c r="N99" s="106" t="str">
        <f t="shared" si="4"/>
        <v>22</v>
      </c>
      <c r="O99" s="107"/>
      <c r="P99" s="114" t="s">
        <v>2070</v>
      </c>
      <c r="Q99" s="107"/>
      <c r="R99" s="115" t="s">
        <v>1636</v>
      </c>
      <c r="S99" s="92" t="s">
        <v>1578</v>
      </c>
      <c r="T99" s="110"/>
      <c r="U99" s="94" t="s">
        <v>1636</v>
      </c>
      <c r="V99" s="107"/>
      <c r="W99" s="117">
        <v>7600382</v>
      </c>
      <c r="X99" s="115" t="s">
        <v>1636</v>
      </c>
      <c r="Z99" s="155"/>
      <c r="AE99" s="88" t="s">
        <v>1778</v>
      </c>
      <c r="AF99" s="88" t="s">
        <v>1779</v>
      </c>
    </row>
    <row r="100" spans="2:32" s="88" customFormat="1" ht="17.45" customHeight="1">
      <c r="B100" s="96" t="e">
        <f t="shared" si="3"/>
        <v>#VALUE!</v>
      </c>
      <c r="C100" s="112">
        <v>42720</v>
      </c>
      <c r="D100" s="98" t="s">
        <v>2073</v>
      </c>
      <c r="E100" s="98">
        <v>7600550</v>
      </c>
      <c r="F100" s="113" t="s">
        <v>2068</v>
      </c>
      <c r="G100" s="100" t="s">
        <v>342</v>
      </c>
      <c r="H100" s="101" t="s">
        <v>2074</v>
      </c>
      <c r="I100" s="98" t="s">
        <v>2073</v>
      </c>
      <c r="J100" s="102">
        <v>2</v>
      </c>
      <c r="K100" s="103" t="s">
        <v>1784</v>
      </c>
      <c r="L100" s="124">
        <v>2</v>
      </c>
      <c r="M100" s="125" t="s">
        <v>1634</v>
      </c>
      <c r="N100" s="106" t="str">
        <f t="shared" si="4"/>
        <v>22</v>
      </c>
      <c r="O100" s="107"/>
      <c r="P100" s="114" t="s">
        <v>2070</v>
      </c>
      <c r="Q100" s="107"/>
      <c r="R100" s="115" t="s">
        <v>1636</v>
      </c>
      <c r="S100" s="92" t="s">
        <v>1578</v>
      </c>
      <c r="T100" s="110"/>
      <c r="U100" s="94" t="s">
        <v>1636</v>
      </c>
      <c r="V100" s="107"/>
      <c r="W100" s="117">
        <v>7600382</v>
      </c>
      <c r="X100" s="115" t="s">
        <v>1636</v>
      </c>
      <c r="Y100" s="74"/>
      <c r="Z100" s="155"/>
      <c r="AA100" s="129"/>
      <c r="AB100" s="74"/>
      <c r="AC100" s="74"/>
      <c r="AD100" s="74"/>
      <c r="AE100" s="88" t="s">
        <v>1778</v>
      </c>
      <c r="AF100" s="88" t="s">
        <v>1779</v>
      </c>
    </row>
    <row r="101" spans="2:32" ht="17.45" customHeight="1">
      <c r="B101" s="96" t="e">
        <f t="shared" ref="B101:B133" si="5">B100+1</f>
        <v>#VALUE!</v>
      </c>
      <c r="C101" s="112">
        <v>40889</v>
      </c>
      <c r="D101" s="98" t="s">
        <v>2075</v>
      </c>
      <c r="E101" s="98">
        <v>7600610</v>
      </c>
      <c r="F101" s="113" t="s">
        <v>2068</v>
      </c>
      <c r="G101" s="100" t="s">
        <v>345</v>
      </c>
      <c r="H101" s="101" t="s">
        <v>2074</v>
      </c>
      <c r="I101" s="98" t="s">
        <v>2075</v>
      </c>
      <c r="J101" s="102">
        <v>2</v>
      </c>
      <c r="K101" s="103" t="s">
        <v>1784</v>
      </c>
      <c r="L101" s="124">
        <v>2</v>
      </c>
      <c r="M101" s="125" t="s">
        <v>1634</v>
      </c>
      <c r="N101" s="106" t="str">
        <f t="shared" si="4"/>
        <v>22</v>
      </c>
      <c r="O101" s="107"/>
      <c r="P101" s="114" t="s">
        <v>2070</v>
      </c>
      <c r="Q101" s="107"/>
      <c r="R101" s="115" t="s">
        <v>1636</v>
      </c>
      <c r="S101" s="92" t="s">
        <v>1578</v>
      </c>
      <c r="T101" s="110"/>
      <c r="U101" s="94" t="s">
        <v>1636</v>
      </c>
      <c r="V101" s="107"/>
      <c r="W101" s="117">
        <v>7600382</v>
      </c>
      <c r="X101" s="115" t="s">
        <v>1636</v>
      </c>
      <c r="Z101" s="155"/>
      <c r="AA101" s="88"/>
      <c r="AB101" s="88"/>
      <c r="AC101" s="88"/>
      <c r="AD101" s="88"/>
      <c r="AE101" s="88" t="s">
        <v>1778</v>
      </c>
      <c r="AF101" s="88" t="s">
        <v>1779</v>
      </c>
    </row>
    <row r="102" spans="2:32" ht="17.45" customHeight="1">
      <c r="B102" s="96" t="e">
        <f t="shared" si="5"/>
        <v>#VALUE!</v>
      </c>
      <c r="C102" s="112">
        <v>38786</v>
      </c>
      <c r="D102" s="98" t="s">
        <v>2070</v>
      </c>
      <c r="E102" s="98">
        <v>7600382</v>
      </c>
      <c r="F102" s="113" t="s">
        <v>2068</v>
      </c>
      <c r="G102" s="100" t="s">
        <v>348</v>
      </c>
      <c r="H102" s="101" t="s">
        <v>2074</v>
      </c>
      <c r="I102" s="98" t="s">
        <v>2070</v>
      </c>
      <c r="J102" s="126">
        <v>2</v>
      </c>
      <c r="K102" s="124" t="s">
        <v>1784</v>
      </c>
      <c r="L102" s="124">
        <v>2</v>
      </c>
      <c r="M102" s="125" t="s">
        <v>1634</v>
      </c>
      <c r="N102" s="106" t="str">
        <f t="shared" si="4"/>
        <v>22</v>
      </c>
      <c r="O102" s="107"/>
      <c r="P102" s="114" t="s">
        <v>2070</v>
      </c>
      <c r="Q102" s="107"/>
      <c r="R102" s="115" t="s">
        <v>1636</v>
      </c>
      <c r="S102" s="92" t="s">
        <v>1578</v>
      </c>
      <c r="T102" s="110"/>
      <c r="U102" s="94" t="s">
        <v>1636</v>
      </c>
      <c r="V102" s="107"/>
      <c r="W102" s="117">
        <v>7600382</v>
      </c>
      <c r="X102" s="115" t="s">
        <v>1636</v>
      </c>
      <c r="Z102" s="155"/>
      <c r="AE102" s="88" t="s">
        <v>1778</v>
      </c>
      <c r="AF102" s="88" t="s">
        <v>1779</v>
      </c>
    </row>
    <row r="103" spans="2:32" ht="17.45" customHeight="1">
      <c r="B103" s="96" t="e">
        <f t="shared" si="5"/>
        <v>#VALUE!</v>
      </c>
      <c r="C103" s="112">
        <v>38881</v>
      </c>
      <c r="D103" s="98" t="s">
        <v>2255</v>
      </c>
      <c r="E103" s="98">
        <v>7600446</v>
      </c>
      <c r="F103" s="113" t="s">
        <v>2253</v>
      </c>
      <c r="G103" s="100" t="s">
        <v>352</v>
      </c>
      <c r="H103" s="101" t="s">
        <v>2256</v>
      </c>
      <c r="I103" s="98" t="s">
        <v>2255</v>
      </c>
      <c r="J103" s="126">
        <v>2</v>
      </c>
      <c r="K103" s="124" t="s">
        <v>1784</v>
      </c>
      <c r="L103" s="124">
        <v>2</v>
      </c>
      <c r="M103" s="125" t="s">
        <v>1634</v>
      </c>
      <c r="N103" s="106" t="str">
        <f t="shared" si="4"/>
        <v>22</v>
      </c>
      <c r="O103" s="107"/>
      <c r="P103" s="114" t="s">
        <v>2254</v>
      </c>
      <c r="Q103" s="107"/>
      <c r="R103" s="115" t="s">
        <v>1637</v>
      </c>
      <c r="S103" s="92" t="s">
        <v>1578</v>
      </c>
      <c r="T103" s="110"/>
      <c r="U103" s="94" t="s">
        <v>1637</v>
      </c>
      <c r="V103" s="107"/>
      <c r="W103" s="117">
        <v>7600440</v>
      </c>
      <c r="X103" s="115" t="s">
        <v>1637</v>
      </c>
      <c r="Z103" s="155"/>
      <c r="AE103" s="88" t="s">
        <v>1778</v>
      </c>
      <c r="AF103" s="88" t="s">
        <v>1779</v>
      </c>
    </row>
    <row r="104" spans="2:32" ht="17.45" customHeight="1">
      <c r="B104" s="96" t="e">
        <f t="shared" si="5"/>
        <v>#VALUE!</v>
      </c>
      <c r="C104" s="112">
        <v>41272</v>
      </c>
      <c r="D104" s="98" t="s">
        <v>2258</v>
      </c>
      <c r="E104" s="98">
        <v>7600691</v>
      </c>
      <c r="F104" s="113" t="s">
        <v>2253</v>
      </c>
      <c r="G104" s="100" t="s">
        <v>359</v>
      </c>
      <c r="H104" s="101" t="s">
        <v>2256</v>
      </c>
      <c r="I104" s="98" t="s">
        <v>2258</v>
      </c>
      <c r="J104" s="126">
        <v>2</v>
      </c>
      <c r="K104" s="124" t="s">
        <v>1784</v>
      </c>
      <c r="L104" s="124">
        <v>2</v>
      </c>
      <c r="M104" s="125" t="s">
        <v>1634</v>
      </c>
      <c r="N104" s="106" t="str">
        <f t="shared" si="4"/>
        <v>22</v>
      </c>
      <c r="O104" s="107"/>
      <c r="P104" s="114" t="s">
        <v>2254</v>
      </c>
      <c r="Q104" s="107"/>
      <c r="R104" s="115" t="s">
        <v>1637</v>
      </c>
      <c r="S104" s="92" t="s">
        <v>1578</v>
      </c>
      <c r="T104" s="110"/>
      <c r="U104" s="94" t="s">
        <v>1637</v>
      </c>
      <c r="V104" s="107"/>
      <c r="W104" s="117">
        <v>7600440</v>
      </c>
      <c r="X104" s="115" t="s">
        <v>1637</v>
      </c>
      <c r="Z104" s="155"/>
      <c r="AE104" s="88" t="s">
        <v>1778</v>
      </c>
      <c r="AF104" s="88" t="s">
        <v>1779</v>
      </c>
    </row>
    <row r="105" spans="2:32" ht="17.45" customHeight="1">
      <c r="B105" s="96" t="e">
        <f t="shared" si="5"/>
        <v>#VALUE!</v>
      </c>
      <c r="C105" s="112">
        <v>38792</v>
      </c>
      <c r="D105" s="98" t="s">
        <v>2254</v>
      </c>
      <c r="E105" s="98">
        <v>7600440</v>
      </c>
      <c r="F105" s="113" t="s">
        <v>2253</v>
      </c>
      <c r="G105" s="100" t="s">
        <v>363</v>
      </c>
      <c r="H105" s="101" t="s">
        <v>2256</v>
      </c>
      <c r="I105" s="98" t="s">
        <v>2254</v>
      </c>
      <c r="J105" s="126">
        <v>2</v>
      </c>
      <c r="K105" s="124" t="s">
        <v>1784</v>
      </c>
      <c r="L105" s="124">
        <v>2</v>
      </c>
      <c r="M105" s="125" t="s">
        <v>1634</v>
      </c>
      <c r="N105" s="106" t="str">
        <f t="shared" si="4"/>
        <v>22</v>
      </c>
      <c r="O105" s="107"/>
      <c r="P105" s="114" t="s">
        <v>2254</v>
      </c>
      <c r="Q105" s="107"/>
      <c r="R105" s="115" t="s">
        <v>1637</v>
      </c>
      <c r="S105" s="92" t="s">
        <v>1578</v>
      </c>
      <c r="T105" s="110"/>
      <c r="U105" s="94" t="s">
        <v>1637</v>
      </c>
      <c r="V105" s="107"/>
      <c r="W105" s="117">
        <v>7600440</v>
      </c>
      <c r="X105" s="115" t="s">
        <v>1637</v>
      </c>
      <c r="Z105" s="155"/>
      <c r="AE105" s="88" t="s">
        <v>1778</v>
      </c>
      <c r="AF105" s="88" t="s">
        <v>1779</v>
      </c>
    </row>
    <row r="106" spans="2:32" ht="17.45" customHeight="1">
      <c r="B106" s="96" t="e">
        <f t="shared" si="5"/>
        <v>#VALUE!</v>
      </c>
      <c r="C106" s="112">
        <v>40827</v>
      </c>
      <c r="D106" s="98" t="s">
        <v>2257</v>
      </c>
      <c r="E106" s="98">
        <v>7600598</v>
      </c>
      <c r="F106" s="113" t="s">
        <v>2253</v>
      </c>
      <c r="G106" s="100" t="s">
        <v>367</v>
      </c>
      <c r="H106" s="101" t="s">
        <v>2256</v>
      </c>
      <c r="I106" s="98" t="s">
        <v>2257</v>
      </c>
      <c r="J106" s="126">
        <v>2</v>
      </c>
      <c r="K106" s="124" t="s">
        <v>1784</v>
      </c>
      <c r="L106" s="124">
        <v>2</v>
      </c>
      <c r="M106" s="125" t="s">
        <v>1634</v>
      </c>
      <c r="N106" s="106" t="str">
        <f t="shared" si="4"/>
        <v>22</v>
      </c>
      <c r="O106" s="107"/>
      <c r="P106" s="114" t="s">
        <v>2254</v>
      </c>
      <c r="Q106" s="107"/>
      <c r="R106" s="115" t="s">
        <v>1637</v>
      </c>
      <c r="S106" s="92" t="s">
        <v>1578</v>
      </c>
      <c r="T106" s="110"/>
      <c r="U106" s="94" t="s">
        <v>1637</v>
      </c>
      <c r="V106" s="107"/>
      <c r="W106" s="117">
        <v>7600440</v>
      </c>
      <c r="X106" s="115" t="s">
        <v>1637</v>
      </c>
      <c r="Z106" s="155"/>
      <c r="AE106" s="88" t="s">
        <v>1778</v>
      </c>
      <c r="AF106" s="88" t="s">
        <v>1779</v>
      </c>
    </row>
    <row r="107" spans="2:32" ht="17.45" customHeight="1">
      <c r="B107" s="96" t="e">
        <f t="shared" si="5"/>
        <v>#VALUE!</v>
      </c>
      <c r="C107" s="112">
        <v>44456</v>
      </c>
      <c r="D107" s="98" t="s">
        <v>2301</v>
      </c>
      <c r="E107" s="98">
        <v>7601152</v>
      </c>
      <c r="F107" s="113" t="s">
        <v>2302</v>
      </c>
      <c r="G107" s="100" t="s">
        <v>481</v>
      </c>
      <c r="H107" s="101" t="s">
        <v>2303</v>
      </c>
      <c r="I107" s="98" t="s">
        <v>2301</v>
      </c>
      <c r="J107" s="126">
        <v>2</v>
      </c>
      <c r="K107" s="124" t="s">
        <v>1784</v>
      </c>
      <c r="L107" s="124">
        <v>3</v>
      </c>
      <c r="M107" s="125" t="s">
        <v>1638</v>
      </c>
      <c r="N107" s="106" t="str">
        <f t="shared" si="4"/>
        <v>23</v>
      </c>
      <c r="O107" s="107"/>
      <c r="P107" s="114" t="s">
        <v>2301</v>
      </c>
      <c r="Q107" s="107"/>
      <c r="R107" s="115" t="s">
        <v>1642</v>
      </c>
      <c r="S107" s="92" t="s">
        <v>1579</v>
      </c>
      <c r="T107" s="110"/>
      <c r="U107" s="94" t="s">
        <v>1642</v>
      </c>
      <c r="V107" s="107"/>
      <c r="W107" s="211">
        <v>7601152</v>
      </c>
      <c r="X107" s="115" t="s">
        <v>1642</v>
      </c>
      <c r="Z107" s="155"/>
      <c r="AE107" s="88" t="s">
        <v>1778</v>
      </c>
      <c r="AF107" s="88" t="s">
        <v>1779</v>
      </c>
    </row>
    <row r="108" spans="2:32" ht="17.45" customHeight="1">
      <c r="B108" s="96" t="e">
        <f t="shared" si="5"/>
        <v>#VALUE!</v>
      </c>
      <c r="C108" s="112">
        <v>40046</v>
      </c>
      <c r="D108" s="98" t="s">
        <v>1832</v>
      </c>
      <c r="E108" s="98">
        <v>7600824</v>
      </c>
      <c r="F108" s="113" t="s">
        <v>1831</v>
      </c>
      <c r="G108" s="100" t="s">
        <v>475</v>
      </c>
      <c r="H108" s="101" t="s">
        <v>1843</v>
      </c>
      <c r="I108" s="98" t="s">
        <v>1832</v>
      </c>
      <c r="J108" s="126">
        <v>2</v>
      </c>
      <c r="K108" s="124" t="s">
        <v>1784</v>
      </c>
      <c r="L108" s="124">
        <v>3</v>
      </c>
      <c r="M108" s="125" t="s">
        <v>1638</v>
      </c>
      <c r="N108" s="106" t="str">
        <f t="shared" si="4"/>
        <v>23</v>
      </c>
      <c r="O108" s="107"/>
      <c r="P108" s="114" t="s">
        <v>1832</v>
      </c>
      <c r="Q108" s="107"/>
      <c r="R108" s="115" t="s">
        <v>1641</v>
      </c>
      <c r="S108" s="92" t="s">
        <v>1579</v>
      </c>
      <c r="T108" s="110"/>
      <c r="U108" s="94" t="s">
        <v>1641</v>
      </c>
      <c r="V108" s="107"/>
      <c r="W108" s="117">
        <v>7600824</v>
      </c>
      <c r="X108" s="115" t="s">
        <v>1641</v>
      </c>
      <c r="Z108" s="110" t="s">
        <v>1653</v>
      </c>
      <c r="AE108" s="88" t="s">
        <v>1778</v>
      </c>
      <c r="AF108" s="88" t="s">
        <v>1779</v>
      </c>
    </row>
    <row r="109" spans="2:32" ht="17.45" customHeight="1">
      <c r="B109" s="96" t="e">
        <f t="shared" si="5"/>
        <v>#VALUE!</v>
      </c>
      <c r="C109" s="112">
        <v>40803</v>
      </c>
      <c r="D109" s="98" t="s">
        <v>1936</v>
      </c>
      <c r="E109" s="98">
        <v>7600604</v>
      </c>
      <c r="F109" s="113" t="s">
        <v>1934</v>
      </c>
      <c r="G109" s="100" t="s">
        <v>530</v>
      </c>
      <c r="H109" s="101" t="s">
        <v>1941</v>
      </c>
      <c r="I109" s="98" t="s">
        <v>1936</v>
      </c>
      <c r="J109" s="102">
        <v>2</v>
      </c>
      <c r="K109" s="103" t="s">
        <v>1784</v>
      </c>
      <c r="L109" s="124">
        <v>3</v>
      </c>
      <c r="M109" s="125" t="s">
        <v>1638</v>
      </c>
      <c r="N109" s="106" t="str">
        <f t="shared" si="4"/>
        <v>23</v>
      </c>
      <c r="O109" s="107"/>
      <c r="P109" s="114" t="s">
        <v>1935</v>
      </c>
      <c r="Q109" s="107"/>
      <c r="R109" s="115" t="s">
        <v>1639</v>
      </c>
      <c r="S109" s="92" t="s">
        <v>1579</v>
      </c>
      <c r="T109" s="110"/>
      <c r="U109" s="94" t="s">
        <v>1639</v>
      </c>
      <c r="V109" s="107"/>
      <c r="W109" s="117">
        <v>7600108</v>
      </c>
      <c r="X109" s="115" t="s">
        <v>1639</v>
      </c>
      <c r="Z109" s="110" t="s">
        <v>1647</v>
      </c>
      <c r="AE109" s="88" t="s">
        <v>1778</v>
      </c>
      <c r="AF109" s="88" t="s">
        <v>1779</v>
      </c>
    </row>
    <row r="110" spans="2:32" ht="17.45" customHeight="1">
      <c r="B110" s="96" t="e">
        <f t="shared" si="5"/>
        <v>#VALUE!</v>
      </c>
      <c r="C110" s="112">
        <v>36336</v>
      </c>
      <c r="D110" s="98" t="s">
        <v>1935</v>
      </c>
      <c r="E110" s="98">
        <v>7600108</v>
      </c>
      <c r="F110" s="113" t="s">
        <v>1934</v>
      </c>
      <c r="G110" s="100" t="s">
        <v>535</v>
      </c>
      <c r="H110" s="101" t="s">
        <v>1941</v>
      </c>
      <c r="I110" s="98" t="s">
        <v>1935</v>
      </c>
      <c r="J110" s="102">
        <v>2</v>
      </c>
      <c r="K110" s="103" t="s">
        <v>1784</v>
      </c>
      <c r="L110" s="124">
        <v>3</v>
      </c>
      <c r="M110" s="125" t="s">
        <v>1638</v>
      </c>
      <c r="N110" s="106" t="str">
        <f t="shared" si="4"/>
        <v>23</v>
      </c>
      <c r="O110" s="107"/>
      <c r="P110" s="114" t="s">
        <v>1935</v>
      </c>
      <c r="Q110" s="107"/>
      <c r="R110" s="115" t="s">
        <v>1639</v>
      </c>
      <c r="S110" s="92" t="s">
        <v>1579</v>
      </c>
      <c r="T110" s="110"/>
      <c r="U110" s="94" t="s">
        <v>1639</v>
      </c>
      <c r="V110" s="107"/>
      <c r="W110" s="117">
        <v>7600108</v>
      </c>
      <c r="X110" s="115" t="s">
        <v>1639</v>
      </c>
      <c r="Z110" s="110" t="s">
        <v>1645</v>
      </c>
      <c r="AE110" s="88" t="s">
        <v>1778</v>
      </c>
      <c r="AF110" s="88" t="s">
        <v>1779</v>
      </c>
    </row>
    <row r="111" spans="2:32" ht="17.45" customHeight="1">
      <c r="B111" s="96" t="e">
        <f t="shared" si="5"/>
        <v>#VALUE!</v>
      </c>
      <c r="C111" s="112">
        <v>45077</v>
      </c>
      <c r="D111" s="98" t="s">
        <v>2214</v>
      </c>
      <c r="E111" s="98">
        <v>7601219</v>
      </c>
      <c r="F111" s="113" t="s">
        <v>2211</v>
      </c>
      <c r="G111" s="101" t="s">
        <v>2213</v>
      </c>
      <c r="H111" s="101" t="s">
        <v>2209</v>
      </c>
      <c r="I111" s="98" t="s">
        <v>2214</v>
      </c>
      <c r="J111" s="126">
        <v>2</v>
      </c>
      <c r="K111" s="124" t="s">
        <v>1784</v>
      </c>
      <c r="L111" s="124">
        <v>3</v>
      </c>
      <c r="M111" s="125" t="s">
        <v>1638</v>
      </c>
      <c r="N111" s="106" t="str">
        <f t="shared" si="4"/>
        <v>23</v>
      </c>
      <c r="O111" s="107"/>
      <c r="P111" s="114" t="s">
        <v>2212</v>
      </c>
      <c r="Q111" s="107"/>
      <c r="R111" s="115" t="s">
        <v>1643</v>
      </c>
      <c r="S111" s="92" t="s">
        <v>1579</v>
      </c>
      <c r="T111" s="110"/>
      <c r="U111" s="94" t="s">
        <v>1643</v>
      </c>
      <c r="V111" s="107"/>
      <c r="W111" s="117">
        <v>7600932</v>
      </c>
      <c r="X111" s="115" t="s">
        <v>1643</v>
      </c>
      <c r="Z111" s="155"/>
      <c r="AE111" s="88" t="s">
        <v>1778</v>
      </c>
      <c r="AF111" s="88" t="s">
        <v>1779</v>
      </c>
    </row>
    <row r="112" spans="2:32" ht="17.45" customHeight="1">
      <c r="B112" s="96" t="e">
        <f t="shared" si="5"/>
        <v>#VALUE!</v>
      </c>
      <c r="C112" s="112">
        <v>44356</v>
      </c>
      <c r="D112" s="98" t="s">
        <v>2216</v>
      </c>
      <c r="E112" s="98">
        <v>7601151</v>
      </c>
      <c r="F112" s="113" t="s">
        <v>2211</v>
      </c>
      <c r="G112" s="100" t="s">
        <v>487</v>
      </c>
      <c r="H112" s="101" t="s">
        <v>2209</v>
      </c>
      <c r="I112" s="98" t="s">
        <v>2216</v>
      </c>
      <c r="J112" s="126">
        <v>2</v>
      </c>
      <c r="K112" s="124" t="s">
        <v>1784</v>
      </c>
      <c r="L112" s="124">
        <v>3</v>
      </c>
      <c r="M112" s="125" t="s">
        <v>1638</v>
      </c>
      <c r="N112" s="106" t="str">
        <f t="shared" si="4"/>
        <v>23</v>
      </c>
      <c r="O112" s="107"/>
      <c r="P112" s="114" t="s">
        <v>2212</v>
      </c>
      <c r="Q112" s="107"/>
      <c r="R112" s="115" t="s">
        <v>1643</v>
      </c>
      <c r="S112" s="92" t="s">
        <v>1579</v>
      </c>
      <c r="T112" s="110"/>
      <c r="U112" s="94" t="s">
        <v>1643</v>
      </c>
      <c r="V112" s="107"/>
      <c r="W112" s="117">
        <v>7600932</v>
      </c>
      <c r="X112" s="115" t="s">
        <v>1643</v>
      </c>
      <c r="Z112" s="155"/>
      <c r="AE112" s="88" t="s">
        <v>1778</v>
      </c>
      <c r="AF112" s="88" t="s">
        <v>1779</v>
      </c>
    </row>
    <row r="113" spans="1:52" ht="17.45" customHeight="1">
      <c r="B113" s="96" t="e">
        <f t="shared" si="5"/>
        <v>#VALUE!</v>
      </c>
      <c r="C113" s="112">
        <v>42887</v>
      </c>
      <c r="D113" s="98" t="s">
        <v>2212</v>
      </c>
      <c r="E113" s="98">
        <v>7600932</v>
      </c>
      <c r="F113" s="113" t="s">
        <v>2211</v>
      </c>
      <c r="G113" s="100" t="s">
        <v>494</v>
      </c>
      <c r="H113" s="101" t="s">
        <v>2209</v>
      </c>
      <c r="I113" s="98" t="s">
        <v>2212</v>
      </c>
      <c r="J113" s="126">
        <v>2</v>
      </c>
      <c r="K113" s="124" t="s">
        <v>1784</v>
      </c>
      <c r="L113" s="124">
        <v>3</v>
      </c>
      <c r="M113" s="125" t="s">
        <v>1638</v>
      </c>
      <c r="N113" s="106" t="str">
        <f t="shared" si="4"/>
        <v>23</v>
      </c>
      <c r="O113" s="107"/>
      <c r="P113" s="114" t="s">
        <v>2212</v>
      </c>
      <c r="Q113" s="107"/>
      <c r="R113" s="115" t="s">
        <v>1643</v>
      </c>
      <c r="S113" s="92" t="s">
        <v>1579</v>
      </c>
      <c r="T113" s="110"/>
      <c r="U113" s="94" t="s">
        <v>1643</v>
      </c>
      <c r="V113" s="107"/>
      <c r="W113" s="117">
        <v>7600932</v>
      </c>
      <c r="X113" s="115" t="s">
        <v>1643</v>
      </c>
      <c r="Z113" s="155"/>
      <c r="AE113" s="88" t="s">
        <v>1778</v>
      </c>
      <c r="AF113" s="88" t="s">
        <v>1779</v>
      </c>
    </row>
    <row r="114" spans="1:52" ht="17.45" customHeight="1">
      <c r="B114" s="96" t="e">
        <f t="shared" si="5"/>
        <v>#VALUE!</v>
      </c>
      <c r="C114" s="112">
        <v>43787</v>
      </c>
      <c r="D114" s="98" t="s">
        <v>2242</v>
      </c>
      <c r="E114" s="98">
        <v>7601087</v>
      </c>
      <c r="F114" s="153" t="s">
        <v>2241</v>
      </c>
      <c r="G114" s="101" t="s">
        <v>538</v>
      </c>
      <c r="H114" s="154" t="s">
        <v>2069</v>
      </c>
      <c r="I114" s="98" t="s">
        <v>2242</v>
      </c>
      <c r="J114" s="126">
        <v>2</v>
      </c>
      <c r="K114" s="124" t="s">
        <v>1784</v>
      </c>
      <c r="L114" s="124">
        <v>4</v>
      </c>
      <c r="M114" s="125" t="s">
        <v>1644</v>
      </c>
      <c r="N114" s="106" t="str">
        <f t="shared" si="4"/>
        <v>24</v>
      </c>
      <c r="O114" s="107"/>
      <c r="P114" s="117" t="s">
        <v>2242</v>
      </c>
      <c r="Q114" s="107"/>
      <c r="R114" s="115" t="s">
        <v>1647</v>
      </c>
      <c r="S114" s="92" t="s">
        <v>1580</v>
      </c>
      <c r="T114" s="110"/>
      <c r="U114" s="94" t="s">
        <v>1647</v>
      </c>
      <c r="V114" s="163"/>
      <c r="W114" s="117">
        <v>7601087</v>
      </c>
      <c r="X114" s="115" t="s">
        <v>1647</v>
      </c>
      <c r="Z114" s="155"/>
      <c r="AE114" s="88" t="s">
        <v>1778</v>
      </c>
      <c r="AF114" s="88" t="s">
        <v>1779</v>
      </c>
    </row>
    <row r="115" spans="1:52" ht="17.45" customHeight="1">
      <c r="B115" s="96" t="e">
        <f t="shared" si="5"/>
        <v>#VALUE!</v>
      </c>
      <c r="C115" s="112">
        <v>44197</v>
      </c>
      <c r="D115" s="98" t="s">
        <v>2240</v>
      </c>
      <c r="E115" s="98">
        <v>7601141</v>
      </c>
      <c r="F115" s="113" t="s">
        <v>2238</v>
      </c>
      <c r="G115" s="100" t="s">
        <v>549</v>
      </c>
      <c r="H115" s="101" t="s">
        <v>2231</v>
      </c>
      <c r="I115" s="98" t="s">
        <v>2240</v>
      </c>
      <c r="J115" s="126">
        <v>2</v>
      </c>
      <c r="K115" s="124" t="s">
        <v>1784</v>
      </c>
      <c r="L115" s="124">
        <v>4</v>
      </c>
      <c r="M115" s="125" t="s">
        <v>1644</v>
      </c>
      <c r="N115" s="106" t="str">
        <f t="shared" si="4"/>
        <v>24</v>
      </c>
      <c r="O115" s="107"/>
      <c r="P115" s="117" t="s">
        <v>2234</v>
      </c>
      <c r="Q115" s="107"/>
      <c r="R115" s="115" t="s">
        <v>1645</v>
      </c>
      <c r="S115" s="92" t="s">
        <v>1580</v>
      </c>
      <c r="T115" s="110"/>
      <c r="U115" s="94" t="s">
        <v>1645</v>
      </c>
      <c r="V115" s="107"/>
      <c r="W115" s="211">
        <v>7600075</v>
      </c>
      <c r="X115" s="115" t="s">
        <v>1645</v>
      </c>
      <c r="Z115" s="155"/>
      <c r="AE115" s="88" t="s">
        <v>1778</v>
      </c>
      <c r="AF115" s="88" t="s">
        <v>1779</v>
      </c>
    </row>
    <row r="116" spans="1:52" ht="17.45" customHeight="1">
      <c r="B116" s="96" t="e">
        <f t="shared" si="5"/>
        <v>#VALUE!</v>
      </c>
      <c r="C116" s="112">
        <v>35962</v>
      </c>
      <c r="D116" s="98" t="s">
        <v>2234</v>
      </c>
      <c r="E116" s="98">
        <v>7600075</v>
      </c>
      <c r="F116" s="113" t="s">
        <v>2233</v>
      </c>
      <c r="G116" s="100" t="s">
        <v>556</v>
      </c>
      <c r="H116" s="101" t="s">
        <v>2231</v>
      </c>
      <c r="I116" s="98" t="s">
        <v>2234</v>
      </c>
      <c r="J116" s="126">
        <v>2</v>
      </c>
      <c r="K116" s="124" t="s">
        <v>1784</v>
      </c>
      <c r="L116" s="124">
        <v>4</v>
      </c>
      <c r="M116" s="125" t="s">
        <v>1644</v>
      </c>
      <c r="N116" s="106" t="str">
        <f t="shared" si="4"/>
        <v>24</v>
      </c>
      <c r="O116" s="107"/>
      <c r="P116" s="114" t="s">
        <v>2234</v>
      </c>
      <c r="Q116" s="107"/>
      <c r="R116" s="115" t="s">
        <v>1645</v>
      </c>
      <c r="S116" s="92" t="s">
        <v>1580</v>
      </c>
      <c r="T116" s="110"/>
      <c r="U116" s="94" t="s">
        <v>1645</v>
      </c>
      <c r="V116" s="107"/>
      <c r="W116" s="117">
        <v>7600075</v>
      </c>
      <c r="X116" s="115" t="s">
        <v>1645</v>
      </c>
      <c r="Z116" s="155"/>
      <c r="AE116" s="88" t="s">
        <v>1778</v>
      </c>
      <c r="AF116" s="88" t="s">
        <v>1779</v>
      </c>
    </row>
    <row r="117" spans="1:52" ht="17.45" customHeight="1">
      <c r="B117" s="96" t="e">
        <f t="shared" si="5"/>
        <v>#VALUE!</v>
      </c>
      <c r="C117" s="112">
        <v>38433</v>
      </c>
      <c r="D117" s="98" t="s">
        <v>2236</v>
      </c>
      <c r="E117" s="98">
        <v>7600383</v>
      </c>
      <c r="F117" s="113" t="s">
        <v>2233</v>
      </c>
      <c r="G117" s="100" t="s">
        <v>559</v>
      </c>
      <c r="H117" s="101" t="s">
        <v>2231</v>
      </c>
      <c r="I117" s="98" t="s">
        <v>2236</v>
      </c>
      <c r="J117" s="126">
        <v>2</v>
      </c>
      <c r="K117" s="124" t="s">
        <v>1784</v>
      </c>
      <c r="L117" s="124">
        <v>4</v>
      </c>
      <c r="M117" s="125" t="s">
        <v>1644</v>
      </c>
      <c r="N117" s="106" t="str">
        <f t="shared" si="4"/>
        <v>24</v>
      </c>
      <c r="O117" s="107"/>
      <c r="P117" s="114" t="s">
        <v>2234</v>
      </c>
      <c r="Q117" s="107"/>
      <c r="R117" s="115" t="s">
        <v>1645</v>
      </c>
      <c r="S117" s="92" t="s">
        <v>1580</v>
      </c>
      <c r="T117" s="110"/>
      <c r="U117" s="94" t="s">
        <v>1645</v>
      </c>
      <c r="V117" s="107"/>
      <c r="W117" s="117">
        <v>7600075</v>
      </c>
      <c r="X117" s="115" t="s">
        <v>1645</v>
      </c>
      <c r="Z117" s="155"/>
      <c r="AE117" s="88" t="s">
        <v>1778</v>
      </c>
      <c r="AF117" s="88" t="s">
        <v>1779</v>
      </c>
    </row>
    <row r="118" spans="1:52" ht="17.45" customHeight="1">
      <c r="B118" s="96" t="e">
        <f t="shared" si="5"/>
        <v>#VALUE!</v>
      </c>
      <c r="C118" s="112">
        <v>36791</v>
      </c>
      <c r="D118" s="98" t="s">
        <v>2235</v>
      </c>
      <c r="E118" s="98">
        <v>7600156</v>
      </c>
      <c r="F118" s="113" t="s">
        <v>2233</v>
      </c>
      <c r="G118" s="100" t="s">
        <v>562</v>
      </c>
      <c r="H118" s="101" t="s">
        <v>2231</v>
      </c>
      <c r="I118" s="98" t="s">
        <v>2235</v>
      </c>
      <c r="J118" s="126">
        <v>2</v>
      </c>
      <c r="K118" s="124" t="s">
        <v>1784</v>
      </c>
      <c r="L118" s="124">
        <v>4</v>
      </c>
      <c r="M118" s="125" t="s">
        <v>1644</v>
      </c>
      <c r="N118" s="106" t="str">
        <f t="shared" si="4"/>
        <v>24</v>
      </c>
      <c r="O118" s="107"/>
      <c r="P118" s="114" t="s">
        <v>2234</v>
      </c>
      <c r="Q118" s="107"/>
      <c r="R118" s="115" t="s">
        <v>1645</v>
      </c>
      <c r="S118" s="92" t="s">
        <v>1580</v>
      </c>
      <c r="T118" s="110"/>
      <c r="U118" s="94" t="s">
        <v>1645</v>
      </c>
      <c r="V118" s="107"/>
      <c r="W118" s="117">
        <v>7600075</v>
      </c>
      <c r="X118" s="115" t="s">
        <v>1645</v>
      </c>
      <c r="Z118" s="155"/>
      <c r="AE118" s="88" t="s">
        <v>1778</v>
      </c>
      <c r="AF118" s="88" t="s">
        <v>1779</v>
      </c>
    </row>
    <row r="119" spans="1:52" ht="17.45" customHeight="1">
      <c r="B119" s="96" t="e">
        <f t="shared" si="5"/>
        <v>#VALUE!</v>
      </c>
      <c r="C119" s="112">
        <v>40864</v>
      </c>
      <c r="D119" s="98" t="s">
        <v>2237</v>
      </c>
      <c r="E119" s="98">
        <v>7600608</v>
      </c>
      <c r="F119" s="113" t="s">
        <v>2233</v>
      </c>
      <c r="G119" s="100" t="s">
        <v>565</v>
      </c>
      <c r="H119" s="101" t="s">
        <v>2231</v>
      </c>
      <c r="I119" s="98" t="s">
        <v>2237</v>
      </c>
      <c r="J119" s="126">
        <v>2</v>
      </c>
      <c r="K119" s="124" t="s">
        <v>1784</v>
      </c>
      <c r="L119" s="124">
        <v>4</v>
      </c>
      <c r="M119" s="125" t="s">
        <v>1644</v>
      </c>
      <c r="N119" s="106" t="str">
        <f t="shared" si="4"/>
        <v>24</v>
      </c>
      <c r="O119" s="107"/>
      <c r="P119" s="114" t="s">
        <v>2234</v>
      </c>
      <c r="Q119" s="107"/>
      <c r="R119" s="115" t="s">
        <v>1645</v>
      </c>
      <c r="S119" s="92" t="s">
        <v>1580</v>
      </c>
      <c r="T119" s="110"/>
      <c r="U119" s="94" t="s">
        <v>1645</v>
      </c>
      <c r="V119" s="107"/>
      <c r="W119" s="117">
        <v>7600075</v>
      </c>
      <c r="X119" s="115" t="s">
        <v>1645</v>
      </c>
      <c r="Z119" s="155"/>
      <c r="AE119" s="88" t="s">
        <v>1778</v>
      </c>
      <c r="AF119" s="88" t="s">
        <v>1779</v>
      </c>
    </row>
    <row r="120" spans="1:52" ht="17.45" customHeight="1">
      <c r="B120" s="96" t="e">
        <f t="shared" si="5"/>
        <v>#VALUE!</v>
      </c>
      <c r="C120" s="148">
        <v>40864</v>
      </c>
      <c r="D120" s="98" t="s">
        <v>1868</v>
      </c>
      <c r="E120" s="118">
        <v>7601123</v>
      </c>
      <c r="F120" s="242" t="s">
        <v>1866</v>
      </c>
      <c r="G120" s="171" t="s">
        <v>394</v>
      </c>
      <c r="H120" s="154" t="s">
        <v>1966</v>
      </c>
      <c r="I120" s="98" t="s">
        <v>1868</v>
      </c>
      <c r="J120" s="126">
        <v>2</v>
      </c>
      <c r="K120" s="124" t="s">
        <v>1784</v>
      </c>
      <c r="L120" s="124">
        <v>5</v>
      </c>
      <c r="M120" s="125" t="s">
        <v>1648</v>
      </c>
      <c r="N120" s="106" t="str">
        <f t="shared" si="4"/>
        <v>25</v>
      </c>
      <c r="O120" s="107"/>
      <c r="P120" s="114" t="s">
        <v>2290</v>
      </c>
      <c r="Q120" s="107"/>
      <c r="R120" s="115" t="s">
        <v>1649</v>
      </c>
      <c r="S120" s="92" t="s">
        <v>1577</v>
      </c>
      <c r="T120" s="110"/>
      <c r="U120" s="94" t="s">
        <v>1649</v>
      </c>
      <c r="V120" s="107"/>
      <c r="W120" s="117">
        <v>7601122</v>
      </c>
      <c r="X120" s="115" t="s">
        <v>1649</v>
      </c>
      <c r="Z120" s="110" t="s">
        <v>1671</v>
      </c>
      <c r="AE120" s="88" t="s">
        <v>1778</v>
      </c>
      <c r="AF120" s="88" t="s">
        <v>1779</v>
      </c>
    </row>
    <row r="121" spans="1:52" ht="17.45" customHeight="1">
      <c r="B121" s="96" t="e">
        <f t="shared" si="5"/>
        <v>#VALUE!</v>
      </c>
      <c r="C121" s="112">
        <v>43801</v>
      </c>
      <c r="D121" s="98" t="s">
        <v>2142</v>
      </c>
      <c r="E121" s="98">
        <v>7601110</v>
      </c>
      <c r="F121" s="113" t="s">
        <v>2137</v>
      </c>
      <c r="G121" s="100" t="s">
        <v>376</v>
      </c>
      <c r="H121" s="101" t="s">
        <v>2133</v>
      </c>
      <c r="I121" s="98" t="s">
        <v>2142</v>
      </c>
      <c r="J121" s="126">
        <v>2</v>
      </c>
      <c r="K121" s="124" t="s">
        <v>1784</v>
      </c>
      <c r="L121" s="124">
        <v>5</v>
      </c>
      <c r="M121" s="125" t="s">
        <v>1648</v>
      </c>
      <c r="N121" s="106" t="str">
        <f t="shared" si="4"/>
        <v>25</v>
      </c>
      <c r="O121" s="107"/>
      <c r="P121" s="114" t="s">
        <v>2138</v>
      </c>
      <c r="Q121" s="107"/>
      <c r="R121" s="115" t="s">
        <v>1650</v>
      </c>
      <c r="S121" s="92" t="s">
        <v>1577</v>
      </c>
      <c r="T121" s="110"/>
      <c r="U121" s="94" t="s">
        <v>1650</v>
      </c>
      <c r="V121" s="107"/>
      <c r="W121" s="117">
        <v>7600895</v>
      </c>
      <c r="X121" s="115" t="s">
        <v>1650</v>
      </c>
      <c r="Z121" s="155"/>
      <c r="AE121" s="88" t="s">
        <v>1778</v>
      </c>
      <c r="AF121" s="88" t="s">
        <v>1779</v>
      </c>
    </row>
    <row r="122" spans="1:52" ht="17.45" customHeight="1">
      <c r="B122" s="96" t="e">
        <f t="shared" si="5"/>
        <v>#VALUE!</v>
      </c>
      <c r="C122" s="112">
        <v>40473</v>
      </c>
      <c r="D122" s="98" t="s">
        <v>2138</v>
      </c>
      <c r="E122" s="98">
        <v>7600895</v>
      </c>
      <c r="F122" s="113" t="s">
        <v>2137</v>
      </c>
      <c r="G122" s="100" t="s">
        <v>383</v>
      </c>
      <c r="H122" s="101" t="s">
        <v>2133</v>
      </c>
      <c r="I122" s="98" t="s">
        <v>2138</v>
      </c>
      <c r="J122" s="126">
        <v>2</v>
      </c>
      <c r="K122" s="124" t="s">
        <v>1784</v>
      </c>
      <c r="L122" s="124">
        <v>5</v>
      </c>
      <c r="M122" s="125" t="s">
        <v>1648</v>
      </c>
      <c r="N122" s="106" t="str">
        <f t="shared" si="4"/>
        <v>25</v>
      </c>
      <c r="O122" s="107"/>
      <c r="P122" s="114" t="s">
        <v>2138</v>
      </c>
      <c r="Q122" s="107"/>
      <c r="R122" s="115" t="s">
        <v>1650</v>
      </c>
      <c r="S122" s="92" t="s">
        <v>1577</v>
      </c>
      <c r="T122" s="110"/>
      <c r="U122" s="94" t="s">
        <v>1650</v>
      </c>
      <c r="V122" s="107"/>
      <c r="W122" s="117">
        <v>7600895</v>
      </c>
      <c r="X122" s="115" t="s">
        <v>1650</v>
      </c>
      <c r="Z122" s="155"/>
      <c r="AE122" s="88" t="s">
        <v>1778</v>
      </c>
      <c r="AF122" s="88" t="s">
        <v>1779</v>
      </c>
    </row>
    <row r="123" spans="1:52" ht="17.45" customHeight="1">
      <c r="B123" s="96" t="e">
        <f t="shared" si="5"/>
        <v>#VALUE!</v>
      </c>
      <c r="C123" s="112">
        <v>40473</v>
      </c>
      <c r="D123" s="98" t="s">
        <v>2140</v>
      </c>
      <c r="E123" s="98">
        <v>7600920</v>
      </c>
      <c r="F123" s="113" t="s">
        <v>2137</v>
      </c>
      <c r="G123" s="100" t="s">
        <v>387</v>
      </c>
      <c r="H123" s="101" t="s">
        <v>2133</v>
      </c>
      <c r="I123" s="98" t="s">
        <v>2140</v>
      </c>
      <c r="J123" s="126">
        <v>2</v>
      </c>
      <c r="K123" s="124" t="s">
        <v>1784</v>
      </c>
      <c r="L123" s="124">
        <v>5</v>
      </c>
      <c r="M123" s="125" t="s">
        <v>1648</v>
      </c>
      <c r="N123" s="106" t="str">
        <f t="shared" si="4"/>
        <v>25</v>
      </c>
      <c r="O123" s="107"/>
      <c r="P123" s="114" t="s">
        <v>2138</v>
      </c>
      <c r="Q123" s="107"/>
      <c r="R123" s="115" t="s">
        <v>1650</v>
      </c>
      <c r="S123" s="92" t="s">
        <v>1577</v>
      </c>
      <c r="T123" s="110"/>
      <c r="U123" s="94" t="s">
        <v>1650</v>
      </c>
      <c r="V123" s="107"/>
      <c r="W123" s="117">
        <v>7600895</v>
      </c>
      <c r="X123" s="115" t="s">
        <v>1650</v>
      </c>
      <c r="Z123" s="155"/>
      <c r="AE123" s="88" t="s">
        <v>1778</v>
      </c>
      <c r="AF123" s="88" t="s">
        <v>1779</v>
      </c>
    </row>
    <row r="124" spans="1:52" ht="17.45" customHeight="1">
      <c r="B124" s="96" t="e">
        <f t="shared" si="5"/>
        <v>#VALUE!</v>
      </c>
      <c r="C124" s="112">
        <v>41269</v>
      </c>
      <c r="D124" s="98" t="s">
        <v>2139</v>
      </c>
      <c r="E124" s="98">
        <v>7600918</v>
      </c>
      <c r="F124" s="113" t="s">
        <v>2137</v>
      </c>
      <c r="G124" s="100" t="s">
        <v>389</v>
      </c>
      <c r="H124" s="101" t="s">
        <v>2133</v>
      </c>
      <c r="I124" s="98" t="s">
        <v>2139</v>
      </c>
      <c r="J124" s="126">
        <v>2</v>
      </c>
      <c r="K124" s="124" t="s">
        <v>1784</v>
      </c>
      <c r="L124" s="124">
        <v>5</v>
      </c>
      <c r="M124" s="125" t="s">
        <v>1648</v>
      </c>
      <c r="N124" s="106" t="str">
        <f t="shared" si="4"/>
        <v>25</v>
      </c>
      <c r="O124" s="107"/>
      <c r="P124" s="114" t="s">
        <v>2138</v>
      </c>
      <c r="Q124" s="107"/>
      <c r="R124" s="115" t="s">
        <v>1650</v>
      </c>
      <c r="S124" s="92" t="s">
        <v>1577</v>
      </c>
      <c r="T124" s="110"/>
      <c r="U124" s="94" t="s">
        <v>1650</v>
      </c>
      <c r="V124" s="107"/>
      <c r="W124" s="117">
        <v>7600895</v>
      </c>
      <c r="X124" s="115" t="s">
        <v>1650</v>
      </c>
      <c r="Z124" s="155"/>
      <c r="AE124" s="88" t="s">
        <v>1778</v>
      </c>
      <c r="AF124" s="88" t="s">
        <v>1779</v>
      </c>
    </row>
    <row r="125" spans="1:52" ht="17.45" customHeight="1">
      <c r="B125" s="96" t="e">
        <f t="shared" si="5"/>
        <v>#VALUE!</v>
      </c>
      <c r="C125" s="112">
        <v>40473</v>
      </c>
      <c r="D125" s="98" t="s">
        <v>2141</v>
      </c>
      <c r="E125" s="98">
        <v>7600921</v>
      </c>
      <c r="F125" s="113" t="s">
        <v>2137</v>
      </c>
      <c r="G125" s="100" t="s">
        <v>392</v>
      </c>
      <c r="H125" s="101" t="s">
        <v>2133</v>
      </c>
      <c r="I125" s="98" t="s">
        <v>2141</v>
      </c>
      <c r="J125" s="126">
        <v>2</v>
      </c>
      <c r="K125" s="124" t="s">
        <v>1784</v>
      </c>
      <c r="L125" s="124">
        <v>5</v>
      </c>
      <c r="M125" s="125" t="s">
        <v>1648</v>
      </c>
      <c r="N125" s="106" t="str">
        <f t="shared" si="4"/>
        <v>25</v>
      </c>
      <c r="O125" s="107"/>
      <c r="P125" s="114" t="s">
        <v>2138</v>
      </c>
      <c r="Q125" s="107"/>
      <c r="R125" s="115" t="s">
        <v>1650</v>
      </c>
      <c r="S125" s="92" t="s">
        <v>1577</v>
      </c>
      <c r="T125" s="110"/>
      <c r="U125" s="94" t="s">
        <v>1650</v>
      </c>
      <c r="V125" s="107"/>
      <c r="W125" s="117">
        <v>7600895</v>
      </c>
      <c r="X125" s="115" t="s">
        <v>1650</v>
      </c>
      <c r="Z125" s="155"/>
      <c r="AE125" s="88" t="s">
        <v>1778</v>
      </c>
      <c r="AF125" s="88" t="s">
        <v>1779</v>
      </c>
    </row>
    <row r="126" spans="1:52" s="132" customFormat="1" ht="17.45" customHeight="1">
      <c r="A126" s="56"/>
      <c r="B126" s="96" t="e">
        <f t="shared" si="5"/>
        <v>#VALUE!</v>
      </c>
      <c r="C126" s="112">
        <v>44182</v>
      </c>
      <c r="D126" s="98" t="s">
        <v>2304</v>
      </c>
      <c r="E126" s="98">
        <v>7601125</v>
      </c>
      <c r="F126" s="113" t="s">
        <v>2305</v>
      </c>
      <c r="G126" s="100" t="s">
        <v>371</v>
      </c>
      <c r="H126" s="101" t="s">
        <v>2306</v>
      </c>
      <c r="I126" s="98" t="s">
        <v>2304</v>
      </c>
      <c r="J126" s="126">
        <v>2</v>
      </c>
      <c r="K126" s="124" t="s">
        <v>1784</v>
      </c>
      <c r="L126" s="124">
        <v>5</v>
      </c>
      <c r="M126" s="125" t="s">
        <v>1648</v>
      </c>
      <c r="N126" s="106" t="str">
        <f t="shared" si="4"/>
        <v>25</v>
      </c>
      <c r="O126" s="107"/>
      <c r="P126" s="114" t="s">
        <v>2304</v>
      </c>
      <c r="Q126" s="107"/>
      <c r="R126" s="115" t="s">
        <v>1651</v>
      </c>
      <c r="S126" s="92" t="s">
        <v>1577</v>
      </c>
      <c r="T126" s="110"/>
      <c r="U126" s="94" t="s">
        <v>1651</v>
      </c>
      <c r="V126" s="107"/>
      <c r="W126" s="117">
        <v>7601125</v>
      </c>
      <c r="X126" s="115" t="s">
        <v>1651</v>
      </c>
      <c r="Y126" s="74"/>
      <c r="Z126" s="155"/>
      <c r="AA126" s="129"/>
      <c r="AB126" s="74"/>
      <c r="AC126" s="74"/>
      <c r="AD126" s="74"/>
      <c r="AE126" s="88" t="s">
        <v>1778</v>
      </c>
      <c r="AF126" s="88" t="s">
        <v>1779</v>
      </c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</row>
    <row r="127" spans="1:52" ht="17.45" customHeight="1">
      <c r="B127" s="96" t="e">
        <f t="shared" si="5"/>
        <v>#VALUE!</v>
      </c>
      <c r="C127" s="112">
        <v>39692</v>
      </c>
      <c r="D127" s="98" t="s">
        <v>1940</v>
      </c>
      <c r="E127" s="98">
        <v>7600992</v>
      </c>
      <c r="F127" s="113" t="s">
        <v>1937</v>
      </c>
      <c r="G127" s="100" t="s">
        <v>568</v>
      </c>
      <c r="H127" s="101" t="s">
        <v>1946</v>
      </c>
      <c r="I127" s="98" t="s">
        <v>1940</v>
      </c>
      <c r="J127" s="102">
        <v>2</v>
      </c>
      <c r="K127" s="103" t="s">
        <v>1784</v>
      </c>
      <c r="L127" s="124">
        <v>6</v>
      </c>
      <c r="M127" s="125" t="s">
        <v>1652</v>
      </c>
      <c r="N127" s="106" t="str">
        <f t="shared" si="4"/>
        <v>26</v>
      </c>
      <c r="O127" s="107"/>
      <c r="P127" s="114" t="s">
        <v>1939</v>
      </c>
      <c r="Q127" s="107"/>
      <c r="R127" s="115" t="s">
        <v>1653</v>
      </c>
      <c r="S127" s="92" t="s">
        <v>1582</v>
      </c>
      <c r="T127" s="110"/>
      <c r="U127" s="94" t="s">
        <v>1653</v>
      </c>
      <c r="V127" s="107"/>
      <c r="W127" s="117">
        <v>7600973</v>
      </c>
      <c r="X127" s="115" t="s">
        <v>1653</v>
      </c>
      <c r="Z127" s="110" t="s">
        <v>1637</v>
      </c>
      <c r="AE127" s="88" t="s">
        <v>1778</v>
      </c>
      <c r="AF127" s="88" t="s">
        <v>1779</v>
      </c>
    </row>
    <row r="128" spans="1:52" ht="17.45" customHeight="1">
      <c r="A128" s="132"/>
      <c r="B128" s="96" t="e">
        <f t="shared" si="5"/>
        <v>#VALUE!</v>
      </c>
      <c r="C128" s="112" t="s">
        <v>1948</v>
      </c>
      <c r="D128" s="98" t="s">
        <v>1939</v>
      </c>
      <c r="E128" s="98">
        <v>7600973</v>
      </c>
      <c r="F128" s="113" t="s">
        <v>1937</v>
      </c>
      <c r="G128" s="100" t="s">
        <v>574</v>
      </c>
      <c r="H128" s="101" t="s">
        <v>1946</v>
      </c>
      <c r="I128" s="98" t="s">
        <v>1939</v>
      </c>
      <c r="J128" s="102">
        <v>2</v>
      </c>
      <c r="K128" s="103" t="s">
        <v>1784</v>
      </c>
      <c r="L128" s="124">
        <v>6</v>
      </c>
      <c r="M128" s="125" t="s">
        <v>1652</v>
      </c>
      <c r="N128" s="106" t="str">
        <f t="shared" si="4"/>
        <v>26</v>
      </c>
      <c r="O128" s="107"/>
      <c r="P128" s="114" t="s">
        <v>1939</v>
      </c>
      <c r="Q128" s="107"/>
      <c r="R128" s="115" t="s">
        <v>1653</v>
      </c>
      <c r="S128" s="92" t="s">
        <v>1582</v>
      </c>
      <c r="T128" s="110"/>
      <c r="U128" s="94" t="s">
        <v>1653</v>
      </c>
      <c r="V128" s="107"/>
      <c r="W128" s="117">
        <v>7600973</v>
      </c>
      <c r="X128" s="115" t="s">
        <v>1653</v>
      </c>
      <c r="Z128" s="110" t="s">
        <v>1734</v>
      </c>
      <c r="AE128" s="88" t="s">
        <v>1778</v>
      </c>
      <c r="AF128" s="88" t="s">
        <v>1779</v>
      </c>
      <c r="AG128" s="132"/>
      <c r="AH128" s="132"/>
      <c r="AI128" s="132"/>
      <c r="AJ128" s="132"/>
      <c r="AK128" s="132"/>
      <c r="AL128" s="132"/>
      <c r="AM128" s="132"/>
      <c r="AN128" s="132"/>
      <c r="AO128" s="132"/>
      <c r="AP128" s="132"/>
      <c r="AQ128" s="132"/>
      <c r="AR128" s="132"/>
      <c r="AS128" s="132"/>
      <c r="AT128" s="132"/>
      <c r="AU128" s="132"/>
      <c r="AV128" s="132"/>
      <c r="AW128" s="132"/>
      <c r="AX128" s="132"/>
      <c r="AY128" s="132"/>
      <c r="AZ128" s="132"/>
    </row>
    <row r="129" spans="2:32" ht="17.45" customHeight="1">
      <c r="B129" s="96" t="e">
        <f t="shared" si="5"/>
        <v>#VALUE!</v>
      </c>
      <c r="C129" s="112">
        <v>40658</v>
      </c>
      <c r="D129" s="98" t="s">
        <v>2207</v>
      </c>
      <c r="E129" s="98">
        <v>7600567</v>
      </c>
      <c r="F129" s="113" t="s">
        <v>2205</v>
      </c>
      <c r="G129" s="100" t="s">
        <v>466</v>
      </c>
      <c r="H129" s="101" t="s">
        <v>2187</v>
      </c>
      <c r="I129" s="98" t="s">
        <v>2207</v>
      </c>
      <c r="J129" s="126">
        <v>2</v>
      </c>
      <c r="K129" s="124" t="s">
        <v>1784</v>
      </c>
      <c r="L129" s="124">
        <v>6</v>
      </c>
      <c r="M129" s="125" t="s">
        <v>1652</v>
      </c>
      <c r="N129" s="106" t="str">
        <f t="shared" si="4"/>
        <v>26</v>
      </c>
      <c r="O129" s="107"/>
      <c r="P129" s="114" t="s">
        <v>2206</v>
      </c>
      <c r="Q129" s="107"/>
      <c r="R129" s="115" t="s">
        <v>1656</v>
      </c>
      <c r="S129" s="92" t="s">
        <v>1582</v>
      </c>
      <c r="T129" s="110"/>
      <c r="U129" s="94" t="s">
        <v>1656</v>
      </c>
      <c r="V129" s="107"/>
      <c r="W129" s="117">
        <v>7600519</v>
      </c>
      <c r="X129" s="115" t="s">
        <v>1656</v>
      </c>
      <c r="Z129" s="155"/>
      <c r="AE129" s="88" t="s">
        <v>1778</v>
      </c>
      <c r="AF129" s="88" t="s">
        <v>1779</v>
      </c>
    </row>
    <row r="130" spans="2:32" ht="17.45" customHeight="1">
      <c r="B130" s="96" t="e">
        <f t="shared" si="5"/>
        <v>#VALUE!</v>
      </c>
      <c r="C130" s="112">
        <v>40905</v>
      </c>
      <c r="D130" s="98" t="s">
        <v>2210</v>
      </c>
      <c r="E130" s="98">
        <v>7600614</v>
      </c>
      <c r="F130" s="113" t="s">
        <v>2205</v>
      </c>
      <c r="G130" s="100" t="s">
        <v>471</v>
      </c>
      <c r="H130" s="101" t="s">
        <v>2187</v>
      </c>
      <c r="I130" s="98" t="s">
        <v>2210</v>
      </c>
      <c r="J130" s="126">
        <v>2</v>
      </c>
      <c r="K130" s="124" t="s">
        <v>1784</v>
      </c>
      <c r="L130" s="124">
        <v>6</v>
      </c>
      <c r="M130" s="125" t="s">
        <v>1652</v>
      </c>
      <c r="N130" s="106" t="str">
        <f t="shared" si="4"/>
        <v>26</v>
      </c>
      <c r="O130" s="107"/>
      <c r="P130" s="114" t="s">
        <v>2206</v>
      </c>
      <c r="Q130" s="107"/>
      <c r="R130" s="115" t="s">
        <v>1656</v>
      </c>
      <c r="S130" s="92" t="s">
        <v>1582</v>
      </c>
      <c r="T130" s="110"/>
      <c r="U130" s="94" t="s">
        <v>1656</v>
      </c>
      <c r="V130" s="107"/>
      <c r="W130" s="117">
        <v>7600519</v>
      </c>
      <c r="X130" s="115" t="s">
        <v>1656</v>
      </c>
      <c r="Z130" s="155"/>
      <c r="AE130" s="88" t="s">
        <v>1778</v>
      </c>
      <c r="AF130" s="88" t="s">
        <v>1779</v>
      </c>
    </row>
    <row r="131" spans="2:32" ht="17.45" customHeight="1">
      <c r="B131" s="96" t="e">
        <f t="shared" si="5"/>
        <v>#VALUE!</v>
      </c>
      <c r="C131" s="112">
        <v>40189</v>
      </c>
      <c r="D131" s="98" t="s">
        <v>2206</v>
      </c>
      <c r="E131" s="98">
        <v>7600519</v>
      </c>
      <c r="F131" s="113" t="s">
        <v>2205</v>
      </c>
      <c r="G131" s="100" t="s">
        <v>425</v>
      </c>
      <c r="H131" s="101" t="s">
        <v>2187</v>
      </c>
      <c r="I131" s="98" t="s">
        <v>2206</v>
      </c>
      <c r="J131" s="126">
        <v>2</v>
      </c>
      <c r="K131" s="124" t="s">
        <v>1784</v>
      </c>
      <c r="L131" s="124">
        <v>6</v>
      </c>
      <c r="M131" s="125" t="s">
        <v>1652</v>
      </c>
      <c r="N131" s="106" t="str">
        <f t="shared" si="4"/>
        <v>26</v>
      </c>
      <c r="O131" s="107"/>
      <c r="P131" s="114" t="s">
        <v>2206</v>
      </c>
      <c r="Q131" s="107"/>
      <c r="R131" s="115" t="s">
        <v>1656</v>
      </c>
      <c r="S131" s="92" t="s">
        <v>1582</v>
      </c>
      <c r="T131" s="110"/>
      <c r="U131" s="94" t="s">
        <v>1656</v>
      </c>
      <c r="V131" s="107"/>
      <c r="W131" s="117">
        <v>7600519</v>
      </c>
      <c r="X131" s="115" t="s">
        <v>1656</v>
      </c>
      <c r="Z131" s="155"/>
      <c r="AE131" s="88" t="s">
        <v>1778</v>
      </c>
      <c r="AF131" s="88" t="s">
        <v>1779</v>
      </c>
    </row>
    <row r="132" spans="2:32" ht="17.45" customHeight="1">
      <c r="B132" s="96" t="e">
        <f t="shared" si="5"/>
        <v>#VALUE!</v>
      </c>
      <c r="C132" s="156">
        <v>39157</v>
      </c>
      <c r="D132" s="89" t="s">
        <v>2232</v>
      </c>
      <c r="E132" s="89">
        <v>7601097</v>
      </c>
      <c r="F132" s="284" t="s">
        <v>2230</v>
      </c>
      <c r="G132" s="157" t="s">
        <v>579</v>
      </c>
      <c r="H132" s="158" t="s">
        <v>2090</v>
      </c>
      <c r="I132" s="89" t="s">
        <v>2232</v>
      </c>
      <c r="J132" s="159">
        <v>2</v>
      </c>
      <c r="K132" s="104" t="s">
        <v>1784</v>
      </c>
      <c r="L132" s="124">
        <v>6</v>
      </c>
      <c r="M132" s="125" t="s">
        <v>1652</v>
      </c>
      <c r="N132" s="160" t="str">
        <f t="shared" si="4"/>
        <v>26</v>
      </c>
      <c r="O132" s="91"/>
      <c r="P132" s="161" t="s">
        <v>2232</v>
      </c>
      <c r="Q132" s="91"/>
      <c r="R132" s="162" t="s">
        <v>1655</v>
      </c>
      <c r="S132" s="92" t="s">
        <v>1582</v>
      </c>
      <c r="T132" s="93"/>
      <c r="U132" s="94" t="s">
        <v>1655</v>
      </c>
      <c r="V132" s="91"/>
      <c r="W132" s="213">
        <v>7601097</v>
      </c>
      <c r="X132" s="162" t="s">
        <v>1655</v>
      </c>
      <c r="Y132" s="88"/>
      <c r="Z132" s="155"/>
      <c r="AE132" s="88" t="s">
        <v>1778</v>
      </c>
      <c r="AF132" s="88" t="s">
        <v>1779</v>
      </c>
    </row>
    <row r="133" spans="2:32" ht="17.45" customHeight="1">
      <c r="B133" s="96" t="e">
        <f t="shared" si="5"/>
        <v>#VALUE!</v>
      </c>
      <c r="C133" s="112">
        <v>36134</v>
      </c>
      <c r="D133" s="98" t="s">
        <v>1788</v>
      </c>
      <c r="E133" s="98">
        <v>7600093</v>
      </c>
      <c r="F133" s="113" t="s">
        <v>1781</v>
      </c>
      <c r="G133" s="100" t="s">
        <v>454</v>
      </c>
      <c r="H133" s="101" t="s">
        <v>1791</v>
      </c>
      <c r="I133" s="98" t="s">
        <v>1788</v>
      </c>
      <c r="J133" s="102">
        <v>2</v>
      </c>
      <c r="K133" s="103" t="s">
        <v>1784</v>
      </c>
      <c r="L133" s="124">
        <v>7</v>
      </c>
      <c r="M133" s="125" t="s">
        <v>1657</v>
      </c>
      <c r="N133" s="106" t="str">
        <f t="shared" ref="N133:N196" si="6">J133&amp;L133</f>
        <v>27</v>
      </c>
      <c r="O133" s="107"/>
      <c r="P133" s="114" t="s">
        <v>1783</v>
      </c>
      <c r="Q133" s="107"/>
      <c r="R133" s="115" t="s">
        <v>1658</v>
      </c>
      <c r="S133" s="92" t="s">
        <v>1577</v>
      </c>
      <c r="T133" s="110"/>
      <c r="U133" s="94" t="s">
        <v>1658</v>
      </c>
      <c r="V133" s="107"/>
      <c r="W133" s="117">
        <v>7600033</v>
      </c>
      <c r="X133" s="115" t="s">
        <v>1658</v>
      </c>
      <c r="Z133" s="110" t="s">
        <v>1690</v>
      </c>
      <c r="AE133" s="88" t="s">
        <v>1778</v>
      </c>
      <c r="AF133" s="88" t="s">
        <v>1779</v>
      </c>
    </row>
    <row r="134" spans="2:32" ht="17.45" customHeight="1">
      <c r="B134" s="96" t="e">
        <f>#REF!+1</f>
        <v>#REF!</v>
      </c>
      <c r="C134" s="112">
        <v>41271</v>
      </c>
      <c r="D134" s="98" t="s">
        <v>1790</v>
      </c>
      <c r="E134" s="98">
        <v>7600713</v>
      </c>
      <c r="F134" s="113" t="s">
        <v>1781</v>
      </c>
      <c r="G134" s="100" t="s">
        <v>456</v>
      </c>
      <c r="H134" s="101" t="s">
        <v>1791</v>
      </c>
      <c r="I134" s="98" t="s">
        <v>1790</v>
      </c>
      <c r="J134" s="102">
        <v>2</v>
      </c>
      <c r="K134" s="103" t="s">
        <v>1784</v>
      </c>
      <c r="L134" s="124">
        <v>7</v>
      </c>
      <c r="M134" s="125" t="s">
        <v>1657</v>
      </c>
      <c r="N134" s="106" t="str">
        <f t="shared" si="6"/>
        <v>27</v>
      </c>
      <c r="O134" s="107"/>
      <c r="P134" s="114" t="s">
        <v>1783</v>
      </c>
      <c r="Q134" s="107"/>
      <c r="R134" s="115" t="s">
        <v>1658</v>
      </c>
      <c r="S134" s="92" t="s">
        <v>1577</v>
      </c>
      <c r="T134" s="110"/>
      <c r="U134" s="94" t="s">
        <v>1658</v>
      </c>
      <c r="V134" s="107"/>
      <c r="W134" s="117">
        <v>7600033</v>
      </c>
      <c r="X134" s="115" t="s">
        <v>1658</v>
      </c>
      <c r="Z134" s="110" t="s">
        <v>1798</v>
      </c>
      <c r="AE134" s="88" t="s">
        <v>1778</v>
      </c>
      <c r="AF134" s="88" t="s">
        <v>1779</v>
      </c>
    </row>
    <row r="135" spans="2:32" ht="17.45" customHeight="1">
      <c r="B135" s="96" t="e">
        <f t="shared" ref="B135:B150" si="7">B134+1</f>
        <v>#REF!</v>
      </c>
      <c r="C135" s="112">
        <v>35781</v>
      </c>
      <c r="D135" s="98" t="s">
        <v>1783</v>
      </c>
      <c r="E135" s="98">
        <v>7600033</v>
      </c>
      <c r="F135" s="113" t="s">
        <v>1781</v>
      </c>
      <c r="G135" s="100" t="s">
        <v>461</v>
      </c>
      <c r="H135" s="101" t="s">
        <v>1791</v>
      </c>
      <c r="I135" s="98" t="s">
        <v>1783</v>
      </c>
      <c r="J135" s="102">
        <v>2</v>
      </c>
      <c r="K135" s="103" t="s">
        <v>1784</v>
      </c>
      <c r="L135" s="124">
        <v>7</v>
      </c>
      <c r="M135" s="125" t="s">
        <v>1657</v>
      </c>
      <c r="N135" s="106" t="str">
        <f t="shared" si="6"/>
        <v>27</v>
      </c>
      <c r="O135" s="107"/>
      <c r="P135" s="117" t="s">
        <v>1783</v>
      </c>
      <c r="Q135" s="107"/>
      <c r="R135" s="115" t="s">
        <v>1658</v>
      </c>
      <c r="S135" s="92" t="s">
        <v>1577</v>
      </c>
      <c r="T135" s="110"/>
      <c r="U135" s="94" t="s">
        <v>1658</v>
      </c>
      <c r="V135" s="107"/>
      <c r="W135" s="117">
        <v>7600033</v>
      </c>
      <c r="X135" s="115" t="s">
        <v>1658</v>
      </c>
      <c r="Z135" s="110" t="s">
        <v>1635</v>
      </c>
      <c r="AE135" s="88" t="s">
        <v>1778</v>
      </c>
      <c r="AF135" s="88" t="s">
        <v>1779</v>
      </c>
    </row>
    <row r="136" spans="2:32" ht="17.45" customHeight="1">
      <c r="B136" s="96" t="e">
        <f t="shared" si="7"/>
        <v>#REF!</v>
      </c>
      <c r="C136" s="112">
        <v>42733</v>
      </c>
      <c r="D136" s="98" t="s">
        <v>1792</v>
      </c>
      <c r="E136" s="98">
        <v>7600951</v>
      </c>
      <c r="F136" s="113" t="s">
        <v>1781</v>
      </c>
      <c r="G136" s="100" t="s">
        <v>464</v>
      </c>
      <c r="H136" s="101" t="s">
        <v>1791</v>
      </c>
      <c r="I136" s="98" t="s">
        <v>1792</v>
      </c>
      <c r="J136" s="102">
        <v>2</v>
      </c>
      <c r="K136" s="103" t="s">
        <v>1784</v>
      </c>
      <c r="L136" s="124">
        <v>7</v>
      </c>
      <c r="M136" s="125" t="s">
        <v>1657</v>
      </c>
      <c r="N136" s="106" t="str">
        <f t="shared" si="6"/>
        <v>27</v>
      </c>
      <c r="O136" s="107"/>
      <c r="P136" s="114" t="s">
        <v>1783</v>
      </c>
      <c r="Q136" s="107"/>
      <c r="R136" s="115" t="s">
        <v>1658</v>
      </c>
      <c r="S136" s="92" t="s">
        <v>1577</v>
      </c>
      <c r="T136" s="110"/>
      <c r="U136" s="94" t="s">
        <v>1658</v>
      </c>
      <c r="V136" s="107"/>
      <c r="W136" s="117">
        <v>7600033</v>
      </c>
      <c r="X136" s="115" t="s">
        <v>1658</v>
      </c>
      <c r="Z136" s="110" t="s">
        <v>1678</v>
      </c>
      <c r="AE136" s="88" t="s">
        <v>1778</v>
      </c>
      <c r="AF136" s="88" t="s">
        <v>1779</v>
      </c>
    </row>
    <row r="137" spans="2:32" ht="17.45" customHeight="1">
      <c r="B137" s="96" t="e">
        <f t="shared" si="7"/>
        <v>#REF!</v>
      </c>
      <c r="C137" s="112">
        <v>39973</v>
      </c>
      <c r="D137" s="98" t="s">
        <v>2148</v>
      </c>
      <c r="E137" s="98">
        <v>7600917</v>
      </c>
      <c r="F137" s="113" t="s">
        <v>2143</v>
      </c>
      <c r="G137" s="100" t="s">
        <v>542</v>
      </c>
      <c r="H137" s="101" t="s">
        <v>2117</v>
      </c>
      <c r="I137" s="98" t="s">
        <v>2148</v>
      </c>
      <c r="J137" s="102">
        <v>2</v>
      </c>
      <c r="K137" s="103" t="s">
        <v>1784</v>
      </c>
      <c r="L137" s="124">
        <v>7</v>
      </c>
      <c r="M137" s="125" t="s">
        <v>1657</v>
      </c>
      <c r="N137" s="106" t="str">
        <f t="shared" si="6"/>
        <v>27</v>
      </c>
      <c r="O137" s="107"/>
      <c r="P137" s="114" t="s">
        <v>2144</v>
      </c>
      <c r="Q137" s="107"/>
      <c r="R137" s="115" t="s">
        <v>1660</v>
      </c>
      <c r="S137" s="92" t="s">
        <v>1577</v>
      </c>
      <c r="T137" s="110"/>
      <c r="U137" s="94" t="s">
        <v>1660</v>
      </c>
      <c r="V137" s="107"/>
      <c r="W137" s="117">
        <v>7600528</v>
      </c>
      <c r="X137" s="115" t="s">
        <v>1660</v>
      </c>
      <c r="Z137" s="155"/>
      <c r="AE137" s="88" t="s">
        <v>1778</v>
      </c>
      <c r="AF137" s="88" t="s">
        <v>1779</v>
      </c>
    </row>
    <row r="138" spans="2:32" ht="17.45" customHeight="1">
      <c r="B138" s="96" t="e">
        <f t="shared" si="7"/>
        <v>#REF!</v>
      </c>
      <c r="C138" s="112">
        <v>39973</v>
      </c>
      <c r="D138" s="98" t="s">
        <v>2146</v>
      </c>
      <c r="E138" s="98">
        <v>7600916</v>
      </c>
      <c r="F138" s="113" t="s">
        <v>2143</v>
      </c>
      <c r="G138" s="100" t="s">
        <v>546</v>
      </c>
      <c r="H138" s="101" t="s">
        <v>2117</v>
      </c>
      <c r="I138" s="98" t="s">
        <v>2146</v>
      </c>
      <c r="J138" s="102">
        <v>2</v>
      </c>
      <c r="K138" s="103" t="s">
        <v>1784</v>
      </c>
      <c r="L138" s="124">
        <v>7</v>
      </c>
      <c r="M138" s="125" t="s">
        <v>1657</v>
      </c>
      <c r="N138" s="106" t="str">
        <f t="shared" si="6"/>
        <v>27</v>
      </c>
      <c r="O138" s="107"/>
      <c r="P138" s="114" t="s">
        <v>2144</v>
      </c>
      <c r="Q138" s="107"/>
      <c r="R138" s="115" t="s">
        <v>1660</v>
      </c>
      <c r="S138" s="92" t="s">
        <v>1577</v>
      </c>
      <c r="T138" s="110"/>
      <c r="U138" s="94" t="s">
        <v>1660</v>
      </c>
      <c r="V138" s="107"/>
      <c r="W138" s="117">
        <v>7600528</v>
      </c>
      <c r="X138" s="115" t="s">
        <v>1660</v>
      </c>
      <c r="Z138" s="155"/>
      <c r="AE138" s="88" t="s">
        <v>1778</v>
      </c>
      <c r="AF138" s="88" t="s">
        <v>1779</v>
      </c>
    </row>
    <row r="139" spans="2:32" ht="17.45" customHeight="1">
      <c r="B139" s="96" t="e">
        <f t="shared" si="7"/>
        <v>#REF!</v>
      </c>
      <c r="C139" s="112">
        <v>40294</v>
      </c>
      <c r="D139" s="98" t="s">
        <v>2144</v>
      </c>
      <c r="E139" s="98">
        <v>7600528</v>
      </c>
      <c r="F139" s="113" t="s">
        <v>2143</v>
      </c>
      <c r="G139" s="100" t="s">
        <v>498</v>
      </c>
      <c r="H139" s="101" t="s">
        <v>2117</v>
      </c>
      <c r="I139" s="98" t="s">
        <v>2144</v>
      </c>
      <c r="J139" s="102">
        <v>2</v>
      </c>
      <c r="K139" s="103" t="s">
        <v>1784</v>
      </c>
      <c r="L139" s="124">
        <v>7</v>
      </c>
      <c r="M139" s="125" t="s">
        <v>1657</v>
      </c>
      <c r="N139" s="106" t="str">
        <f t="shared" si="6"/>
        <v>27</v>
      </c>
      <c r="O139" s="107"/>
      <c r="P139" s="114" t="s">
        <v>2144</v>
      </c>
      <c r="Q139" s="107"/>
      <c r="R139" s="115" t="s">
        <v>1660</v>
      </c>
      <c r="S139" s="92" t="s">
        <v>1577</v>
      </c>
      <c r="T139" s="110"/>
      <c r="U139" s="94" t="s">
        <v>1660</v>
      </c>
      <c r="V139" s="107"/>
      <c r="W139" s="117">
        <v>7600528</v>
      </c>
      <c r="X139" s="115" t="s">
        <v>1660</v>
      </c>
      <c r="Z139" s="155"/>
      <c r="AE139" s="88" t="s">
        <v>1778</v>
      </c>
      <c r="AF139" s="88" t="s">
        <v>1779</v>
      </c>
    </row>
    <row r="140" spans="2:32" ht="17.45" customHeight="1">
      <c r="B140" s="96" t="e">
        <f t="shared" si="7"/>
        <v>#REF!</v>
      </c>
      <c r="C140" s="112">
        <v>40698</v>
      </c>
      <c r="D140" s="98" t="s">
        <v>2145</v>
      </c>
      <c r="E140" s="98">
        <v>7600584</v>
      </c>
      <c r="F140" s="113" t="s">
        <v>2143</v>
      </c>
      <c r="G140" s="100" t="s">
        <v>504</v>
      </c>
      <c r="H140" s="101" t="s">
        <v>2117</v>
      </c>
      <c r="I140" s="98" t="s">
        <v>2145</v>
      </c>
      <c r="J140" s="102">
        <v>2</v>
      </c>
      <c r="K140" s="103" t="s">
        <v>1784</v>
      </c>
      <c r="L140" s="124">
        <v>7</v>
      </c>
      <c r="M140" s="125" t="s">
        <v>1657</v>
      </c>
      <c r="N140" s="106" t="str">
        <f t="shared" si="6"/>
        <v>27</v>
      </c>
      <c r="O140" s="107"/>
      <c r="P140" s="114" t="s">
        <v>2144</v>
      </c>
      <c r="Q140" s="107"/>
      <c r="R140" s="115" t="s">
        <v>1660</v>
      </c>
      <c r="S140" s="92" t="s">
        <v>1577</v>
      </c>
      <c r="T140" s="110"/>
      <c r="U140" s="94" t="s">
        <v>1660</v>
      </c>
      <c r="V140" s="107"/>
      <c r="W140" s="117">
        <v>7600528</v>
      </c>
      <c r="X140" s="115" t="s">
        <v>1660</v>
      </c>
      <c r="Z140" s="155"/>
      <c r="AE140" s="88" t="s">
        <v>1778</v>
      </c>
      <c r="AF140" s="88" t="s">
        <v>1779</v>
      </c>
    </row>
    <row r="141" spans="2:32" ht="17.45" customHeight="1">
      <c r="B141" s="96" t="e">
        <f t="shared" si="7"/>
        <v>#REF!</v>
      </c>
      <c r="C141" s="112">
        <v>35770</v>
      </c>
      <c r="D141" s="98" t="s">
        <v>1841</v>
      </c>
      <c r="E141" s="98">
        <v>7600922</v>
      </c>
      <c r="F141" s="113" t="s">
        <v>1835</v>
      </c>
      <c r="G141" s="100" t="s">
        <v>430</v>
      </c>
      <c r="H141" s="101" t="s">
        <v>2197</v>
      </c>
      <c r="I141" s="98" t="s">
        <v>1841</v>
      </c>
      <c r="J141" s="102">
        <v>2</v>
      </c>
      <c r="K141" s="103" t="s">
        <v>1784</v>
      </c>
      <c r="L141" s="124">
        <v>7</v>
      </c>
      <c r="M141" s="125" t="s">
        <v>1657</v>
      </c>
      <c r="N141" s="106" t="str">
        <f t="shared" si="6"/>
        <v>27</v>
      </c>
      <c r="O141" s="107"/>
      <c r="P141" s="114" t="s">
        <v>1836</v>
      </c>
      <c r="Q141" s="107"/>
      <c r="R141" s="115" t="s">
        <v>1659</v>
      </c>
      <c r="S141" s="92" t="s">
        <v>1577</v>
      </c>
      <c r="T141" s="110"/>
      <c r="U141" s="94" t="s">
        <v>1659</v>
      </c>
      <c r="V141" s="107"/>
      <c r="W141" s="117">
        <v>7600549</v>
      </c>
      <c r="X141" s="115" t="s">
        <v>1659</v>
      </c>
      <c r="Z141" s="110" t="s">
        <v>1614</v>
      </c>
      <c r="AE141" s="88" t="s">
        <v>1778</v>
      </c>
      <c r="AF141" s="88" t="s">
        <v>1779</v>
      </c>
    </row>
    <row r="142" spans="2:32" ht="17.45" customHeight="1">
      <c r="B142" s="96" t="e">
        <f t="shared" si="7"/>
        <v>#REF!</v>
      </c>
      <c r="C142" s="112">
        <v>35934</v>
      </c>
      <c r="D142" s="98" t="s">
        <v>1844</v>
      </c>
      <c r="E142" s="98">
        <v>7600929</v>
      </c>
      <c r="F142" s="113" t="s">
        <v>1835</v>
      </c>
      <c r="G142" s="100" t="s">
        <v>433</v>
      </c>
      <c r="H142" s="101" t="s">
        <v>2197</v>
      </c>
      <c r="I142" s="98" t="s">
        <v>1844</v>
      </c>
      <c r="J142" s="102">
        <v>2</v>
      </c>
      <c r="K142" s="103" t="s">
        <v>1784</v>
      </c>
      <c r="L142" s="124">
        <v>7</v>
      </c>
      <c r="M142" s="125" t="s">
        <v>1657</v>
      </c>
      <c r="N142" s="106" t="str">
        <f t="shared" si="6"/>
        <v>27</v>
      </c>
      <c r="O142" s="107"/>
      <c r="P142" s="114" t="s">
        <v>1836</v>
      </c>
      <c r="Q142" s="107"/>
      <c r="R142" s="115" t="s">
        <v>1659</v>
      </c>
      <c r="S142" s="92" t="s">
        <v>1577</v>
      </c>
      <c r="T142" s="110"/>
      <c r="U142" s="94" t="s">
        <v>1659</v>
      </c>
      <c r="V142" s="107"/>
      <c r="W142" s="117">
        <v>7600549</v>
      </c>
      <c r="X142" s="115" t="s">
        <v>1659</v>
      </c>
      <c r="Z142" s="110" t="s">
        <v>1741</v>
      </c>
      <c r="AE142" s="88" t="s">
        <v>1778</v>
      </c>
      <c r="AF142" s="88" t="s">
        <v>1779</v>
      </c>
    </row>
    <row r="143" spans="2:32" ht="17.45" customHeight="1">
      <c r="B143" s="96" t="e">
        <f t="shared" si="7"/>
        <v>#REF!</v>
      </c>
      <c r="C143" s="112">
        <v>40455</v>
      </c>
      <c r="D143" s="98" t="s">
        <v>1836</v>
      </c>
      <c r="E143" s="98">
        <v>7600549</v>
      </c>
      <c r="F143" s="113" t="s">
        <v>1835</v>
      </c>
      <c r="G143" s="100" t="s">
        <v>410</v>
      </c>
      <c r="H143" s="101" t="s">
        <v>2194</v>
      </c>
      <c r="I143" s="98" t="s">
        <v>1836</v>
      </c>
      <c r="J143" s="102">
        <v>2</v>
      </c>
      <c r="K143" s="103" t="s">
        <v>1784</v>
      </c>
      <c r="L143" s="124">
        <v>7</v>
      </c>
      <c r="M143" s="125" t="s">
        <v>1657</v>
      </c>
      <c r="N143" s="106" t="str">
        <f t="shared" si="6"/>
        <v>27</v>
      </c>
      <c r="O143" s="107"/>
      <c r="P143" s="114" t="s">
        <v>1836</v>
      </c>
      <c r="Q143" s="107"/>
      <c r="R143" s="115" t="s">
        <v>1659</v>
      </c>
      <c r="S143" s="92" t="s">
        <v>1577</v>
      </c>
      <c r="T143" s="110"/>
      <c r="U143" s="94" t="s">
        <v>1659</v>
      </c>
      <c r="V143" s="107"/>
      <c r="W143" s="117">
        <v>7600549</v>
      </c>
      <c r="X143" s="115" t="s">
        <v>1659</v>
      </c>
      <c r="Z143" s="110" t="s">
        <v>1717</v>
      </c>
      <c r="AE143" s="88" t="s">
        <v>1778</v>
      </c>
      <c r="AF143" s="88" t="s">
        <v>1779</v>
      </c>
    </row>
    <row r="144" spans="2:32" ht="17.45" customHeight="1">
      <c r="B144" s="96" t="e">
        <f t="shared" si="7"/>
        <v>#REF!</v>
      </c>
      <c r="C144" s="112">
        <v>36648</v>
      </c>
      <c r="D144" s="98" t="s">
        <v>1842</v>
      </c>
      <c r="E144" s="98">
        <v>7600939</v>
      </c>
      <c r="F144" s="113" t="s">
        <v>1835</v>
      </c>
      <c r="G144" s="100" t="s">
        <v>435</v>
      </c>
      <c r="H144" s="101" t="s">
        <v>2197</v>
      </c>
      <c r="I144" s="98" t="s">
        <v>1842</v>
      </c>
      <c r="J144" s="102">
        <v>2</v>
      </c>
      <c r="K144" s="103" t="s">
        <v>1784</v>
      </c>
      <c r="L144" s="124">
        <v>7</v>
      </c>
      <c r="M144" s="125" t="s">
        <v>1657</v>
      </c>
      <c r="N144" s="106" t="str">
        <f t="shared" si="6"/>
        <v>27</v>
      </c>
      <c r="O144" s="107"/>
      <c r="P144" s="114" t="s">
        <v>1836</v>
      </c>
      <c r="Q144" s="107"/>
      <c r="R144" s="115" t="s">
        <v>1659</v>
      </c>
      <c r="S144" s="92" t="s">
        <v>1577</v>
      </c>
      <c r="T144" s="110"/>
      <c r="U144" s="94" t="s">
        <v>1659</v>
      </c>
      <c r="V144" s="107"/>
      <c r="W144" s="117">
        <v>7600549</v>
      </c>
      <c r="X144" s="115" t="s">
        <v>1659</v>
      </c>
      <c r="Z144" s="110" t="s">
        <v>1739</v>
      </c>
      <c r="AE144" s="88" t="s">
        <v>1778</v>
      </c>
      <c r="AF144" s="88" t="s">
        <v>1779</v>
      </c>
    </row>
    <row r="145" spans="1:52" ht="17.45" customHeight="1">
      <c r="B145" s="96" t="e">
        <f t="shared" si="7"/>
        <v>#REF!</v>
      </c>
      <c r="C145" s="112" t="s">
        <v>2192</v>
      </c>
      <c r="D145" s="98" t="s">
        <v>1840</v>
      </c>
      <c r="E145" s="98">
        <v>7600819</v>
      </c>
      <c r="F145" s="113" t="s">
        <v>1835</v>
      </c>
      <c r="G145" s="100" t="s">
        <v>416</v>
      </c>
      <c r="H145" s="101" t="s">
        <v>2194</v>
      </c>
      <c r="I145" s="98" t="s">
        <v>1840</v>
      </c>
      <c r="J145" s="102">
        <v>2</v>
      </c>
      <c r="K145" s="103" t="s">
        <v>1784</v>
      </c>
      <c r="L145" s="124">
        <v>7</v>
      </c>
      <c r="M145" s="125" t="s">
        <v>1657</v>
      </c>
      <c r="N145" s="106" t="str">
        <f t="shared" si="6"/>
        <v>27</v>
      </c>
      <c r="O145" s="107"/>
      <c r="P145" s="114" t="s">
        <v>1836</v>
      </c>
      <c r="Q145" s="107"/>
      <c r="R145" s="115" t="s">
        <v>1659</v>
      </c>
      <c r="S145" s="92" t="s">
        <v>1577</v>
      </c>
      <c r="T145" s="110"/>
      <c r="U145" s="94" t="s">
        <v>1659</v>
      </c>
      <c r="V145" s="107"/>
      <c r="W145" s="117">
        <v>7600549</v>
      </c>
      <c r="X145" s="115" t="s">
        <v>1659</v>
      </c>
      <c r="Z145" s="110" t="s">
        <v>1681</v>
      </c>
      <c r="AE145" s="88" t="s">
        <v>1778</v>
      </c>
      <c r="AF145" s="88" t="s">
        <v>1779</v>
      </c>
    </row>
    <row r="146" spans="1:52" ht="17.45" customHeight="1">
      <c r="B146" s="96" t="e">
        <f t="shared" si="7"/>
        <v>#REF!</v>
      </c>
      <c r="C146" s="112" t="s">
        <v>2203</v>
      </c>
      <c r="D146" s="98" t="s">
        <v>1838</v>
      </c>
      <c r="E146" s="98">
        <v>7600817</v>
      </c>
      <c r="F146" s="113" t="s">
        <v>1835</v>
      </c>
      <c r="G146" s="100" t="s">
        <v>419</v>
      </c>
      <c r="H146" s="101" t="s">
        <v>2194</v>
      </c>
      <c r="I146" s="98" t="s">
        <v>1838</v>
      </c>
      <c r="J146" s="102">
        <v>2</v>
      </c>
      <c r="K146" s="103" t="s">
        <v>1784</v>
      </c>
      <c r="L146" s="124">
        <v>7</v>
      </c>
      <c r="M146" s="125" t="s">
        <v>1657</v>
      </c>
      <c r="N146" s="106" t="str">
        <f t="shared" si="6"/>
        <v>27</v>
      </c>
      <c r="O146" s="107"/>
      <c r="P146" s="114" t="s">
        <v>1836</v>
      </c>
      <c r="Q146" s="107"/>
      <c r="R146" s="115" t="s">
        <v>1659</v>
      </c>
      <c r="S146" s="92" t="s">
        <v>1577</v>
      </c>
      <c r="T146" s="110"/>
      <c r="U146" s="94" t="s">
        <v>1659</v>
      </c>
      <c r="V146" s="107"/>
      <c r="W146" s="117">
        <v>7600549</v>
      </c>
      <c r="X146" s="115" t="s">
        <v>1659</v>
      </c>
      <c r="Z146" s="93" t="s">
        <v>1597</v>
      </c>
      <c r="AE146" s="88" t="s">
        <v>1778</v>
      </c>
      <c r="AF146" s="88" t="s">
        <v>1779</v>
      </c>
    </row>
    <row r="147" spans="1:52" ht="17.45" customHeight="1">
      <c r="B147" s="96" t="e">
        <f t="shared" si="7"/>
        <v>#REF!</v>
      </c>
      <c r="C147" s="112">
        <v>40999</v>
      </c>
      <c r="D147" s="98" t="s">
        <v>1837</v>
      </c>
      <c r="E147" s="98">
        <v>7600618</v>
      </c>
      <c r="F147" s="99" t="s">
        <v>1835</v>
      </c>
      <c r="G147" s="100" t="s">
        <v>422</v>
      </c>
      <c r="H147" s="101" t="s">
        <v>2194</v>
      </c>
      <c r="I147" s="98" t="s">
        <v>1837</v>
      </c>
      <c r="J147" s="102">
        <v>2</v>
      </c>
      <c r="K147" s="103" t="s">
        <v>1784</v>
      </c>
      <c r="L147" s="124">
        <v>7</v>
      </c>
      <c r="M147" s="125" t="s">
        <v>1657</v>
      </c>
      <c r="N147" s="106" t="str">
        <f t="shared" si="6"/>
        <v>27</v>
      </c>
      <c r="O147" s="107"/>
      <c r="P147" s="114" t="s">
        <v>1836</v>
      </c>
      <c r="Q147" s="107"/>
      <c r="R147" s="115" t="s">
        <v>1659</v>
      </c>
      <c r="S147" s="92" t="s">
        <v>1577</v>
      </c>
      <c r="T147" s="110"/>
      <c r="U147" s="94" t="s">
        <v>1659</v>
      </c>
      <c r="V147" s="107"/>
      <c r="W147" s="117">
        <v>7600549</v>
      </c>
      <c r="X147" s="115" t="s">
        <v>1659</v>
      </c>
      <c r="Z147" s="110" t="s">
        <v>1623</v>
      </c>
      <c r="AE147" s="88" t="s">
        <v>1778</v>
      </c>
      <c r="AF147" s="88" t="s">
        <v>1779</v>
      </c>
    </row>
    <row r="148" spans="1:52" s="166" customFormat="1" ht="17.45" customHeight="1">
      <c r="A148" s="56"/>
      <c r="B148" s="96" t="e">
        <f t="shared" si="7"/>
        <v>#REF!</v>
      </c>
      <c r="C148" s="112">
        <v>41351</v>
      </c>
      <c r="D148" s="98" t="s">
        <v>2293</v>
      </c>
      <c r="E148" s="98">
        <v>7600931</v>
      </c>
      <c r="F148" s="113" t="s">
        <v>1835</v>
      </c>
      <c r="G148" s="100" t="s">
        <v>438</v>
      </c>
      <c r="H148" s="101" t="s">
        <v>2194</v>
      </c>
      <c r="I148" s="98" t="s">
        <v>2293</v>
      </c>
      <c r="J148" s="288">
        <v>2</v>
      </c>
      <c r="K148" s="289" t="s">
        <v>1784</v>
      </c>
      <c r="L148" s="124">
        <v>7</v>
      </c>
      <c r="M148" s="125" t="s">
        <v>1657</v>
      </c>
      <c r="N148" s="106" t="str">
        <f t="shared" si="6"/>
        <v>27</v>
      </c>
      <c r="O148" s="107"/>
      <c r="P148" s="117" t="s">
        <v>1836</v>
      </c>
      <c r="Q148" s="107"/>
      <c r="R148" s="115" t="s">
        <v>1659</v>
      </c>
      <c r="S148" s="92" t="s">
        <v>1577</v>
      </c>
      <c r="T148" s="110"/>
      <c r="U148" s="94" t="s">
        <v>1659</v>
      </c>
      <c r="V148" s="107"/>
      <c r="W148" s="117">
        <v>7600549</v>
      </c>
      <c r="X148" s="115" t="s">
        <v>1659</v>
      </c>
      <c r="Y148" s="74"/>
      <c r="Z148" s="110" t="s">
        <v>2208</v>
      </c>
      <c r="AA148" s="129"/>
      <c r="AB148" s="74"/>
      <c r="AC148" s="74"/>
      <c r="AD148" s="74"/>
      <c r="AE148" s="88" t="s">
        <v>1778</v>
      </c>
      <c r="AF148" s="88" t="s">
        <v>1779</v>
      </c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</row>
    <row r="149" spans="1:52" ht="17.45" customHeight="1">
      <c r="B149" s="96" t="e">
        <f t="shared" si="7"/>
        <v>#REF!</v>
      </c>
      <c r="C149" s="112">
        <v>37225</v>
      </c>
      <c r="D149" s="98" t="s">
        <v>2084</v>
      </c>
      <c r="E149" s="98">
        <v>7600848</v>
      </c>
      <c r="F149" s="113" t="s">
        <v>2083</v>
      </c>
      <c r="G149" s="100" t="s">
        <v>694</v>
      </c>
      <c r="H149" s="101" t="s">
        <v>2095</v>
      </c>
      <c r="I149" s="98" t="s">
        <v>2084</v>
      </c>
      <c r="J149" s="102">
        <v>3</v>
      </c>
      <c r="K149" s="103" t="s">
        <v>1802</v>
      </c>
      <c r="L149" s="124">
        <v>1</v>
      </c>
      <c r="M149" s="125" t="s">
        <v>1661</v>
      </c>
      <c r="N149" s="106" t="str">
        <f t="shared" si="6"/>
        <v>31</v>
      </c>
      <c r="O149" s="107"/>
      <c r="P149" s="114" t="s">
        <v>2084</v>
      </c>
      <c r="Q149" s="107"/>
      <c r="R149" s="115" t="s">
        <v>1667</v>
      </c>
      <c r="S149" s="92" t="s">
        <v>1663</v>
      </c>
      <c r="T149" s="110"/>
      <c r="U149" s="94" t="s">
        <v>1667</v>
      </c>
      <c r="V149" s="107"/>
      <c r="W149" s="117">
        <v>7600848</v>
      </c>
      <c r="X149" s="115" t="s">
        <v>1667</v>
      </c>
      <c r="Z149" s="155"/>
      <c r="AE149" s="88" t="s">
        <v>1778</v>
      </c>
      <c r="AF149" s="88" t="s">
        <v>1779</v>
      </c>
    </row>
    <row r="150" spans="1:52" ht="17.45" customHeight="1">
      <c r="A150" s="166"/>
      <c r="B150" s="96" t="e">
        <f t="shared" si="7"/>
        <v>#REF!</v>
      </c>
      <c r="C150" s="112">
        <v>36686</v>
      </c>
      <c r="D150" s="98" t="s">
        <v>2086</v>
      </c>
      <c r="E150" s="98">
        <v>7600839</v>
      </c>
      <c r="F150" s="99" t="s">
        <v>2085</v>
      </c>
      <c r="G150" s="100" t="s">
        <v>585</v>
      </c>
      <c r="H150" s="101" t="s">
        <v>2098</v>
      </c>
      <c r="I150" s="98" t="s">
        <v>2086</v>
      </c>
      <c r="J150" s="102">
        <v>3</v>
      </c>
      <c r="K150" s="102" t="s">
        <v>1802</v>
      </c>
      <c r="L150" s="126">
        <v>1</v>
      </c>
      <c r="M150" s="125" t="s">
        <v>1661</v>
      </c>
      <c r="N150" s="106" t="str">
        <f t="shared" si="6"/>
        <v>31</v>
      </c>
      <c r="O150" s="107"/>
      <c r="P150" s="114" t="s">
        <v>2086</v>
      </c>
      <c r="Q150" s="107"/>
      <c r="R150" s="115" t="s">
        <v>1662</v>
      </c>
      <c r="S150" s="92" t="s">
        <v>1663</v>
      </c>
      <c r="T150" s="110"/>
      <c r="U150" s="94" t="s">
        <v>1662</v>
      </c>
      <c r="V150" s="107"/>
      <c r="W150" s="117">
        <v>7600839</v>
      </c>
      <c r="X150" s="115" t="s">
        <v>1662</v>
      </c>
      <c r="Z150" s="155"/>
      <c r="AE150" s="88" t="s">
        <v>1778</v>
      </c>
      <c r="AF150" s="88" t="s">
        <v>1779</v>
      </c>
      <c r="AG150" s="166"/>
      <c r="AH150" s="166"/>
      <c r="AI150" s="166"/>
      <c r="AJ150" s="166"/>
      <c r="AK150" s="166"/>
      <c r="AL150" s="166"/>
      <c r="AM150" s="166"/>
      <c r="AN150" s="166"/>
      <c r="AO150" s="166"/>
      <c r="AP150" s="166"/>
      <c r="AQ150" s="166"/>
      <c r="AR150" s="166"/>
      <c r="AS150" s="166"/>
      <c r="AT150" s="166"/>
      <c r="AU150" s="166"/>
      <c r="AV150" s="166"/>
      <c r="AW150" s="166"/>
      <c r="AX150" s="166"/>
      <c r="AY150" s="166"/>
      <c r="AZ150" s="166"/>
    </row>
    <row r="151" spans="1:52" ht="17.45" customHeight="1">
      <c r="B151" s="96" t="e">
        <f>#REF!+1</f>
        <v>#REF!</v>
      </c>
      <c r="C151" s="112">
        <v>38516</v>
      </c>
      <c r="D151" s="98" t="s">
        <v>2151</v>
      </c>
      <c r="E151" s="98">
        <v>7600832</v>
      </c>
      <c r="F151" s="113" t="s">
        <v>2149</v>
      </c>
      <c r="G151" s="100" t="s">
        <v>596</v>
      </c>
      <c r="H151" s="101" t="s">
        <v>2147</v>
      </c>
      <c r="I151" s="98" t="s">
        <v>2151</v>
      </c>
      <c r="J151" s="102">
        <v>3</v>
      </c>
      <c r="K151" s="103" t="s">
        <v>1802</v>
      </c>
      <c r="L151" s="124">
        <v>1</v>
      </c>
      <c r="M151" s="125" t="s">
        <v>1661</v>
      </c>
      <c r="N151" s="106" t="str">
        <f t="shared" si="6"/>
        <v>31</v>
      </c>
      <c r="O151" s="107"/>
      <c r="P151" s="114" t="s">
        <v>2151</v>
      </c>
      <c r="Q151" s="107"/>
      <c r="R151" s="115" t="s">
        <v>1665</v>
      </c>
      <c r="S151" s="92" t="s">
        <v>1663</v>
      </c>
      <c r="T151" s="110"/>
      <c r="U151" s="94" t="s">
        <v>1665</v>
      </c>
      <c r="V151" s="107"/>
      <c r="W151" s="117">
        <v>7600832</v>
      </c>
      <c r="X151" s="115" t="s">
        <v>1665</v>
      </c>
      <c r="Z151" s="155"/>
      <c r="AA151" s="166"/>
      <c r="AB151" s="166"/>
      <c r="AC151" s="166"/>
      <c r="AD151" s="166"/>
      <c r="AE151" s="88" t="s">
        <v>1778</v>
      </c>
      <c r="AF151" s="88" t="s">
        <v>1779</v>
      </c>
    </row>
    <row r="152" spans="1:52" ht="17.45" customHeight="1">
      <c r="B152" s="96" t="e">
        <f t="shared" ref="B152:B183" si="8">B151+1</f>
        <v>#REF!</v>
      </c>
      <c r="C152" s="112">
        <v>40087</v>
      </c>
      <c r="D152" s="98" t="s">
        <v>2223</v>
      </c>
      <c r="E152" s="98">
        <v>7600520</v>
      </c>
      <c r="F152" s="113" t="s">
        <v>2219</v>
      </c>
      <c r="G152" s="100" t="s">
        <v>601</v>
      </c>
      <c r="H152" s="101" t="s">
        <v>2215</v>
      </c>
      <c r="I152" s="98" t="s">
        <v>2223</v>
      </c>
      <c r="J152" s="102">
        <v>3</v>
      </c>
      <c r="K152" s="103" t="s">
        <v>1802</v>
      </c>
      <c r="L152" s="124">
        <v>1</v>
      </c>
      <c r="M152" s="125" t="s">
        <v>1661</v>
      </c>
      <c r="N152" s="106" t="str">
        <f t="shared" si="6"/>
        <v>31</v>
      </c>
      <c r="O152" s="107"/>
      <c r="P152" s="114" t="s">
        <v>2221</v>
      </c>
      <c r="Q152" s="107"/>
      <c r="R152" s="115" t="s">
        <v>1666</v>
      </c>
      <c r="S152" s="92" t="s">
        <v>1663</v>
      </c>
      <c r="T152" s="110"/>
      <c r="U152" s="94" t="s">
        <v>1666</v>
      </c>
      <c r="V152" s="107"/>
      <c r="W152" s="117">
        <v>7600520</v>
      </c>
      <c r="X152" s="115" t="s">
        <v>1666</v>
      </c>
      <c r="Z152" s="155"/>
      <c r="AE152" s="88" t="s">
        <v>1778</v>
      </c>
      <c r="AF152" s="88" t="s">
        <v>1779</v>
      </c>
    </row>
    <row r="153" spans="1:52" ht="17.45" customHeight="1">
      <c r="B153" s="96" t="e">
        <f t="shared" si="8"/>
        <v>#REF!</v>
      </c>
      <c r="C153" s="112">
        <v>37388</v>
      </c>
      <c r="D153" s="98" t="s">
        <v>2059</v>
      </c>
      <c r="E153" s="98">
        <v>7600312</v>
      </c>
      <c r="F153" s="113" t="s">
        <v>2055</v>
      </c>
      <c r="G153" s="100" t="s">
        <v>607</v>
      </c>
      <c r="H153" s="101" t="s">
        <v>2051</v>
      </c>
      <c r="I153" s="98" t="s">
        <v>2059</v>
      </c>
      <c r="J153" s="102">
        <v>3</v>
      </c>
      <c r="K153" s="103" t="s">
        <v>1802</v>
      </c>
      <c r="L153" s="124">
        <v>2</v>
      </c>
      <c r="M153" s="125" t="s">
        <v>1668</v>
      </c>
      <c r="N153" s="106" t="str">
        <f t="shared" si="6"/>
        <v>32</v>
      </c>
      <c r="O153" s="107"/>
      <c r="P153" s="114" t="s">
        <v>2056</v>
      </c>
      <c r="Q153" s="107"/>
      <c r="R153" s="115" t="s">
        <v>1671</v>
      </c>
      <c r="S153" s="92" t="s">
        <v>1577</v>
      </c>
      <c r="T153" s="110"/>
      <c r="U153" s="94" t="s">
        <v>1671</v>
      </c>
      <c r="V153" s="107"/>
      <c r="W153" s="117">
        <v>7600013</v>
      </c>
      <c r="X153" s="115" t="s">
        <v>1671</v>
      </c>
      <c r="Z153" s="155"/>
      <c r="AE153" s="88" t="s">
        <v>1778</v>
      </c>
      <c r="AF153" s="88" t="s">
        <v>1779</v>
      </c>
    </row>
    <row r="154" spans="1:52" ht="17.45" customHeight="1">
      <c r="B154" s="96" t="e">
        <f t="shared" si="8"/>
        <v>#REF!</v>
      </c>
      <c r="C154" s="112">
        <v>35466</v>
      </c>
      <c r="D154" s="98" t="s">
        <v>2056</v>
      </c>
      <c r="E154" s="98">
        <v>7600013</v>
      </c>
      <c r="F154" s="113" t="s">
        <v>2055</v>
      </c>
      <c r="G154" s="100" t="s">
        <v>614</v>
      </c>
      <c r="H154" s="101" t="s">
        <v>2051</v>
      </c>
      <c r="I154" s="98" t="s">
        <v>2056</v>
      </c>
      <c r="J154" s="102">
        <v>3</v>
      </c>
      <c r="K154" s="103" t="s">
        <v>1802</v>
      </c>
      <c r="L154" s="124">
        <v>2</v>
      </c>
      <c r="M154" s="125" t="s">
        <v>1668</v>
      </c>
      <c r="N154" s="106" t="str">
        <f t="shared" si="6"/>
        <v>32</v>
      </c>
      <c r="O154" s="107"/>
      <c r="P154" s="114" t="s">
        <v>2056</v>
      </c>
      <c r="Q154" s="107"/>
      <c r="R154" s="115" t="s">
        <v>1671</v>
      </c>
      <c r="S154" s="92" t="s">
        <v>1577</v>
      </c>
      <c r="T154" s="110"/>
      <c r="U154" s="94" t="s">
        <v>1671</v>
      </c>
      <c r="V154" s="107"/>
      <c r="W154" s="117">
        <v>7600013</v>
      </c>
      <c r="X154" s="115" t="s">
        <v>1671</v>
      </c>
      <c r="Z154" s="155"/>
      <c r="AE154" s="88" t="s">
        <v>1778</v>
      </c>
      <c r="AF154" s="88" t="s">
        <v>1779</v>
      </c>
    </row>
    <row r="155" spans="1:52" ht="17.45" customHeight="1">
      <c r="B155" s="96" t="e">
        <f t="shared" si="8"/>
        <v>#REF!</v>
      </c>
      <c r="C155" s="112">
        <v>40183</v>
      </c>
      <c r="D155" s="98" t="s">
        <v>2061</v>
      </c>
      <c r="E155" s="98">
        <v>7600526</v>
      </c>
      <c r="F155" s="113" t="s">
        <v>2055</v>
      </c>
      <c r="G155" s="100" t="s">
        <v>618</v>
      </c>
      <c r="H155" s="101" t="s">
        <v>2051</v>
      </c>
      <c r="I155" s="98" t="s">
        <v>2061</v>
      </c>
      <c r="J155" s="102">
        <v>3</v>
      </c>
      <c r="K155" s="103" t="s">
        <v>1802</v>
      </c>
      <c r="L155" s="124">
        <v>2</v>
      </c>
      <c r="M155" s="125" t="s">
        <v>1668</v>
      </c>
      <c r="N155" s="106" t="str">
        <f t="shared" si="6"/>
        <v>32</v>
      </c>
      <c r="O155" s="107"/>
      <c r="P155" s="114" t="s">
        <v>2056</v>
      </c>
      <c r="Q155" s="107"/>
      <c r="R155" s="115" t="s">
        <v>1671</v>
      </c>
      <c r="S155" s="92" t="s">
        <v>1577</v>
      </c>
      <c r="T155" s="110"/>
      <c r="U155" s="94" t="s">
        <v>1671</v>
      </c>
      <c r="V155" s="107"/>
      <c r="W155" s="117">
        <v>7600013</v>
      </c>
      <c r="X155" s="115" t="s">
        <v>1671</v>
      </c>
      <c r="Z155" s="155"/>
      <c r="AE155" s="88" t="s">
        <v>1778</v>
      </c>
      <c r="AF155" s="88" t="s">
        <v>1779</v>
      </c>
    </row>
    <row r="156" spans="1:52" ht="17.45" customHeight="1">
      <c r="B156" s="96" t="e">
        <f t="shared" si="8"/>
        <v>#REF!</v>
      </c>
      <c r="C156" s="112">
        <v>36972</v>
      </c>
      <c r="D156" s="98" t="s">
        <v>2057</v>
      </c>
      <c r="E156" s="98">
        <v>7600213</v>
      </c>
      <c r="F156" s="99" t="s">
        <v>2055</v>
      </c>
      <c r="G156" s="100" t="s">
        <v>621</v>
      </c>
      <c r="H156" s="101" t="s">
        <v>2051</v>
      </c>
      <c r="I156" s="98" t="s">
        <v>2057</v>
      </c>
      <c r="J156" s="102">
        <v>3</v>
      </c>
      <c r="K156" s="102" t="s">
        <v>1802</v>
      </c>
      <c r="L156" s="126">
        <v>2</v>
      </c>
      <c r="M156" s="125" t="s">
        <v>1668</v>
      </c>
      <c r="N156" s="106" t="str">
        <f t="shared" si="6"/>
        <v>32</v>
      </c>
      <c r="O156" s="107"/>
      <c r="P156" s="114" t="s">
        <v>2056</v>
      </c>
      <c r="Q156" s="107"/>
      <c r="R156" s="115" t="s">
        <v>1671</v>
      </c>
      <c r="S156" s="92" t="s">
        <v>1577</v>
      </c>
      <c r="T156" s="110"/>
      <c r="U156" s="94" t="s">
        <v>1671</v>
      </c>
      <c r="V156" s="107"/>
      <c r="W156" s="117">
        <v>7600013</v>
      </c>
      <c r="X156" s="115" t="s">
        <v>1671</v>
      </c>
      <c r="Z156" s="155"/>
      <c r="AE156" s="88" t="s">
        <v>1778</v>
      </c>
      <c r="AF156" s="88" t="s">
        <v>1779</v>
      </c>
    </row>
    <row r="157" spans="1:52" ht="17.45" customHeight="1">
      <c r="B157" s="96" t="e">
        <f t="shared" si="8"/>
        <v>#REF!</v>
      </c>
      <c r="C157" s="112">
        <v>43172</v>
      </c>
      <c r="D157" s="98" t="s">
        <v>2177</v>
      </c>
      <c r="E157" s="98">
        <v>7600989</v>
      </c>
      <c r="F157" s="113" t="s">
        <v>2176</v>
      </c>
      <c r="G157" s="100" t="s">
        <v>779</v>
      </c>
      <c r="H157" s="101" t="s">
        <v>2167</v>
      </c>
      <c r="I157" s="98" t="s">
        <v>2177</v>
      </c>
      <c r="J157" s="102">
        <v>3</v>
      </c>
      <c r="K157" s="103" t="s">
        <v>1802</v>
      </c>
      <c r="L157" s="124">
        <v>2</v>
      </c>
      <c r="M157" s="125" t="s">
        <v>1668</v>
      </c>
      <c r="N157" s="106" t="str">
        <f t="shared" si="6"/>
        <v>32</v>
      </c>
      <c r="O157" s="107"/>
      <c r="P157" s="114" t="s">
        <v>2177</v>
      </c>
      <c r="Q157" s="107"/>
      <c r="R157" s="115" t="s">
        <v>1692</v>
      </c>
      <c r="S157" s="92" t="s">
        <v>1577</v>
      </c>
      <c r="T157" s="110"/>
      <c r="U157" s="94" t="s">
        <v>1692</v>
      </c>
      <c r="V157" s="107"/>
      <c r="W157" s="117">
        <v>7600989</v>
      </c>
      <c r="X157" s="115" t="s">
        <v>1692</v>
      </c>
      <c r="Z157" s="155"/>
      <c r="AE157" s="88" t="s">
        <v>1778</v>
      </c>
      <c r="AF157" s="88" t="s">
        <v>1779</v>
      </c>
    </row>
    <row r="158" spans="1:52" ht="17.45" customHeight="1">
      <c r="B158" s="96" t="e">
        <f t="shared" si="8"/>
        <v>#REF!</v>
      </c>
      <c r="C158" s="112">
        <v>44362</v>
      </c>
      <c r="D158" s="98" t="s">
        <v>2183</v>
      </c>
      <c r="E158" s="98">
        <v>7601160</v>
      </c>
      <c r="F158" s="113" t="s">
        <v>2182</v>
      </c>
      <c r="G158" s="100" t="s">
        <v>784</v>
      </c>
      <c r="H158" s="101" t="s">
        <v>2173</v>
      </c>
      <c r="I158" s="98" t="s">
        <v>2183</v>
      </c>
      <c r="J158" s="126">
        <v>3</v>
      </c>
      <c r="K158" s="124" t="s">
        <v>1802</v>
      </c>
      <c r="L158" s="124">
        <v>2</v>
      </c>
      <c r="M158" s="125" t="s">
        <v>1668</v>
      </c>
      <c r="N158" s="106" t="str">
        <f t="shared" si="6"/>
        <v>32</v>
      </c>
      <c r="O158" s="107"/>
      <c r="P158" s="167" t="s">
        <v>2183</v>
      </c>
      <c r="Q158" s="107"/>
      <c r="R158" s="115" t="s">
        <v>1693</v>
      </c>
      <c r="S158" s="92" t="s">
        <v>1577</v>
      </c>
      <c r="T158" s="110"/>
      <c r="U158" s="94" t="s">
        <v>1693</v>
      </c>
      <c r="V158" s="107"/>
      <c r="W158" s="211">
        <v>7601160</v>
      </c>
      <c r="X158" s="115" t="s">
        <v>1693</v>
      </c>
      <c r="AE158" s="88" t="s">
        <v>1778</v>
      </c>
      <c r="AF158" s="88" t="s">
        <v>1779</v>
      </c>
    </row>
    <row r="159" spans="1:52" ht="17.45" customHeight="1">
      <c r="B159" s="96" t="e">
        <f t="shared" si="8"/>
        <v>#REF!</v>
      </c>
      <c r="C159" s="112">
        <v>45442</v>
      </c>
      <c r="D159" s="98" t="s">
        <v>2188</v>
      </c>
      <c r="E159" s="98">
        <v>7601240</v>
      </c>
      <c r="F159" s="113" t="s">
        <v>2182</v>
      </c>
      <c r="G159" s="100" t="s">
        <v>791</v>
      </c>
      <c r="H159" s="101" t="s">
        <v>2173</v>
      </c>
      <c r="I159" s="98" t="s">
        <v>2188</v>
      </c>
      <c r="J159" s="126">
        <v>3</v>
      </c>
      <c r="K159" s="124" t="s">
        <v>1802</v>
      </c>
      <c r="L159" s="124">
        <v>2</v>
      </c>
      <c r="M159" s="125" t="s">
        <v>1668</v>
      </c>
      <c r="N159" s="106" t="str">
        <f t="shared" si="6"/>
        <v>32</v>
      </c>
      <c r="O159" s="107"/>
      <c r="P159" s="167" t="s">
        <v>2183</v>
      </c>
      <c r="Q159" s="107"/>
      <c r="R159" s="115" t="s">
        <v>1693</v>
      </c>
      <c r="S159" s="92" t="s">
        <v>1577</v>
      </c>
      <c r="T159" s="110"/>
      <c r="U159" s="94" t="s">
        <v>1693</v>
      </c>
      <c r="V159" s="107"/>
      <c r="W159" s="211">
        <v>7601160</v>
      </c>
      <c r="X159" s="115" t="s">
        <v>1693</v>
      </c>
      <c r="AE159" s="88" t="s">
        <v>1778</v>
      </c>
      <c r="AF159" s="88" t="s">
        <v>1779</v>
      </c>
    </row>
    <row r="160" spans="1:52" ht="17.45" customHeight="1">
      <c r="B160" s="96" t="e">
        <f t="shared" si="8"/>
        <v>#REF!</v>
      </c>
      <c r="C160" s="112">
        <v>41247</v>
      </c>
      <c r="D160" s="98" t="s">
        <v>2294</v>
      </c>
      <c r="E160" s="98">
        <v>7600770</v>
      </c>
      <c r="F160" s="113" t="s">
        <v>1978</v>
      </c>
      <c r="G160" s="100" t="s">
        <v>646</v>
      </c>
      <c r="H160" s="101" t="s">
        <v>1806</v>
      </c>
      <c r="I160" s="98" t="s">
        <v>2294</v>
      </c>
      <c r="J160" s="126">
        <v>3</v>
      </c>
      <c r="K160" s="124" t="s">
        <v>1802</v>
      </c>
      <c r="L160" s="124">
        <v>3</v>
      </c>
      <c r="M160" s="125" t="s">
        <v>1677</v>
      </c>
      <c r="N160" s="106" t="str">
        <f t="shared" si="6"/>
        <v>33</v>
      </c>
      <c r="O160" s="107"/>
      <c r="P160" s="114" t="s">
        <v>1980</v>
      </c>
      <c r="Q160" s="107"/>
      <c r="R160" s="115" t="s">
        <v>1681</v>
      </c>
      <c r="S160" s="92" t="s">
        <v>1583</v>
      </c>
      <c r="T160" s="110"/>
      <c r="U160" s="94" t="s">
        <v>1681</v>
      </c>
      <c r="V160" s="107"/>
      <c r="W160" s="117">
        <v>7600690</v>
      </c>
      <c r="X160" s="115" t="s">
        <v>1681</v>
      </c>
      <c r="Z160" s="155"/>
      <c r="AE160" s="88" t="s">
        <v>1778</v>
      </c>
      <c r="AF160" s="88" t="s">
        <v>1779</v>
      </c>
    </row>
    <row r="161" spans="1:52" ht="17.45" customHeight="1">
      <c r="B161" s="96" t="e">
        <f t="shared" si="8"/>
        <v>#REF!</v>
      </c>
      <c r="C161" s="112">
        <v>41600</v>
      </c>
      <c r="D161" s="98" t="s">
        <v>1980</v>
      </c>
      <c r="E161" s="98">
        <v>7600690</v>
      </c>
      <c r="F161" s="99" t="s">
        <v>1978</v>
      </c>
      <c r="G161" s="100" t="s">
        <v>652</v>
      </c>
      <c r="H161" s="101" t="s">
        <v>1806</v>
      </c>
      <c r="I161" s="98" t="s">
        <v>1980</v>
      </c>
      <c r="J161" s="102">
        <v>3</v>
      </c>
      <c r="K161" s="103" t="s">
        <v>1802</v>
      </c>
      <c r="L161" s="124">
        <v>3</v>
      </c>
      <c r="M161" s="125" t="s">
        <v>1677</v>
      </c>
      <c r="N161" s="106" t="str">
        <f t="shared" si="6"/>
        <v>33</v>
      </c>
      <c r="O161" s="107"/>
      <c r="P161" s="114" t="s">
        <v>1980</v>
      </c>
      <c r="Q161" s="107"/>
      <c r="R161" s="115" t="s">
        <v>1681</v>
      </c>
      <c r="S161" s="92" t="s">
        <v>1583</v>
      </c>
      <c r="T161" s="110"/>
      <c r="U161" s="94" t="s">
        <v>1681</v>
      </c>
      <c r="V161" s="107"/>
      <c r="W161" s="117">
        <v>7600690</v>
      </c>
      <c r="X161" s="115" t="s">
        <v>1681</v>
      </c>
      <c r="Z161" s="155"/>
      <c r="AE161" s="88" t="s">
        <v>1778</v>
      </c>
      <c r="AF161" s="88" t="s">
        <v>1779</v>
      </c>
    </row>
    <row r="162" spans="1:52" ht="17.45" customHeight="1">
      <c r="B162" s="96" t="e">
        <f t="shared" si="8"/>
        <v>#REF!</v>
      </c>
      <c r="C162" s="112">
        <v>41999</v>
      </c>
      <c r="D162" s="98" t="s">
        <v>1982</v>
      </c>
      <c r="E162" s="98">
        <v>7600820</v>
      </c>
      <c r="F162" s="99" t="s">
        <v>1978</v>
      </c>
      <c r="G162" s="100" t="s">
        <v>657</v>
      </c>
      <c r="H162" s="101" t="s">
        <v>1806</v>
      </c>
      <c r="I162" s="98" t="s">
        <v>1982</v>
      </c>
      <c r="J162" s="126">
        <v>3</v>
      </c>
      <c r="K162" s="124" t="s">
        <v>1802</v>
      </c>
      <c r="L162" s="124">
        <v>3</v>
      </c>
      <c r="M162" s="125" t="s">
        <v>1677</v>
      </c>
      <c r="N162" s="106" t="str">
        <f t="shared" si="6"/>
        <v>33</v>
      </c>
      <c r="O162" s="107"/>
      <c r="P162" s="114" t="s">
        <v>1980</v>
      </c>
      <c r="Q162" s="107"/>
      <c r="R162" s="115" t="s">
        <v>1681</v>
      </c>
      <c r="S162" s="92" t="s">
        <v>1583</v>
      </c>
      <c r="T162" s="110"/>
      <c r="U162" s="94" t="s">
        <v>1681</v>
      </c>
      <c r="V162" s="107"/>
      <c r="W162" s="117">
        <v>7600690</v>
      </c>
      <c r="X162" s="115" t="s">
        <v>1681</v>
      </c>
      <c r="Z162" s="155"/>
      <c r="AE162" s="88" t="s">
        <v>1778</v>
      </c>
      <c r="AF162" s="88" t="s">
        <v>1779</v>
      </c>
    </row>
    <row r="163" spans="1:52" ht="17.45" customHeight="1">
      <c r="B163" s="96" t="e">
        <f t="shared" si="8"/>
        <v>#REF!</v>
      </c>
      <c r="C163" s="112">
        <v>41989</v>
      </c>
      <c r="D163" s="98" t="s">
        <v>1981</v>
      </c>
      <c r="E163" s="98">
        <v>7600813</v>
      </c>
      <c r="F163" s="99" t="s">
        <v>1978</v>
      </c>
      <c r="G163" s="100" t="s">
        <v>662</v>
      </c>
      <c r="H163" s="101" t="s">
        <v>1806</v>
      </c>
      <c r="I163" s="98" t="s">
        <v>1981</v>
      </c>
      <c r="J163" s="126">
        <v>3</v>
      </c>
      <c r="K163" s="124" t="s">
        <v>1802</v>
      </c>
      <c r="L163" s="124">
        <v>3</v>
      </c>
      <c r="M163" s="125" t="s">
        <v>1677</v>
      </c>
      <c r="N163" s="106" t="str">
        <f t="shared" si="6"/>
        <v>33</v>
      </c>
      <c r="O163" s="107"/>
      <c r="P163" s="114" t="s">
        <v>1980</v>
      </c>
      <c r="Q163" s="107"/>
      <c r="R163" s="115" t="s">
        <v>1681</v>
      </c>
      <c r="S163" s="92" t="s">
        <v>1583</v>
      </c>
      <c r="T163" s="110"/>
      <c r="U163" s="94" t="s">
        <v>1681</v>
      </c>
      <c r="V163" s="107"/>
      <c r="W163" s="117">
        <v>7600690</v>
      </c>
      <c r="X163" s="115" t="s">
        <v>1681</v>
      </c>
      <c r="Z163" s="155"/>
      <c r="AE163" s="88" t="s">
        <v>1778</v>
      </c>
      <c r="AF163" s="88" t="s">
        <v>1779</v>
      </c>
    </row>
    <row r="164" spans="1:52" ht="17.45" customHeight="1">
      <c r="B164" s="96" t="e">
        <f t="shared" si="8"/>
        <v>#REF!</v>
      </c>
      <c r="C164" s="112">
        <v>42094</v>
      </c>
      <c r="D164" s="98" t="s">
        <v>1829</v>
      </c>
      <c r="E164" s="98">
        <v>7600878</v>
      </c>
      <c r="F164" s="113" t="s">
        <v>1824</v>
      </c>
      <c r="G164" s="100" t="s">
        <v>1156</v>
      </c>
      <c r="H164" s="101" t="s">
        <v>1839</v>
      </c>
      <c r="I164" s="98" t="s">
        <v>1829</v>
      </c>
      <c r="J164" s="126">
        <v>3</v>
      </c>
      <c r="K164" s="124" t="s">
        <v>1802</v>
      </c>
      <c r="L164" s="124">
        <v>3</v>
      </c>
      <c r="M164" s="125" t="s">
        <v>1677</v>
      </c>
      <c r="N164" s="106" t="str">
        <f t="shared" si="6"/>
        <v>33</v>
      </c>
      <c r="O164" s="107"/>
      <c r="P164" s="114" t="s">
        <v>1829</v>
      </c>
      <c r="Q164" s="107"/>
      <c r="R164" s="115" t="s">
        <v>1678</v>
      </c>
      <c r="S164" s="92" t="s">
        <v>1583</v>
      </c>
      <c r="T164" s="110"/>
      <c r="U164" s="94" t="s">
        <v>1678</v>
      </c>
      <c r="V164" s="107"/>
      <c r="W164" s="117">
        <v>7600878</v>
      </c>
      <c r="X164" s="115" t="s">
        <v>1678</v>
      </c>
      <c r="Y164" s="147"/>
      <c r="Z164" s="110" t="s">
        <v>1619</v>
      </c>
      <c r="AE164" s="88" t="s">
        <v>1778</v>
      </c>
      <c r="AF164" s="88" t="s">
        <v>1779</v>
      </c>
    </row>
    <row r="165" spans="1:52" ht="17.45" customHeight="1">
      <c r="B165" s="96" t="e">
        <f t="shared" si="8"/>
        <v>#REF!</v>
      </c>
      <c r="C165" s="112">
        <v>35468</v>
      </c>
      <c r="D165" s="98" t="s">
        <v>1830</v>
      </c>
      <c r="E165" s="98">
        <v>7601134</v>
      </c>
      <c r="F165" s="113" t="s">
        <v>1824</v>
      </c>
      <c r="G165" s="100" t="s">
        <v>666</v>
      </c>
      <c r="H165" s="101" t="s">
        <v>1839</v>
      </c>
      <c r="I165" s="98" t="s">
        <v>1830</v>
      </c>
      <c r="J165" s="126">
        <v>3</v>
      </c>
      <c r="K165" s="124" t="s">
        <v>1802</v>
      </c>
      <c r="L165" s="124">
        <v>3</v>
      </c>
      <c r="M165" s="125" t="s">
        <v>1677</v>
      </c>
      <c r="N165" s="106" t="str">
        <f t="shared" si="6"/>
        <v>33</v>
      </c>
      <c r="O165" s="107"/>
      <c r="P165" s="114" t="s">
        <v>1829</v>
      </c>
      <c r="Q165" s="107"/>
      <c r="R165" s="115" t="s">
        <v>1678</v>
      </c>
      <c r="S165" s="92" t="s">
        <v>1583</v>
      </c>
      <c r="T165" s="110"/>
      <c r="U165" s="94" t="s">
        <v>1678</v>
      </c>
      <c r="V165" s="107"/>
      <c r="W165" s="117">
        <v>7600878</v>
      </c>
      <c r="X165" s="115" t="s">
        <v>1678</v>
      </c>
      <c r="Y165" s="147"/>
      <c r="Z165" s="110" t="s">
        <v>1639</v>
      </c>
      <c r="AE165" s="88" t="s">
        <v>1778</v>
      </c>
      <c r="AF165" s="88" t="s">
        <v>1779</v>
      </c>
    </row>
    <row r="166" spans="1:52" ht="17.45" customHeight="1">
      <c r="B166" s="96" t="e">
        <f t="shared" si="8"/>
        <v>#REF!</v>
      </c>
      <c r="C166" s="112">
        <v>40542</v>
      </c>
      <c r="D166" s="98" t="s">
        <v>1825</v>
      </c>
      <c r="E166" s="98">
        <v>7600968</v>
      </c>
      <c r="F166" s="113" t="s">
        <v>1824</v>
      </c>
      <c r="G166" s="100" t="s">
        <v>673</v>
      </c>
      <c r="H166" s="101" t="s">
        <v>1839</v>
      </c>
      <c r="I166" s="98" t="s">
        <v>1825</v>
      </c>
      <c r="J166" s="102">
        <v>3</v>
      </c>
      <c r="K166" s="103" t="s">
        <v>1802</v>
      </c>
      <c r="L166" s="124">
        <v>3</v>
      </c>
      <c r="M166" s="125" t="s">
        <v>1677</v>
      </c>
      <c r="N166" s="106" t="str">
        <f t="shared" si="6"/>
        <v>33</v>
      </c>
      <c r="O166" s="107"/>
      <c r="P166" s="114" t="s">
        <v>1829</v>
      </c>
      <c r="Q166" s="107"/>
      <c r="R166" s="115" t="s">
        <v>1678</v>
      </c>
      <c r="S166" s="92" t="s">
        <v>1583</v>
      </c>
      <c r="T166" s="110"/>
      <c r="U166" s="94" t="s">
        <v>1678</v>
      </c>
      <c r="V166" s="107"/>
      <c r="W166" s="117">
        <v>7600878</v>
      </c>
      <c r="X166" s="115" t="s">
        <v>1678</v>
      </c>
      <c r="Y166" s="147"/>
      <c r="Z166" s="110" t="s">
        <v>1691</v>
      </c>
      <c r="AE166" s="88" t="s">
        <v>1778</v>
      </c>
      <c r="AF166" s="88" t="s">
        <v>1779</v>
      </c>
    </row>
    <row r="167" spans="1:52" ht="17.45" customHeight="1">
      <c r="B167" s="96" t="e">
        <f t="shared" si="8"/>
        <v>#REF!</v>
      </c>
      <c r="C167" s="112">
        <v>42366</v>
      </c>
      <c r="D167" s="98" t="s">
        <v>2295</v>
      </c>
      <c r="E167" s="98">
        <v>7600969</v>
      </c>
      <c r="F167" s="113" t="s">
        <v>1824</v>
      </c>
      <c r="G167" s="100" t="s">
        <v>2275</v>
      </c>
      <c r="H167" s="101" t="s">
        <v>1839</v>
      </c>
      <c r="I167" s="98" t="s">
        <v>2295</v>
      </c>
      <c r="J167" s="102">
        <v>3</v>
      </c>
      <c r="K167" s="103" t="s">
        <v>1802</v>
      </c>
      <c r="L167" s="124">
        <v>3</v>
      </c>
      <c r="M167" s="125" t="s">
        <v>1677</v>
      </c>
      <c r="N167" s="106" t="str">
        <f t="shared" si="6"/>
        <v>33</v>
      </c>
      <c r="O167" s="107"/>
      <c r="P167" s="114" t="s">
        <v>1829</v>
      </c>
      <c r="Q167" s="107"/>
      <c r="R167" s="115" t="s">
        <v>1678</v>
      </c>
      <c r="S167" s="92" t="s">
        <v>1583</v>
      </c>
      <c r="T167" s="110"/>
      <c r="U167" s="94" t="s">
        <v>1678</v>
      </c>
      <c r="V167" s="107"/>
      <c r="W167" s="117">
        <v>7600878</v>
      </c>
      <c r="X167" s="115" t="s">
        <v>1678</v>
      </c>
      <c r="Y167" s="147"/>
      <c r="Z167" s="110" t="s">
        <v>1680</v>
      </c>
      <c r="AE167" s="88" t="s">
        <v>1778</v>
      </c>
      <c r="AF167" s="88" t="s">
        <v>1779</v>
      </c>
    </row>
    <row r="168" spans="1:52" ht="17.45" customHeight="1">
      <c r="B168" s="96" t="e">
        <f t="shared" si="8"/>
        <v>#REF!</v>
      </c>
      <c r="C168" s="112">
        <v>36091</v>
      </c>
      <c r="D168" s="98" t="s">
        <v>1914</v>
      </c>
      <c r="E168" s="98">
        <v>7600088</v>
      </c>
      <c r="F168" s="113" t="s">
        <v>1913</v>
      </c>
      <c r="G168" s="100" t="s">
        <v>771</v>
      </c>
      <c r="H168" s="101" t="s">
        <v>1894</v>
      </c>
      <c r="I168" s="98" t="s">
        <v>1914</v>
      </c>
      <c r="J168" s="102">
        <v>3</v>
      </c>
      <c r="K168" s="103" t="s">
        <v>1802</v>
      </c>
      <c r="L168" s="124">
        <v>3</v>
      </c>
      <c r="M168" s="125" t="s">
        <v>1677</v>
      </c>
      <c r="N168" s="106" t="str">
        <f t="shared" si="6"/>
        <v>33</v>
      </c>
      <c r="O168" s="107"/>
      <c r="P168" s="114" t="s">
        <v>1914</v>
      </c>
      <c r="Q168" s="107"/>
      <c r="R168" s="115" t="s">
        <v>1691</v>
      </c>
      <c r="S168" s="92" t="s">
        <v>1583</v>
      </c>
      <c r="T168" s="110"/>
      <c r="U168" s="94" t="s">
        <v>1691</v>
      </c>
      <c r="V168" s="107"/>
      <c r="W168" s="117">
        <v>7600088</v>
      </c>
      <c r="X168" s="115" t="s">
        <v>1691</v>
      </c>
      <c r="Z168" s="110" t="s">
        <v>1704</v>
      </c>
      <c r="AE168" s="88" t="s">
        <v>1778</v>
      </c>
      <c r="AF168" s="88" t="s">
        <v>1779</v>
      </c>
    </row>
    <row r="169" spans="1:52" ht="17.45" customHeight="1">
      <c r="B169" s="96" t="e">
        <f t="shared" si="8"/>
        <v>#REF!</v>
      </c>
      <c r="C169" s="112">
        <v>36301</v>
      </c>
      <c r="D169" s="98" t="s">
        <v>1915</v>
      </c>
      <c r="E169" s="98">
        <v>7600111</v>
      </c>
      <c r="F169" s="113" t="s">
        <v>1913</v>
      </c>
      <c r="G169" s="100" t="s">
        <v>776</v>
      </c>
      <c r="H169" s="101" t="s">
        <v>1894</v>
      </c>
      <c r="I169" s="98" t="s">
        <v>1915</v>
      </c>
      <c r="J169" s="102">
        <v>3</v>
      </c>
      <c r="K169" s="103" t="s">
        <v>1802</v>
      </c>
      <c r="L169" s="124">
        <v>3</v>
      </c>
      <c r="M169" s="125" t="s">
        <v>1677</v>
      </c>
      <c r="N169" s="106" t="str">
        <f t="shared" si="6"/>
        <v>33</v>
      </c>
      <c r="O169" s="107"/>
      <c r="P169" s="114" t="s">
        <v>1914</v>
      </c>
      <c r="Q169" s="107"/>
      <c r="R169" s="115" t="s">
        <v>1691</v>
      </c>
      <c r="S169" s="92" t="s">
        <v>1583</v>
      </c>
      <c r="T169" s="110"/>
      <c r="U169" s="94" t="s">
        <v>1691</v>
      </c>
      <c r="V169" s="107"/>
      <c r="W169" s="117">
        <v>7600088</v>
      </c>
      <c r="X169" s="115" t="s">
        <v>1691</v>
      </c>
      <c r="Z169" s="110" t="s">
        <v>1897</v>
      </c>
      <c r="AA169" s="182"/>
      <c r="AB169" s="182"/>
      <c r="AC169" s="182"/>
      <c r="AD169" s="182"/>
      <c r="AE169" s="88" t="s">
        <v>1778</v>
      </c>
      <c r="AF169" s="88" t="s">
        <v>1779</v>
      </c>
    </row>
    <row r="170" spans="1:52" ht="17.45" customHeight="1">
      <c r="B170" s="96" t="e">
        <f t="shared" si="8"/>
        <v>#REF!</v>
      </c>
      <c r="C170" s="112">
        <v>40725</v>
      </c>
      <c r="D170" s="98" t="s">
        <v>2174</v>
      </c>
      <c r="E170" s="98">
        <v>7600592</v>
      </c>
      <c r="F170" s="113" t="s">
        <v>2172</v>
      </c>
      <c r="G170" s="100" t="s">
        <v>624</v>
      </c>
      <c r="H170" s="101" t="s">
        <v>2058</v>
      </c>
      <c r="I170" s="98" t="s">
        <v>2174</v>
      </c>
      <c r="J170" s="102">
        <v>3</v>
      </c>
      <c r="K170" s="103" t="s">
        <v>1802</v>
      </c>
      <c r="L170" s="124">
        <v>4</v>
      </c>
      <c r="M170" s="125" t="s">
        <v>1682</v>
      </c>
      <c r="N170" s="106" t="str">
        <f t="shared" si="6"/>
        <v>34</v>
      </c>
      <c r="O170" s="107"/>
      <c r="P170" s="114" t="s">
        <v>2174</v>
      </c>
      <c r="Q170" s="107"/>
      <c r="R170" s="115" t="s">
        <v>1673</v>
      </c>
      <c r="S170" s="92" t="s">
        <v>1584</v>
      </c>
      <c r="T170" s="110"/>
      <c r="U170" s="94" t="s">
        <v>1673</v>
      </c>
      <c r="V170" s="107"/>
      <c r="W170" s="117">
        <v>7600592</v>
      </c>
      <c r="X170" s="115" t="s">
        <v>1673</v>
      </c>
      <c r="Z170" s="155"/>
      <c r="AE170" s="88" t="s">
        <v>1778</v>
      </c>
      <c r="AF170" s="88" t="s">
        <v>1779</v>
      </c>
    </row>
    <row r="171" spans="1:52" ht="17.45" customHeight="1">
      <c r="B171" s="96" t="e">
        <f t="shared" si="8"/>
        <v>#REF!</v>
      </c>
      <c r="C171" s="146">
        <v>42625</v>
      </c>
      <c r="D171" s="98" t="s">
        <v>2175</v>
      </c>
      <c r="E171" s="118">
        <v>7601201</v>
      </c>
      <c r="F171" s="168" t="s">
        <v>2172</v>
      </c>
      <c r="G171" s="169" t="s">
        <v>630</v>
      </c>
      <c r="H171" s="170" t="s">
        <v>2060</v>
      </c>
      <c r="I171" s="98" t="s">
        <v>2175</v>
      </c>
      <c r="J171" s="189">
        <v>3</v>
      </c>
      <c r="K171" s="131" t="s">
        <v>1802</v>
      </c>
      <c r="L171" s="124">
        <v>4</v>
      </c>
      <c r="M171" s="125" t="s">
        <v>1682</v>
      </c>
      <c r="N171" s="106" t="str">
        <f t="shared" si="6"/>
        <v>34</v>
      </c>
      <c r="O171" s="107"/>
      <c r="P171" s="108" t="s">
        <v>2174</v>
      </c>
      <c r="Q171" s="107"/>
      <c r="R171" s="109" t="s">
        <v>1673</v>
      </c>
      <c r="S171" s="92" t="s">
        <v>1584</v>
      </c>
      <c r="T171" s="110"/>
      <c r="U171" s="94" t="s">
        <v>1673</v>
      </c>
      <c r="V171" s="107"/>
      <c r="W171" s="214">
        <v>7600592</v>
      </c>
      <c r="X171" s="109" t="s">
        <v>1673</v>
      </c>
      <c r="Z171" s="155"/>
      <c r="AE171" s="88" t="s">
        <v>1778</v>
      </c>
      <c r="AF171" s="88" t="s">
        <v>1779</v>
      </c>
    </row>
    <row r="172" spans="1:52" s="86" customFormat="1" ht="17.45" customHeight="1">
      <c r="A172" s="56"/>
      <c r="B172" s="96" t="e">
        <f t="shared" si="8"/>
        <v>#REF!</v>
      </c>
      <c r="C172" s="148">
        <v>43829</v>
      </c>
      <c r="D172" s="98" t="s">
        <v>2054</v>
      </c>
      <c r="E172" s="118">
        <v>7601104</v>
      </c>
      <c r="F172" s="242" t="s">
        <v>2053</v>
      </c>
      <c r="G172" s="171" t="s">
        <v>635</v>
      </c>
      <c r="H172" s="175" t="s">
        <v>2092</v>
      </c>
      <c r="I172" s="98" t="s">
        <v>2054</v>
      </c>
      <c r="J172" s="172">
        <v>3</v>
      </c>
      <c r="K172" s="130" t="s">
        <v>1802</v>
      </c>
      <c r="L172" s="124">
        <v>4</v>
      </c>
      <c r="M172" s="125" t="s">
        <v>1682</v>
      </c>
      <c r="N172" s="106" t="str">
        <f t="shared" si="6"/>
        <v>34</v>
      </c>
      <c r="O172" s="107"/>
      <c r="P172" s="174" t="s">
        <v>2054</v>
      </c>
      <c r="Q172" s="107"/>
      <c r="R172" s="115" t="s">
        <v>1669</v>
      </c>
      <c r="S172" s="92" t="s">
        <v>1584</v>
      </c>
      <c r="T172" s="110"/>
      <c r="U172" s="94" t="s">
        <v>1669</v>
      </c>
      <c r="V172" s="107"/>
      <c r="W172" s="214">
        <v>7601104</v>
      </c>
      <c r="X172" s="115" t="s">
        <v>1669</v>
      </c>
      <c r="Y172" s="74"/>
      <c r="Z172" s="155"/>
      <c r="AA172" s="129"/>
      <c r="AB172" s="74"/>
      <c r="AC172" s="74"/>
      <c r="AD172" s="74"/>
      <c r="AE172" s="88" t="s">
        <v>1778</v>
      </c>
      <c r="AF172" s="88" t="s">
        <v>1779</v>
      </c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</row>
    <row r="173" spans="1:52" ht="17.45" customHeight="1">
      <c r="B173" s="96" t="e">
        <f t="shared" si="8"/>
        <v>#REF!</v>
      </c>
      <c r="C173" s="112">
        <v>41273</v>
      </c>
      <c r="D173" s="98" t="s">
        <v>2121</v>
      </c>
      <c r="E173" s="98">
        <v>7601180</v>
      </c>
      <c r="F173" s="113" t="s">
        <v>2114</v>
      </c>
      <c r="G173" s="100" t="s">
        <v>699</v>
      </c>
      <c r="H173" s="154" t="s">
        <v>2119</v>
      </c>
      <c r="I173" s="98" t="s">
        <v>2121</v>
      </c>
      <c r="J173" s="295">
        <v>3</v>
      </c>
      <c r="K173" s="130" t="s">
        <v>1802</v>
      </c>
      <c r="L173" s="103">
        <v>4</v>
      </c>
      <c r="M173" s="173" t="s">
        <v>1682</v>
      </c>
      <c r="N173" s="106" t="str">
        <f t="shared" si="6"/>
        <v>34</v>
      </c>
      <c r="O173" s="107"/>
      <c r="P173" s="174" t="s">
        <v>2115</v>
      </c>
      <c r="Q173" s="107"/>
      <c r="R173" s="115" t="s">
        <v>1683</v>
      </c>
      <c r="S173" s="92" t="s">
        <v>1584</v>
      </c>
      <c r="T173" s="110"/>
      <c r="U173" s="94" t="s">
        <v>1683</v>
      </c>
      <c r="V173" s="107"/>
      <c r="W173" s="214">
        <v>7600822</v>
      </c>
      <c r="X173" s="115" t="s">
        <v>1683</v>
      </c>
      <c r="Z173" s="155"/>
      <c r="AE173" s="88" t="s">
        <v>1778</v>
      </c>
      <c r="AF173" s="88" t="s">
        <v>1779</v>
      </c>
    </row>
    <row r="174" spans="1:52" ht="17.45" customHeight="1">
      <c r="A174" s="86"/>
      <c r="B174" s="96" t="e">
        <f t="shared" si="8"/>
        <v>#REF!</v>
      </c>
      <c r="C174" s="148">
        <v>41638</v>
      </c>
      <c r="D174" s="98" t="s">
        <v>2118</v>
      </c>
      <c r="E174" s="118">
        <v>7600875</v>
      </c>
      <c r="F174" s="164" t="s">
        <v>2114</v>
      </c>
      <c r="G174" s="165" t="s">
        <v>707</v>
      </c>
      <c r="H174" s="171" t="s">
        <v>2119</v>
      </c>
      <c r="I174" s="98" t="s">
        <v>2118</v>
      </c>
      <c r="J174" s="172">
        <v>3</v>
      </c>
      <c r="K174" s="130" t="s">
        <v>1802</v>
      </c>
      <c r="L174" s="124">
        <v>4</v>
      </c>
      <c r="M174" s="125" t="s">
        <v>1682</v>
      </c>
      <c r="N174" s="106" t="str">
        <f t="shared" si="6"/>
        <v>34</v>
      </c>
      <c r="O174" s="107"/>
      <c r="P174" s="108" t="s">
        <v>2115</v>
      </c>
      <c r="Q174" s="107"/>
      <c r="R174" s="115" t="s">
        <v>1683</v>
      </c>
      <c r="S174" s="92" t="s">
        <v>1584</v>
      </c>
      <c r="T174" s="110"/>
      <c r="U174" s="94" t="s">
        <v>1683</v>
      </c>
      <c r="V174" s="107"/>
      <c r="W174" s="111">
        <v>7600822</v>
      </c>
      <c r="X174" s="115" t="s">
        <v>1683</v>
      </c>
      <c r="Z174" s="155"/>
      <c r="AA174" s="86"/>
      <c r="AB174" s="86"/>
      <c r="AC174" s="86"/>
      <c r="AD174" s="86"/>
      <c r="AE174" s="88" t="s">
        <v>1778</v>
      </c>
      <c r="AF174" s="88" t="s">
        <v>1779</v>
      </c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</row>
    <row r="175" spans="1:52" ht="17.45" customHeight="1">
      <c r="B175" s="96" t="e">
        <f t="shared" si="8"/>
        <v>#REF!</v>
      </c>
      <c r="C175" s="148">
        <v>36463</v>
      </c>
      <c r="D175" s="98" t="s">
        <v>2116</v>
      </c>
      <c r="E175" s="98">
        <v>7600826</v>
      </c>
      <c r="F175" s="113" t="s">
        <v>2114</v>
      </c>
      <c r="G175" s="100" t="s">
        <v>712</v>
      </c>
      <c r="H175" s="101" t="s">
        <v>2119</v>
      </c>
      <c r="I175" s="98" t="s">
        <v>2116</v>
      </c>
      <c r="J175" s="126">
        <v>3</v>
      </c>
      <c r="K175" s="124" t="s">
        <v>1802</v>
      </c>
      <c r="L175" s="124">
        <v>4</v>
      </c>
      <c r="M175" s="125" t="s">
        <v>1682</v>
      </c>
      <c r="N175" s="106" t="str">
        <f t="shared" si="6"/>
        <v>34</v>
      </c>
      <c r="O175" s="107"/>
      <c r="P175" s="114" t="s">
        <v>2115</v>
      </c>
      <c r="Q175" s="107"/>
      <c r="R175" s="115" t="s">
        <v>1683</v>
      </c>
      <c r="S175" s="92" t="s">
        <v>1584</v>
      </c>
      <c r="T175" s="110"/>
      <c r="U175" s="94" t="s">
        <v>1683</v>
      </c>
      <c r="V175" s="107"/>
      <c r="W175" s="117">
        <v>7600822</v>
      </c>
      <c r="X175" s="115" t="s">
        <v>1683</v>
      </c>
      <c r="Z175" s="155"/>
      <c r="AE175" s="88" t="s">
        <v>1778</v>
      </c>
      <c r="AF175" s="88" t="s">
        <v>1779</v>
      </c>
    </row>
    <row r="176" spans="1:52" ht="17.45" customHeight="1">
      <c r="B176" s="96" t="e">
        <f t="shared" si="8"/>
        <v>#REF!</v>
      </c>
      <c r="C176" s="112">
        <v>37601</v>
      </c>
      <c r="D176" s="98" t="s">
        <v>2120</v>
      </c>
      <c r="E176" s="98">
        <v>7601179</v>
      </c>
      <c r="F176" s="113" t="s">
        <v>2114</v>
      </c>
      <c r="G176" s="100" t="s">
        <v>715</v>
      </c>
      <c r="H176" s="154" t="s">
        <v>2119</v>
      </c>
      <c r="I176" s="98" t="s">
        <v>2120</v>
      </c>
      <c r="J176" s="126">
        <v>3</v>
      </c>
      <c r="K176" s="124" t="s">
        <v>1802</v>
      </c>
      <c r="L176" s="103">
        <v>4</v>
      </c>
      <c r="M176" s="173" t="s">
        <v>1682</v>
      </c>
      <c r="N176" s="106" t="str">
        <f t="shared" si="6"/>
        <v>34</v>
      </c>
      <c r="O176" s="107"/>
      <c r="P176" s="167" t="s">
        <v>2115</v>
      </c>
      <c r="Q176" s="107"/>
      <c r="R176" s="115" t="s">
        <v>1683</v>
      </c>
      <c r="S176" s="92" t="s">
        <v>1584</v>
      </c>
      <c r="T176" s="110"/>
      <c r="U176" s="94" t="s">
        <v>1683</v>
      </c>
      <c r="V176" s="107"/>
      <c r="W176" s="211">
        <v>7600822</v>
      </c>
      <c r="X176" s="115" t="s">
        <v>1683</v>
      </c>
      <c r="Z176" s="155"/>
      <c r="AE176" s="88" t="s">
        <v>1778</v>
      </c>
      <c r="AF176" s="88" t="s">
        <v>1779</v>
      </c>
    </row>
    <row r="177" spans="1:52" ht="17.45" customHeight="1">
      <c r="B177" s="96" t="e">
        <f t="shared" si="8"/>
        <v>#REF!</v>
      </c>
      <c r="C177" s="148">
        <v>39204</v>
      </c>
      <c r="D177" s="98" t="s">
        <v>2115</v>
      </c>
      <c r="E177" s="118">
        <v>7600822</v>
      </c>
      <c r="F177" s="164" t="s">
        <v>2114</v>
      </c>
      <c r="G177" s="165" t="s">
        <v>718</v>
      </c>
      <c r="H177" s="171" t="s">
        <v>2119</v>
      </c>
      <c r="I177" s="98" t="s">
        <v>2115</v>
      </c>
      <c r="J177" s="172">
        <v>3</v>
      </c>
      <c r="K177" s="130" t="s">
        <v>1802</v>
      </c>
      <c r="L177" s="124">
        <v>4</v>
      </c>
      <c r="M177" s="125" t="s">
        <v>1682</v>
      </c>
      <c r="N177" s="106" t="str">
        <f t="shared" si="6"/>
        <v>34</v>
      </c>
      <c r="O177" s="107"/>
      <c r="P177" s="108" t="s">
        <v>2115</v>
      </c>
      <c r="Q177" s="107"/>
      <c r="R177" s="115" t="s">
        <v>1683</v>
      </c>
      <c r="S177" s="92" t="s">
        <v>1584</v>
      </c>
      <c r="T177" s="110"/>
      <c r="U177" s="94" t="s">
        <v>1683</v>
      </c>
      <c r="V177" s="107"/>
      <c r="W177" s="111">
        <v>7600822</v>
      </c>
      <c r="X177" s="115" t="s">
        <v>1683</v>
      </c>
      <c r="Z177" s="155"/>
      <c r="AE177" s="88" t="s">
        <v>1778</v>
      </c>
      <c r="AF177" s="88" t="s">
        <v>1779</v>
      </c>
    </row>
    <row r="178" spans="1:52" ht="17.45" customHeight="1">
      <c r="B178" s="96" t="e">
        <f t="shared" si="8"/>
        <v>#REF!</v>
      </c>
      <c r="C178" s="112">
        <v>37153</v>
      </c>
      <c r="D178" s="98" t="s">
        <v>2221</v>
      </c>
      <c r="E178" s="98">
        <v>7600249</v>
      </c>
      <c r="F178" s="113" t="s">
        <v>2219</v>
      </c>
      <c r="G178" s="100" t="s">
        <v>640</v>
      </c>
      <c r="H178" s="101" t="s">
        <v>2215</v>
      </c>
      <c r="I178" s="98" t="s">
        <v>2221</v>
      </c>
      <c r="J178" s="102">
        <v>3</v>
      </c>
      <c r="K178" s="103" t="s">
        <v>1802</v>
      </c>
      <c r="L178" s="124">
        <v>4</v>
      </c>
      <c r="M178" s="125" t="s">
        <v>1682</v>
      </c>
      <c r="N178" s="106" t="str">
        <f t="shared" si="6"/>
        <v>34</v>
      </c>
      <c r="O178" s="107"/>
      <c r="P178" s="114" t="s">
        <v>2221</v>
      </c>
      <c r="Q178" s="107"/>
      <c r="R178" s="115" t="s">
        <v>1675</v>
      </c>
      <c r="S178" s="92" t="s">
        <v>1584</v>
      </c>
      <c r="T178" s="110"/>
      <c r="U178" s="94" t="s">
        <v>1675</v>
      </c>
      <c r="V178" s="107"/>
      <c r="W178" s="117">
        <v>7600249</v>
      </c>
      <c r="X178" s="115" t="s">
        <v>1675</v>
      </c>
      <c r="Z178" s="155"/>
      <c r="AE178" s="88" t="s">
        <v>1778</v>
      </c>
      <c r="AF178" s="88" t="s">
        <v>1779</v>
      </c>
    </row>
    <row r="179" spans="1:52" ht="17.45" customHeight="1">
      <c r="B179" s="96" t="e">
        <f t="shared" si="8"/>
        <v>#REF!</v>
      </c>
      <c r="C179" s="112">
        <v>40998</v>
      </c>
      <c r="D179" s="98" t="s">
        <v>1862</v>
      </c>
      <c r="E179" s="98">
        <v>7601004</v>
      </c>
      <c r="F179" s="113" t="s">
        <v>1858</v>
      </c>
      <c r="G179" s="100" t="s">
        <v>740</v>
      </c>
      <c r="H179" s="101" t="s">
        <v>1867</v>
      </c>
      <c r="I179" s="98" t="s">
        <v>1862</v>
      </c>
      <c r="J179" s="102">
        <v>3</v>
      </c>
      <c r="K179" s="103" t="s">
        <v>1802</v>
      </c>
      <c r="L179" s="124">
        <v>5</v>
      </c>
      <c r="M179" s="125" t="s">
        <v>1685</v>
      </c>
      <c r="N179" s="106" t="str">
        <f t="shared" si="6"/>
        <v>35</v>
      </c>
      <c r="O179" s="107"/>
      <c r="P179" s="114" t="s">
        <v>1860</v>
      </c>
      <c r="Q179" s="107"/>
      <c r="R179" s="115" t="s">
        <v>1688</v>
      </c>
      <c r="S179" s="92" t="s">
        <v>1585</v>
      </c>
      <c r="T179" s="110"/>
      <c r="U179" s="94" t="s">
        <v>1688</v>
      </c>
      <c r="V179" s="107"/>
      <c r="W179" s="117">
        <v>7600086</v>
      </c>
      <c r="X179" s="115" t="s">
        <v>1688</v>
      </c>
      <c r="Z179" s="110" t="s">
        <v>1725</v>
      </c>
      <c r="AE179" s="88" t="s">
        <v>1778</v>
      </c>
      <c r="AF179" s="88" t="s">
        <v>1779</v>
      </c>
    </row>
    <row r="180" spans="1:52" ht="17.45" customHeight="1">
      <c r="B180" s="96" t="e">
        <f t="shared" si="8"/>
        <v>#REF!</v>
      </c>
      <c r="C180" s="112">
        <v>36083</v>
      </c>
      <c r="D180" s="98" t="s">
        <v>1860</v>
      </c>
      <c r="E180" s="98">
        <v>7600086</v>
      </c>
      <c r="F180" s="113" t="s">
        <v>1858</v>
      </c>
      <c r="G180" s="100" t="s">
        <v>745</v>
      </c>
      <c r="H180" s="101" t="s">
        <v>1870</v>
      </c>
      <c r="I180" s="98" t="s">
        <v>1860</v>
      </c>
      <c r="J180" s="102">
        <v>3</v>
      </c>
      <c r="K180" s="103" t="s">
        <v>1802</v>
      </c>
      <c r="L180" s="124">
        <v>5</v>
      </c>
      <c r="M180" s="125" t="s">
        <v>1685</v>
      </c>
      <c r="N180" s="106" t="str">
        <f t="shared" si="6"/>
        <v>35</v>
      </c>
      <c r="O180" s="107"/>
      <c r="P180" s="114" t="s">
        <v>1860</v>
      </c>
      <c r="Q180" s="107"/>
      <c r="R180" s="115" t="s">
        <v>1688</v>
      </c>
      <c r="S180" s="92" t="s">
        <v>1585</v>
      </c>
      <c r="T180" s="110"/>
      <c r="U180" s="94" t="s">
        <v>1688</v>
      </c>
      <c r="V180" s="107"/>
      <c r="W180" s="117">
        <v>7600086</v>
      </c>
      <c r="X180" s="115" t="s">
        <v>1688</v>
      </c>
      <c r="Z180" s="110" t="s">
        <v>1709</v>
      </c>
      <c r="AE180" s="88" t="s">
        <v>1778</v>
      </c>
      <c r="AF180" s="88" t="s">
        <v>1779</v>
      </c>
    </row>
    <row r="181" spans="1:52" ht="17.45" customHeight="1">
      <c r="B181" s="96" t="e">
        <f t="shared" si="8"/>
        <v>#REF!</v>
      </c>
      <c r="C181" s="112">
        <v>41425</v>
      </c>
      <c r="D181" s="98" t="s">
        <v>1910</v>
      </c>
      <c r="E181" s="98">
        <v>7601188</v>
      </c>
      <c r="F181" s="113" t="s">
        <v>1908</v>
      </c>
      <c r="G181" s="100" t="s">
        <v>682</v>
      </c>
      <c r="H181" s="101" t="s">
        <v>1889</v>
      </c>
      <c r="I181" s="98" t="s">
        <v>1910</v>
      </c>
      <c r="J181" s="126">
        <v>3</v>
      </c>
      <c r="K181" s="126" t="s">
        <v>1802</v>
      </c>
      <c r="L181" s="126">
        <v>5</v>
      </c>
      <c r="M181" s="125" t="s">
        <v>1685</v>
      </c>
      <c r="N181" s="106" t="str">
        <f t="shared" si="6"/>
        <v>35</v>
      </c>
      <c r="O181" s="107"/>
      <c r="P181" s="114" t="s">
        <v>1909</v>
      </c>
      <c r="Q181" s="107"/>
      <c r="R181" s="115" t="s">
        <v>1680</v>
      </c>
      <c r="S181" s="92" t="s">
        <v>1585</v>
      </c>
      <c r="T181" s="110"/>
      <c r="U181" s="94" t="s">
        <v>1680</v>
      </c>
      <c r="V181" s="107"/>
      <c r="W181" s="117">
        <v>7600417</v>
      </c>
      <c r="X181" s="115" t="s">
        <v>1680</v>
      </c>
      <c r="Z181" s="110" t="s">
        <v>1673</v>
      </c>
      <c r="AE181" s="88" t="s">
        <v>1778</v>
      </c>
      <c r="AF181" s="88" t="s">
        <v>1779</v>
      </c>
    </row>
    <row r="182" spans="1:52" ht="17.45" customHeight="1">
      <c r="B182" s="96" t="e">
        <f t="shared" si="8"/>
        <v>#REF!</v>
      </c>
      <c r="C182" s="112">
        <v>39072</v>
      </c>
      <c r="D182" s="98" t="s">
        <v>1909</v>
      </c>
      <c r="E182" s="98">
        <v>7600417</v>
      </c>
      <c r="F182" s="113" t="s">
        <v>1908</v>
      </c>
      <c r="G182" s="100" t="s">
        <v>687</v>
      </c>
      <c r="H182" s="101" t="s">
        <v>1891</v>
      </c>
      <c r="I182" s="98" t="s">
        <v>1909</v>
      </c>
      <c r="J182" s="102">
        <v>3</v>
      </c>
      <c r="K182" s="102" t="s">
        <v>1802</v>
      </c>
      <c r="L182" s="126">
        <v>5</v>
      </c>
      <c r="M182" s="125" t="s">
        <v>1685</v>
      </c>
      <c r="N182" s="106" t="str">
        <f t="shared" si="6"/>
        <v>35</v>
      </c>
      <c r="O182" s="107"/>
      <c r="P182" s="114" t="s">
        <v>1909</v>
      </c>
      <c r="Q182" s="107"/>
      <c r="R182" s="115" t="s">
        <v>1680</v>
      </c>
      <c r="S182" s="92" t="s">
        <v>1585</v>
      </c>
      <c r="T182" s="110"/>
      <c r="U182" s="94" t="s">
        <v>1680</v>
      </c>
      <c r="V182" s="107"/>
      <c r="W182" s="117">
        <v>7600417</v>
      </c>
      <c r="X182" s="115" t="s">
        <v>1680</v>
      </c>
      <c r="Z182" s="110" t="s">
        <v>1626</v>
      </c>
      <c r="AE182" s="88" t="s">
        <v>1778</v>
      </c>
      <c r="AF182" s="88" t="s">
        <v>1779</v>
      </c>
    </row>
    <row r="183" spans="1:52" ht="17.45" customHeight="1">
      <c r="B183" s="96" t="e">
        <f t="shared" si="8"/>
        <v>#REF!</v>
      </c>
      <c r="C183" s="148">
        <v>43819</v>
      </c>
      <c r="D183" s="98" t="s">
        <v>1912</v>
      </c>
      <c r="E183" s="118">
        <v>7601109</v>
      </c>
      <c r="F183" s="164" t="s">
        <v>1908</v>
      </c>
      <c r="G183" s="165" t="s">
        <v>691</v>
      </c>
      <c r="H183" s="171" t="s">
        <v>1889</v>
      </c>
      <c r="I183" s="98" t="s">
        <v>1912</v>
      </c>
      <c r="J183" s="172">
        <v>3</v>
      </c>
      <c r="K183" s="130" t="s">
        <v>1802</v>
      </c>
      <c r="L183" s="124">
        <v>5</v>
      </c>
      <c r="M183" s="125" t="s">
        <v>1685</v>
      </c>
      <c r="N183" s="106" t="str">
        <f t="shared" si="6"/>
        <v>35</v>
      </c>
      <c r="O183" s="107"/>
      <c r="P183" s="108" t="s">
        <v>1909</v>
      </c>
      <c r="Q183" s="107"/>
      <c r="R183" s="115" t="s">
        <v>1680</v>
      </c>
      <c r="S183" s="92" t="s">
        <v>1585</v>
      </c>
      <c r="T183" s="110"/>
      <c r="U183" s="94" t="s">
        <v>1680</v>
      </c>
      <c r="V183" s="107"/>
      <c r="W183" s="111">
        <v>7600417</v>
      </c>
      <c r="X183" s="115" t="s">
        <v>1680</v>
      </c>
      <c r="Z183" s="110" t="s">
        <v>1692</v>
      </c>
      <c r="AE183" s="88" t="s">
        <v>1778</v>
      </c>
      <c r="AF183" s="88" t="s">
        <v>1779</v>
      </c>
    </row>
    <row r="184" spans="1:52" ht="17.45" customHeight="1">
      <c r="B184" s="96" t="e">
        <f t="shared" ref="B184:B215" si="9">B183+1</f>
        <v>#REF!</v>
      </c>
      <c r="C184" s="148">
        <v>36508</v>
      </c>
      <c r="D184" s="98" t="s">
        <v>1855</v>
      </c>
      <c r="E184" s="118">
        <v>7601169</v>
      </c>
      <c r="F184" s="164" t="s">
        <v>1851</v>
      </c>
      <c r="G184" s="165" t="s">
        <v>750</v>
      </c>
      <c r="H184" s="171" t="s">
        <v>2025</v>
      </c>
      <c r="I184" s="98" t="s">
        <v>1855</v>
      </c>
      <c r="J184" s="172">
        <v>3</v>
      </c>
      <c r="K184" s="130" t="s">
        <v>1802</v>
      </c>
      <c r="L184" s="124">
        <v>5</v>
      </c>
      <c r="M184" s="125" t="s">
        <v>1685</v>
      </c>
      <c r="N184" s="106" t="str">
        <f t="shared" si="6"/>
        <v>35</v>
      </c>
      <c r="O184" s="107"/>
      <c r="P184" s="108" t="s">
        <v>1852</v>
      </c>
      <c r="Q184" s="107"/>
      <c r="R184" s="115" t="s">
        <v>1687</v>
      </c>
      <c r="S184" s="92" t="s">
        <v>1585</v>
      </c>
      <c r="T184" s="110"/>
      <c r="U184" s="94" t="s">
        <v>1687</v>
      </c>
      <c r="V184" s="107"/>
      <c r="W184" s="111">
        <v>7600546</v>
      </c>
      <c r="X184" s="115" t="s">
        <v>1687</v>
      </c>
      <c r="Z184" s="110" t="s">
        <v>1724</v>
      </c>
      <c r="AE184" s="88" t="s">
        <v>1778</v>
      </c>
      <c r="AF184" s="88" t="s">
        <v>1779</v>
      </c>
    </row>
    <row r="185" spans="1:52" ht="17.45" customHeight="1">
      <c r="B185" s="96" t="e">
        <f t="shared" si="9"/>
        <v>#REF!</v>
      </c>
      <c r="C185" s="148">
        <v>41264</v>
      </c>
      <c r="D185" s="98" t="s">
        <v>1854</v>
      </c>
      <c r="E185" s="118">
        <v>7600705</v>
      </c>
      <c r="F185" s="164" t="s">
        <v>1851</v>
      </c>
      <c r="G185" s="165" t="s">
        <v>756</v>
      </c>
      <c r="H185" s="171" t="s">
        <v>2025</v>
      </c>
      <c r="I185" s="98" t="s">
        <v>1854</v>
      </c>
      <c r="J185" s="172">
        <v>3</v>
      </c>
      <c r="K185" s="130" t="s">
        <v>1802</v>
      </c>
      <c r="L185" s="124">
        <v>5</v>
      </c>
      <c r="M185" s="125" t="s">
        <v>1685</v>
      </c>
      <c r="N185" s="106" t="str">
        <f t="shared" si="6"/>
        <v>35</v>
      </c>
      <c r="O185" s="107"/>
      <c r="P185" s="108" t="s">
        <v>1852</v>
      </c>
      <c r="Q185" s="107"/>
      <c r="R185" s="115" t="s">
        <v>1687</v>
      </c>
      <c r="S185" s="92" t="s">
        <v>1585</v>
      </c>
      <c r="T185" s="110"/>
      <c r="U185" s="94" t="s">
        <v>1687</v>
      </c>
      <c r="V185" s="107"/>
      <c r="W185" s="111">
        <v>7600546</v>
      </c>
      <c r="X185" s="115" t="s">
        <v>1687</v>
      </c>
      <c r="Z185" s="110" t="s">
        <v>1729</v>
      </c>
      <c r="AE185" s="88" t="s">
        <v>1778</v>
      </c>
      <c r="AF185" s="88" t="s">
        <v>1779</v>
      </c>
    </row>
    <row r="186" spans="1:52" ht="17.45" customHeight="1">
      <c r="B186" s="96" t="e">
        <f t="shared" si="9"/>
        <v>#REF!</v>
      </c>
      <c r="C186" s="148">
        <v>40399</v>
      </c>
      <c r="D186" s="98" t="s">
        <v>1852</v>
      </c>
      <c r="E186" s="118">
        <v>7600546</v>
      </c>
      <c r="F186" s="164" t="s">
        <v>1851</v>
      </c>
      <c r="G186" s="165" t="s">
        <v>761</v>
      </c>
      <c r="H186" s="171" t="s">
        <v>2025</v>
      </c>
      <c r="I186" s="98" t="s">
        <v>1852</v>
      </c>
      <c r="J186" s="181">
        <v>3</v>
      </c>
      <c r="K186" s="131" t="s">
        <v>1802</v>
      </c>
      <c r="L186" s="124">
        <v>5</v>
      </c>
      <c r="M186" s="125" t="s">
        <v>1685</v>
      </c>
      <c r="N186" s="106" t="str">
        <f t="shared" si="6"/>
        <v>35</v>
      </c>
      <c r="O186" s="107"/>
      <c r="P186" s="108" t="s">
        <v>1852</v>
      </c>
      <c r="Q186" s="107"/>
      <c r="R186" s="115" t="s">
        <v>1687</v>
      </c>
      <c r="S186" s="92" t="s">
        <v>1585</v>
      </c>
      <c r="T186" s="110"/>
      <c r="U186" s="94" t="s">
        <v>1687</v>
      </c>
      <c r="V186" s="107"/>
      <c r="W186" s="111">
        <v>7600546</v>
      </c>
      <c r="X186" s="115" t="s">
        <v>1687</v>
      </c>
      <c r="Z186" s="110" t="s">
        <v>1629</v>
      </c>
      <c r="AE186" s="88" t="s">
        <v>1778</v>
      </c>
      <c r="AF186" s="88" t="s">
        <v>1779</v>
      </c>
    </row>
    <row r="187" spans="1:52" ht="17.45" customHeight="1">
      <c r="B187" s="96" t="e">
        <f t="shared" si="9"/>
        <v>#REF!</v>
      </c>
      <c r="C187" s="222">
        <v>45463</v>
      </c>
      <c r="D187" s="98" t="s">
        <v>2129</v>
      </c>
      <c r="E187" s="118">
        <v>7600726</v>
      </c>
      <c r="F187" s="225" t="s">
        <v>2125</v>
      </c>
      <c r="G187" s="228" t="s">
        <v>722</v>
      </c>
      <c r="H187" s="231" t="s">
        <v>2128</v>
      </c>
      <c r="I187" s="98" t="s">
        <v>2129</v>
      </c>
      <c r="J187" s="232">
        <v>3</v>
      </c>
      <c r="K187" s="235" t="s">
        <v>1802</v>
      </c>
      <c r="L187" s="176">
        <v>5</v>
      </c>
      <c r="M187" s="177" t="s">
        <v>1685</v>
      </c>
      <c r="N187" s="178" t="str">
        <f t="shared" si="6"/>
        <v>35</v>
      </c>
      <c r="O187" s="107"/>
      <c r="P187" s="238" t="s">
        <v>2127</v>
      </c>
      <c r="Q187" s="179"/>
      <c r="R187" s="180" t="s">
        <v>1684</v>
      </c>
      <c r="S187" s="92" t="s">
        <v>1585</v>
      </c>
      <c r="T187" s="110"/>
      <c r="U187" s="94" t="s">
        <v>1684</v>
      </c>
      <c r="V187" s="179"/>
      <c r="W187" s="239">
        <v>7600062</v>
      </c>
      <c r="X187" s="180" t="s">
        <v>1684</v>
      </c>
      <c r="Z187" s="155"/>
      <c r="AE187" s="88" t="s">
        <v>1778</v>
      </c>
      <c r="AF187" s="88" t="s">
        <v>1779</v>
      </c>
    </row>
    <row r="188" spans="1:52" s="182" customFormat="1" ht="17.45" customHeight="1">
      <c r="A188" s="56"/>
      <c r="B188" s="96" t="e">
        <f t="shared" si="9"/>
        <v>#REF!</v>
      </c>
      <c r="C188" s="222">
        <v>35961</v>
      </c>
      <c r="D188" s="98" t="s">
        <v>2127</v>
      </c>
      <c r="E188" s="118">
        <v>7600062</v>
      </c>
      <c r="F188" s="225" t="s">
        <v>2125</v>
      </c>
      <c r="G188" s="228" t="s">
        <v>2126</v>
      </c>
      <c r="H188" s="231" t="s">
        <v>2128</v>
      </c>
      <c r="I188" s="98" t="s">
        <v>2127</v>
      </c>
      <c r="J188" s="232">
        <v>3</v>
      </c>
      <c r="K188" s="235" t="s">
        <v>1802</v>
      </c>
      <c r="L188" s="176">
        <v>5</v>
      </c>
      <c r="M188" s="177" t="s">
        <v>1685</v>
      </c>
      <c r="N188" s="178" t="str">
        <f t="shared" si="6"/>
        <v>35</v>
      </c>
      <c r="O188" s="107"/>
      <c r="P188" s="238" t="s">
        <v>2127</v>
      </c>
      <c r="Q188" s="179"/>
      <c r="R188" s="180" t="s">
        <v>1684</v>
      </c>
      <c r="S188" s="92" t="s">
        <v>1585</v>
      </c>
      <c r="T188" s="110"/>
      <c r="U188" s="94" t="s">
        <v>1684</v>
      </c>
      <c r="V188" s="179"/>
      <c r="W188" s="239">
        <v>7600062</v>
      </c>
      <c r="X188" s="180" t="s">
        <v>1684</v>
      </c>
      <c r="Y188" s="74"/>
      <c r="Z188" s="155"/>
      <c r="AA188" s="129"/>
      <c r="AB188" s="74"/>
      <c r="AC188" s="74"/>
      <c r="AD188" s="74"/>
      <c r="AE188" s="88" t="s">
        <v>1778</v>
      </c>
      <c r="AF188" s="88" t="s">
        <v>1779</v>
      </c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</row>
    <row r="189" spans="1:52" ht="17.45" customHeight="1">
      <c r="B189" s="96" t="e">
        <f t="shared" si="9"/>
        <v>#REF!</v>
      </c>
      <c r="C189" s="112">
        <v>41271</v>
      </c>
      <c r="D189" s="98" t="s">
        <v>1849</v>
      </c>
      <c r="E189" s="98">
        <v>7601038</v>
      </c>
      <c r="F189" s="113" t="s">
        <v>1845</v>
      </c>
      <c r="G189" s="100" t="s">
        <v>728</v>
      </c>
      <c r="H189" s="101" t="s">
        <v>2025</v>
      </c>
      <c r="I189" s="98" t="s">
        <v>1849</v>
      </c>
      <c r="J189" s="102">
        <v>3</v>
      </c>
      <c r="K189" s="103" t="s">
        <v>1802</v>
      </c>
      <c r="L189" s="124">
        <v>6</v>
      </c>
      <c r="M189" s="125" t="s">
        <v>1689</v>
      </c>
      <c r="N189" s="106" t="str">
        <f t="shared" si="6"/>
        <v>36</v>
      </c>
      <c r="O189" s="107"/>
      <c r="P189" s="114" t="s">
        <v>1847</v>
      </c>
      <c r="Q189" s="107"/>
      <c r="R189" s="115" t="s">
        <v>1686</v>
      </c>
      <c r="S189" s="92" t="s">
        <v>1586</v>
      </c>
      <c r="T189" s="110"/>
      <c r="U189" s="94" t="s">
        <v>1686</v>
      </c>
      <c r="V189" s="107"/>
      <c r="W189" s="117">
        <v>7601037</v>
      </c>
      <c r="X189" s="115" t="s">
        <v>1686</v>
      </c>
      <c r="Z189" s="110" t="s">
        <v>1616</v>
      </c>
      <c r="AE189" s="88" t="s">
        <v>1778</v>
      </c>
      <c r="AF189" s="88" t="s">
        <v>1779</v>
      </c>
    </row>
    <row r="190" spans="1:52" ht="17.45" customHeight="1">
      <c r="A190" s="182"/>
      <c r="B190" s="96" t="e">
        <f t="shared" si="9"/>
        <v>#REF!</v>
      </c>
      <c r="C190" s="148">
        <v>44060</v>
      </c>
      <c r="D190" s="98" t="s">
        <v>1850</v>
      </c>
      <c r="E190" s="118">
        <v>7601128</v>
      </c>
      <c r="F190" s="242" t="s">
        <v>1845</v>
      </c>
      <c r="G190" s="171" t="s">
        <v>732</v>
      </c>
      <c r="H190" s="175" t="s">
        <v>2029</v>
      </c>
      <c r="I190" s="98" t="s">
        <v>1850</v>
      </c>
      <c r="J190" s="172">
        <v>3</v>
      </c>
      <c r="K190" s="130" t="s">
        <v>1802</v>
      </c>
      <c r="L190" s="124">
        <v>6</v>
      </c>
      <c r="M190" s="125" t="s">
        <v>1689</v>
      </c>
      <c r="N190" s="106" t="str">
        <f t="shared" si="6"/>
        <v>36</v>
      </c>
      <c r="O190" s="107"/>
      <c r="P190" s="108" t="s">
        <v>1847</v>
      </c>
      <c r="Q190" s="107"/>
      <c r="R190" s="115" t="s">
        <v>1686</v>
      </c>
      <c r="S190" s="92" t="s">
        <v>1586</v>
      </c>
      <c r="T190" s="110"/>
      <c r="U190" s="94" t="s">
        <v>1686</v>
      </c>
      <c r="V190" s="107"/>
      <c r="W190" s="117">
        <v>7601037</v>
      </c>
      <c r="X190" s="115" t="s">
        <v>1686</v>
      </c>
      <c r="Z190" s="110" t="s">
        <v>1608</v>
      </c>
      <c r="AE190" s="88" t="s">
        <v>1778</v>
      </c>
      <c r="AF190" s="88" t="s">
        <v>1779</v>
      </c>
      <c r="AG190" s="182"/>
      <c r="AH190" s="182"/>
      <c r="AI190" s="182"/>
      <c r="AJ190" s="182"/>
      <c r="AK190" s="182"/>
      <c r="AL190" s="182"/>
      <c r="AM190" s="182"/>
      <c r="AN190" s="182"/>
      <c r="AO190" s="182"/>
      <c r="AP190" s="182"/>
      <c r="AQ190" s="182"/>
      <c r="AR190" s="182"/>
      <c r="AS190" s="182"/>
      <c r="AT190" s="182"/>
      <c r="AU190" s="182"/>
      <c r="AV190" s="182"/>
      <c r="AW190" s="182"/>
      <c r="AX190" s="182"/>
      <c r="AY190" s="182"/>
      <c r="AZ190" s="182"/>
    </row>
    <row r="191" spans="1:52" ht="17.45" customHeight="1">
      <c r="B191" s="96" t="e">
        <f t="shared" si="9"/>
        <v>#REF!</v>
      </c>
      <c r="C191" s="148">
        <v>41036</v>
      </c>
      <c r="D191" s="98" t="s">
        <v>1847</v>
      </c>
      <c r="E191" s="118">
        <v>7601037</v>
      </c>
      <c r="F191" s="164" t="s">
        <v>1845</v>
      </c>
      <c r="G191" s="165" t="s">
        <v>736</v>
      </c>
      <c r="H191" s="171" t="s">
        <v>2025</v>
      </c>
      <c r="I191" s="98" t="s">
        <v>1847</v>
      </c>
      <c r="J191" s="181">
        <v>3</v>
      </c>
      <c r="K191" s="131" t="s">
        <v>1802</v>
      </c>
      <c r="L191" s="124">
        <v>6</v>
      </c>
      <c r="M191" s="125" t="s">
        <v>1689</v>
      </c>
      <c r="N191" s="106" t="str">
        <f t="shared" si="6"/>
        <v>36</v>
      </c>
      <c r="O191" s="107"/>
      <c r="P191" s="108" t="s">
        <v>1847</v>
      </c>
      <c r="Q191" s="107"/>
      <c r="R191" s="115" t="s">
        <v>1686</v>
      </c>
      <c r="S191" s="92" t="s">
        <v>1586</v>
      </c>
      <c r="T191" s="110"/>
      <c r="U191" s="94" t="s">
        <v>1686</v>
      </c>
      <c r="V191" s="107"/>
      <c r="W191" s="111">
        <v>7601037</v>
      </c>
      <c r="X191" s="115" t="s">
        <v>1686</v>
      </c>
      <c r="Z191" s="110" t="s">
        <v>1607</v>
      </c>
      <c r="AE191" s="88" t="s">
        <v>1778</v>
      </c>
      <c r="AF191" s="88" t="s">
        <v>1779</v>
      </c>
    </row>
    <row r="192" spans="1:52" ht="17.45" customHeight="1">
      <c r="B192" s="96" t="e">
        <f t="shared" si="9"/>
        <v>#REF!</v>
      </c>
      <c r="C192" s="148">
        <v>45135</v>
      </c>
      <c r="D192" s="98" t="s">
        <v>2296</v>
      </c>
      <c r="E192" s="118">
        <v>7601203</v>
      </c>
      <c r="F192" s="242" t="s">
        <v>2226</v>
      </c>
      <c r="G192" s="171" t="s">
        <v>805</v>
      </c>
      <c r="H192" s="175" t="s">
        <v>2227</v>
      </c>
      <c r="I192" s="98" t="s">
        <v>2296</v>
      </c>
      <c r="J192" s="172">
        <v>3</v>
      </c>
      <c r="K192" s="130" t="s">
        <v>1802</v>
      </c>
      <c r="L192" s="103">
        <v>6</v>
      </c>
      <c r="M192" s="173" t="s">
        <v>1689</v>
      </c>
      <c r="N192" s="106" t="str">
        <f t="shared" si="6"/>
        <v>36</v>
      </c>
      <c r="O192" s="107"/>
      <c r="P192" s="108" t="s">
        <v>2228</v>
      </c>
      <c r="Q192" s="107"/>
      <c r="R192" s="115" t="s">
        <v>1698</v>
      </c>
      <c r="S192" s="92" t="s">
        <v>1586</v>
      </c>
      <c r="T192" s="110"/>
      <c r="U192" s="94" t="s">
        <v>1698</v>
      </c>
      <c r="V192" s="107"/>
      <c r="W192" s="214">
        <v>7601175</v>
      </c>
      <c r="X192" s="115" t="s">
        <v>1698</v>
      </c>
      <c r="AE192" s="88" t="s">
        <v>1778</v>
      </c>
      <c r="AF192" s="88" t="s">
        <v>1779</v>
      </c>
    </row>
    <row r="193" spans="2:32" ht="17.45" customHeight="1">
      <c r="B193" s="96" t="e">
        <f t="shared" si="9"/>
        <v>#REF!</v>
      </c>
      <c r="C193" s="148">
        <v>44162</v>
      </c>
      <c r="D193" s="98" t="s">
        <v>2229</v>
      </c>
      <c r="E193" s="118">
        <v>7601176</v>
      </c>
      <c r="F193" s="164" t="s">
        <v>2226</v>
      </c>
      <c r="G193" s="165" t="s">
        <v>810</v>
      </c>
      <c r="H193" s="175" t="s">
        <v>2227</v>
      </c>
      <c r="I193" s="98" t="s">
        <v>2229</v>
      </c>
      <c r="J193" s="172">
        <v>3</v>
      </c>
      <c r="K193" s="130" t="s">
        <v>1802</v>
      </c>
      <c r="L193" s="103">
        <v>6</v>
      </c>
      <c r="M193" s="173" t="s">
        <v>1689</v>
      </c>
      <c r="N193" s="106" t="str">
        <f t="shared" si="6"/>
        <v>36</v>
      </c>
      <c r="O193" s="107"/>
      <c r="P193" s="108" t="s">
        <v>2228</v>
      </c>
      <c r="Q193" s="107"/>
      <c r="R193" s="115" t="s">
        <v>1698</v>
      </c>
      <c r="S193" s="92" t="s">
        <v>1586</v>
      </c>
      <c r="T193" s="110"/>
      <c r="U193" s="94" t="s">
        <v>1698</v>
      </c>
      <c r="V193" s="107"/>
      <c r="W193" s="214">
        <v>7601175</v>
      </c>
      <c r="X193" s="115" t="s">
        <v>1698</v>
      </c>
      <c r="AE193" s="88" t="s">
        <v>1778</v>
      </c>
      <c r="AF193" s="88" t="s">
        <v>1779</v>
      </c>
    </row>
    <row r="194" spans="2:32" ht="17.45" customHeight="1">
      <c r="B194" s="96" t="e">
        <f t="shared" si="9"/>
        <v>#REF!</v>
      </c>
      <c r="C194" s="148">
        <v>41635</v>
      </c>
      <c r="D194" s="98" t="s">
        <v>2228</v>
      </c>
      <c r="E194" s="118">
        <v>7601175</v>
      </c>
      <c r="F194" s="164" t="s">
        <v>2226</v>
      </c>
      <c r="G194" s="165" t="s">
        <v>815</v>
      </c>
      <c r="H194" s="175" t="s">
        <v>2227</v>
      </c>
      <c r="I194" s="98" t="s">
        <v>2228</v>
      </c>
      <c r="J194" s="172">
        <v>3</v>
      </c>
      <c r="K194" s="130" t="s">
        <v>1802</v>
      </c>
      <c r="L194" s="103">
        <v>6</v>
      </c>
      <c r="M194" s="173" t="s">
        <v>1689</v>
      </c>
      <c r="N194" s="106" t="str">
        <f t="shared" si="6"/>
        <v>36</v>
      </c>
      <c r="O194" s="107"/>
      <c r="P194" s="108" t="s">
        <v>2228</v>
      </c>
      <c r="Q194" s="107"/>
      <c r="R194" s="115" t="s">
        <v>1698</v>
      </c>
      <c r="S194" s="92" t="s">
        <v>1586</v>
      </c>
      <c r="T194" s="110"/>
      <c r="U194" s="94" t="s">
        <v>1698</v>
      </c>
      <c r="V194" s="107"/>
      <c r="W194" s="214">
        <v>7601175</v>
      </c>
      <c r="X194" s="115" t="s">
        <v>1698</v>
      </c>
      <c r="AE194" s="88" t="s">
        <v>1778</v>
      </c>
      <c r="AF194" s="88" t="s">
        <v>1779</v>
      </c>
    </row>
    <row r="195" spans="2:32" ht="17.45" customHeight="1">
      <c r="B195" s="96" t="e">
        <f t="shared" si="9"/>
        <v>#REF!</v>
      </c>
      <c r="C195" s="148">
        <v>41618</v>
      </c>
      <c r="D195" s="98" t="s">
        <v>2204</v>
      </c>
      <c r="E195" s="118">
        <v>7600759</v>
      </c>
      <c r="F195" s="164" t="s">
        <v>2200</v>
      </c>
      <c r="G195" s="165" t="s">
        <v>825</v>
      </c>
      <c r="H195" s="171" t="s">
        <v>2246</v>
      </c>
      <c r="I195" s="98" t="s">
        <v>2204</v>
      </c>
      <c r="J195" s="172">
        <v>3</v>
      </c>
      <c r="K195" s="130" t="s">
        <v>1802</v>
      </c>
      <c r="L195" s="124">
        <v>6</v>
      </c>
      <c r="M195" s="125" t="s">
        <v>1689</v>
      </c>
      <c r="N195" s="106" t="str">
        <f t="shared" si="6"/>
        <v>36</v>
      </c>
      <c r="O195" s="107"/>
      <c r="P195" s="108" t="s">
        <v>2201</v>
      </c>
      <c r="Q195" s="107"/>
      <c r="R195" s="115" t="s">
        <v>1697</v>
      </c>
      <c r="S195" s="92" t="s">
        <v>1586</v>
      </c>
      <c r="T195" s="110"/>
      <c r="U195" s="94" t="s">
        <v>1697</v>
      </c>
      <c r="V195" s="107"/>
      <c r="W195" s="111">
        <v>7600554</v>
      </c>
      <c r="X195" s="115" t="s">
        <v>1697</v>
      </c>
      <c r="AE195" s="88" t="s">
        <v>1778</v>
      </c>
      <c r="AF195" s="88" t="s">
        <v>1779</v>
      </c>
    </row>
    <row r="196" spans="2:32" ht="17.45" customHeight="1">
      <c r="B196" s="96" t="e">
        <f t="shared" si="9"/>
        <v>#REF!</v>
      </c>
      <c r="C196" s="148">
        <v>41120</v>
      </c>
      <c r="D196" s="98" t="s">
        <v>2202</v>
      </c>
      <c r="E196" s="118">
        <v>7600667</v>
      </c>
      <c r="F196" s="164" t="s">
        <v>2200</v>
      </c>
      <c r="G196" s="165" t="s">
        <v>832</v>
      </c>
      <c r="H196" s="171" t="s">
        <v>2246</v>
      </c>
      <c r="I196" s="98" t="s">
        <v>2202</v>
      </c>
      <c r="J196" s="181">
        <v>3</v>
      </c>
      <c r="K196" s="131" t="s">
        <v>1802</v>
      </c>
      <c r="L196" s="124">
        <v>6</v>
      </c>
      <c r="M196" s="125" t="s">
        <v>1689</v>
      </c>
      <c r="N196" s="106" t="str">
        <f t="shared" si="6"/>
        <v>36</v>
      </c>
      <c r="O196" s="107"/>
      <c r="P196" s="114" t="s">
        <v>2201</v>
      </c>
      <c r="Q196" s="107"/>
      <c r="R196" s="115" t="s">
        <v>1697</v>
      </c>
      <c r="S196" s="92" t="s">
        <v>1586</v>
      </c>
      <c r="T196" s="110"/>
      <c r="U196" s="94" t="s">
        <v>1697</v>
      </c>
      <c r="V196" s="107"/>
      <c r="W196" s="117">
        <v>7600554</v>
      </c>
      <c r="X196" s="115" t="s">
        <v>1697</v>
      </c>
      <c r="AE196" s="88" t="s">
        <v>1778</v>
      </c>
      <c r="AF196" s="88" t="s">
        <v>1779</v>
      </c>
    </row>
    <row r="197" spans="2:32" ht="17.45" customHeight="1">
      <c r="B197" s="96" t="e">
        <f t="shared" si="9"/>
        <v>#REF!</v>
      </c>
      <c r="C197" s="148">
        <v>40542</v>
      </c>
      <c r="D197" s="98" t="s">
        <v>2201</v>
      </c>
      <c r="E197" s="118">
        <v>7600554</v>
      </c>
      <c r="F197" s="164" t="s">
        <v>2200</v>
      </c>
      <c r="G197" s="165" t="s">
        <v>837</v>
      </c>
      <c r="H197" s="171" t="s">
        <v>2246</v>
      </c>
      <c r="I197" s="98" t="s">
        <v>2201</v>
      </c>
      <c r="J197" s="181">
        <v>3</v>
      </c>
      <c r="K197" s="131" t="s">
        <v>1802</v>
      </c>
      <c r="L197" s="124">
        <v>6</v>
      </c>
      <c r="M197" s="125" t="s">
        <v>1689</v>
      </c>
      <c r="N197" s="106" t="str">
        <f t="shared" ref="N197:N265" si="10">J197&amp;L197</f>
        <v>36</v>
      </c>
      <c r="O197" s="107"/>
      <c r="P197" s="108" t="s">
        <v>2201</v>
      </c>
      <c r="Q197" s="107"/>
      <c r="R197" s="115" t="s">
        <v>1697</v>
      </c>
      <c r="S197" s="92" t="s">
        <v>1586</v>
      </c>
      <c r="T197" s="110"/>
      <c r="U197" s="94" t="s">
        <v>1697</v>
      </c>
      <c r="V197" s="107"/>
      <c r="W197" s="111">
        <v>7600554</v>
      </c>
      <c r="X197" s="115" t="s">
        <v>1697</v>
      </c>
      <c r="AE197" s="88" t="s">
        <v>1778</v>
      </c>
      <c r="AF197" s="88" t="s">
        <v>1779</v>
      </c>
    </row>
    <row r="198" spans="2:32" ht="17.45" customHeight="1">
      <c r="B198" s="96" t="e">
        <f t="shared" si="9"/>
        <v>#REF!</v>
      </c>
      <c r="C198" s="148">
        <v>41850</v>
      </c>
      <c r="D198" s="98" t="s">
        <v>1801</v>
      </c>
      <c r="E198" s="118">
        <v>7601053</v>
      </c>
      <c r="F198" s="164" t="s">
        <v>1800</v>
      </c>
      <c r="G198" s="165" t="s">
        <v>763</v>
      </c>
      <c r="H198" s="171" t="s">
        <v>1859</v>
      </c>
      <c r="I198" s="98" t="s">
        <v>1801</v>
      </c>
      <c r="J198" s="181">
        <v>3</v>
      </c>
      <c r="K198" s="131" t="s">
        <v>1802</v>
      </c>
      <c r="L198" s="124">
        <v>7</v>
      </c>
      <c r="M198" s="125" t="s">
        <v>1694</v>
      </c>
      <c r="N198" s="106" t="str">
        <f t="shared" si="10"/>
        <v>37</v>
      </c>
      <c r="O198" s="107"/>
      <c r="P198" s="108" t="s">
        <v>1801</v>
      </c>
      <c r="Q198" s="107"/>
      <c r="R198" s="115" t="s">
        <v>1690</v>
      </c>
      <c r="S198" s="92" t="s">
        <v>1577</v>
      </c>
      <c r="T198" s="110"/>
      <c r="U198" s="94" t="s">
        <v>1690</v>
      </c>
      <c r="V198" s="107"/>
      <c r="W198" s="111">
        <v>7601053</v>
      </c>
      <c r="X198" s="115" t="s">
        <v>1690</v>
      </c>
      <c r="Z198" s="110" t="s">
        <v>1861</v>
      </c>
      <c r="AE198" s="88" t="s">
        <v>1778</v>
      </c>
      <c r="AF198" s="88" t="s">
        <v>1779</v>
      </c>
    </row>
    <row r="199" spans="2:32" ht="17.45" customHeight="1">
      <c r="B199" s="96" t="e">
        <f t="shared" si="9"/>
        <v>#REF!</v>
      </c>
      <c r="C199" s="148">
        <v>35490</v>
      </c>
      <c r="D199" s="98" t="s">
        <v>1807</v>
      </c>
      <c r="E199" s="118">
        <v>7601054</v>
      </c>
      <c r="F199" s="164" t="s">
        <v>1800</v>
      </c>
      <c r="G199" s="165" t="s">
        <v>769</v>
      </c>
      <c r="H199" s="171" t="s">
        <v>1859</v>
      </c>
      <c r="I199" s="98" t="s">
        <v>1807</v>
      </c>
      <c r="J199" s="181">
        <v>3</v>
      </c>
      <c r="K199" s="131" t="s">
        <v>1802</v>
      </c>
      <c r="L199" s="124">
        <v>7</v>
      </c>
      <c r="M199" s="125" t="s">
        <v>1694</v>
      </c>
      <c r="N199" s="106" t="str">
        <f t="shared" si="10"/>
        <v>37</v>
      </c>
      <c r="O199" s="107"/>
      <c r="P199" s="108" t="s">
        <v>1801</v>
      </c>
      <c r="Q199" s="107"/>
      <c r="R199" s="115" t="s">
        <v>1690</v>
      </c>
      <c r="S199" s="92" t="s">
        <v>1577</v>
      </c>
      <c r="T199" s="110"/>
      <c r="U199" s="94" t="s">
        <v>1690</v>
      </c>
      <c r="V199" s="107"/>
      <c r="W199" s="111">
        <v>7601053</v>
      </c>
      <c r="X199" s="115" t="s">
        <v>1690</v>
      </c>
      <c r="Z199" s="110" t="s">
        <v>1707</v>
      </c>
      <c r="AE199" s="88" t="s">
        <v>1778</v>
      </c>
      <c r="AF199" s="88" t="s">
        <v>1779</v>
      </c>
    </row>
    <row r="200" spans="2:32" ht="17.45" customHeight="1">
      <c r="B200" s="96" t="e">
        <f t="shared" si="9"/>
        <v>#REF!</v>
      </c>
      <c r="C200" s="148">
        <v>41273</v>
      </c>
      <c r="D200" s="98" t="s">
        <v>2186</v>
      </c>
      <c r="E200" s="118">
        <v>7601168</v>
      </c>
      <c r="F200" s="164" t="s">
        <v>2182</v>
      </c>
      <c r="G200" s="165" t="s">
        <v>795</v>
      </c>
      <c r="H200" s="171" t="s">
        <v>2173</v>
      </c>
      <c r="I200" s="98" t="s">
        <v>2186</v>
      </c>
      <c r="J200" s="172">
        <v>3</v>
      </c>
      <c r="K200" s="130" t="s">
        <v>1802</v>
      </c>
      <c r="L200" s="124">
        <v>7</v>
      </c>
      <c r="M200" s="125" t="s">
        <v>1694</v>
      </c>
      <c r="N200" s="106" t="str">
        <f t="shared" si="10"/>
        <v>37</v>
      </c>
      <c r="O200" s="107"/>
      <c r="P200" s="114" t="s">
        <v>2183</v>
      </c>
      <c r="Q200" s="107"/>
      <c r="R200" s="115" t="s">
        <v>1696</v>
      </c>
      <c r="S200" s="92" t="s">
        <v>1577</v>
      </c>
      <c r="T200" s="110"/>
      <c r="U200" s="94" t="s">
        <v>1696</v>
      </c>
      <c r="V200" s="107"/>
      <c r="W200" s="117">
        <v>7601167</v>
      </c>
      <c r="X200" s="115" t="s">
        <v>1696</v>
      </c>
      <c r="AE200" s="88" t="s">
        <v>1778</v>
      </c>
      <c r="AF200" s="88" t="s">
        <v>1779</v>
      </c>
    </row>
    <row r="201" spans="2:32" ht="17.45" customHeight="1">
      <c r="B201" s="96" t="e">
        <f t="shared" si="9"/>
        <v>#REF!</v>
      </c>
      <c r="C201" s="148">
        <v>37271</v>
      </c>
      <c r="D201" s="98" t="s">
        <v>2184</v>
      </c>
      <c r="E201" s="118">
        <v>7601167</v>
      </c>
      <c r="F201" s="164" t="s">
        <v>2182</v>
      </c>
      <c r="G201" s="165" t="s">
        <v>802</v>
      </c>
      <c r="H201" s="171" t="s">
        <v>2173</v>
      </c>
      <c r="I201" s="98" t="s">
        <v>2184</v>
      </c>
      <c r="J201" s="172">
        <v>3</v>
      </c>
      <c r="K201" s="130" t="s">
        <v>1802</v>
      </c>
      <c r="L201" s="124">
        <v>7</v>
      </c>
      <c r="M201" s="125" t="s">
        <v>1694</v>
      </c>
      <c r="N201" s="106" t="str">
        <f t="shared" si="10"/>
        <v>37</v>
      </c>
      <c r="O201" s="107"/>
      <c r="P201" s="108" t="s">
        <v>2183</v>
      </c>
      <c r="Q201" s="107"/>
      <c r="R201" s="115" t="s">
        <v>1696</v>
      </c>
      <c r="S201" s="92" t="s">
        <v>1577</v>
      </c>
      <c r="T201" s="110"/>
      <c r="U201" s="94" t="s">
        <v>1696</v>
      </c>
      <c r="V201" s="107"/>
      <c r="W201" s="111">
        <v>7601167</v>
      </c>
      <c r="X201" s="115" t="s">
        <v>1696</v>
      </c>
      <c r="AE201" s="88" t="s">
        <v>1778</v>
      </c>
      <c r="AF201" s="88" t="s">
        <v>1779</v>
      </c>
    </row>
    <row r="202" spans="2:32" ht="17.45" customHeight="1">
      <c r="B202" s="96" t="e">
        <f t="shared" si="9"/>
        <v>#REF!</v>
      </c>
      <c r="C202" s="148">
        <v>41410</v>
      </c>
      <c r="D202" s="98" t="s">
        <v>2131</v>
      </c>
      <c r="E202" s="118">
        <v>7601067</v>
      </c>
      <c r="F202" s="164" t="s">
        <v>2130</v>
      </c>
      <c r="G202" s="165" t="s">
        <v>819</v>
      </c>
      <c r="H202" s="171" t="s">
        <v>2239</v>
      </c>
      <c r="I202" s="98" t="s">
        <v>2131</v>
      </c>
      <c r="J202" s="172">
        <v>3</v>
      </c>
      <c r="K202" s="130" t="s">
        <v>1802</v>
      </c>
      <c r="L202" s="124">
        <v>7</v>
      </c>
      <c r="M202" s="125" t="s">
        <v>1694</v>
      </c>
      <c r="N202" s="106" t="str">
        <f t="shared" si="10"/>
        <v>37</v>
      </c>
      <c r="O202" s="107"/>
      <c r="P202" s="108" t="s">
        <v>2131</v>
      </c>
      <c r="Q202" s="107"/>
      <c r="R202" s="115" t="s">
        <v>1695</v>
      </c>
      <c r="S202" s="92" t="s">
        <v>1577</v>
      </c>
      <c r="T202" s="110"/>
      <c r="U202" s="94" t="s">
        <v>1695</v>
      </c>
      <c r="V202" s="107"/>
      <c r="W202" s="111">
        <v>7601067</v>
      </c>
      <c r="X202" s="115" t="s">
        <v>2136</v>
      </c>
      <c r="AE202" s="88" t="s">
        <v>1778</v>
      </c>
      <c r="AF202" s="88" t="s">
        <v>1779</v>
      </c>
    </row>
    <row r="203" spans="2:32" ht="17.45" customHeight="1">
      <c r="B203" s="96" t="e">
        <f t="shared" si="9"/>
        <v>#REF!</v>
      </c>
      <c r="C203" s="148">
        <v>41435</v>
      </c>
      <c r="D203" s="98" t="s">
        <v>1954</v>
      </c>
      <c r="E203" s="118">
        <v>7600741</v>
      </c>
      <c r="F203" s="164" t="s">
        <v>1943</v>
      </c>
      <c r="G203" s="165" t="s">
        <v>842</v>
      </c>
      <c r="H203" s="171" t="s">
        <v>1951</v>
      </c>
      <c r="I203" s="98" t="s">
        <v>1954</v>
      </c>
      <c r="J203" s="181">
        <v>4</v>
      </c>
      <c r="K203" s="131" t="s">
        <v>1774</v>
      </c>
      <c r="L203" s="124">
        <v>1</v>
      </c>
      <c r="M203" s="125" t="s">
        <v>1699</v>
      </c>
      <c r="N203" s="106" t="str">
        <f t="shared" si="10"/>
        <v>41</v>
      </c>
      <c r="O203" s="107"/>
      <c r="P203" s="108" t="s">
        <v>1944</v>
      </c>
      <c r="Q203" s="107"/>
      <c r="R203" s="115" t="s">
        <v>1700</v>
      </c>
      <c r="S203" s="92" t="s">
        <v>1587</v>
      </c>
      <c r="T203" s="110"/>
      <c r="U203" s="94" t="s">
        <v>1700</v>
      </c>
      <c r="V203" s="107"/>
      <c r="W203" s="111">
        <v>7600415</v>
      </c>
      <c r="X203" s="115" t="s">
        <v>1700</v>
      </c>
      <c r="AE203" s="88" t="s">
        <v>1778</v>
      </c>
      <c r="AF203" s="88" t="s">
        <v>1779</v>
      </c>
    </row>
    <row r="204" spans="2:32" ht="17.45" customHeight="1">
      <c r="B204" s="96" t="e">
        <f t="shared" si="9"/>
        <v>#REF!</v>
      </c>
      <c r="C204" s="148">
        <v>38841</v>
      </c>
      <c r="D204" s="98" t="s">
        <v>1953</v>
      </c>
      <c r="E204" s="118">
        <v>7600415</v>
      </c>
      <c r="F204" s="164" t="s">
        <v>1943</v>
      </c>
      <c r="G204" s="165" t="s">
        <v>849</v>
      </c>
      <c r="H204" s="171" t="s">
        <v>1951</v>
      </c>
      <c r="I204" s="98" t="s">
        <v>1953</v>
      </c>
      <c r="J204" s="181">
        <v>4</v>
      </c>
      <c r="K204" s="131" t="s">
        <v>1774</v>
      </c>
      <c r="L204" s="124">
        <v>1</v>
      </c>
      <c r="M204" s="125" t="s">
        <v>1699</v>
      </c>
      <c r="N204" s="106" t="str">
        <f t="shared" si="10"/>
        <v>41</v>
      </c>
      <c r="O204" s="107"/>
      <c r="P204" s="114" t="s">
        <v>1944</v>
      </c>
      <c r="Q204" s="107"/>
      <c r="R204" s="115" t="s">
        <v>1700</v>
      </c>
      <c r="S204" s="92" t="s">
        <v>1587</v>
      </c>
      <c r="T204" s="110"/>
      <c r="U204" s="94" t="s">
        <v>1700</v>
      </c>
      <c r="V204" s="107"/>
      <c r="W204" s="117">
        <v>7600415</v>
      </c>
      <c r="X204" s="115" t="s">
        <v>1700</v>
      </c>
      <c r="AE204" s="88" t="s">
        <v>1778</v>
      </c>
      <c r="AF204" s="88" t="s">
        <v>1779</v>
      </c>
    </row>
    <row r="205" spans="2:32" ht="17.45" customHeight="1">
      <c r="B205" s="96" t="e">
        <f t="shared" si="9"/>
        <v>#REF!</v>
      </c>
      <c r="C205" s="148">
        <v>44301</v>
      </c>
      <c r="D205" s="98" t="s">
        <v>2067</v>
      </c>
      <c r="E205" s="118">
        <v>7601137</v>
      </c>
      <c r="F205" s="242" t="s">
        <v>2065</v>
      </c>
      <c r="G205" s="171" t="s">
        <v>853</v>
      </c>
      <c r="H205" s="175" t="s">
        <v>2066</v>
      </c>
      <c r="I205" s="98" t="s">
        <v>2067</v>
      </c>
      <c r="J205" s="172">
        <v>4</v>
      </c>
      <c r="K205" s="130" t="s">
        <v>1774</v>
      </c>
      <c r="L205" s="103">
        <v>1</v>
      </c>
      <c r="M205" s="173" t="s">
        <v>1699</v>
      </c>
      <c r="N205" s="106" t="str">
        <f t="shared" si="10"/>
        <v>41</v>
      </c>
      <c r="O205" s="107"/>
      <c r="P205" s="114" t="s">
        <v>2067</v>
      </c>
      <c r="Q205" s="107"/>
      <c r="R205" s="115" t="s">
        <v>1702</v>
      </c>
      <c r="S205" s="92" t="s">
        <v>1587</v>
      </c>
      <c r="T205" s="110"/>
      <c r="U205" s="94" t="s">
        <v>1702</v>
      </c>
      <c r="V205" s="107"/>
      <c r="W205" s="117">
        <v>7601137</v>
      </c>
      <c r="X205" s="115" t="s">
        <v>1702</v>
      </c>
      <c r="AE205" s="88" t="s">
        <v>1778</v>
      </c>
      <c r="AF205" s="88" t="s">
        <v>1779</v>
      </c>
    </row>
    <row r="206" spans="2:32" ht="17.45" customHeight="1">
      <c r="B206" s="96" t="e">
        <f t="shared" si="9"/>
        <v>#REF!</v>
      </c>
      <c r="C206" s="148">
        <v>41922</v>
      </c>
      <c r="D206" s="98" t="s">
        <v>2099</v>
      </c>
      <c r="E206" s="98">
        <v>7600803</v>
      </c>
      <c r="F206" s="113" t="s">
        <v>2097</v>
      </c>
      <c r="G206" s="100" t="s">
        <v>857</v>
      </c>
      <c r="H206" s="101" t="s">
        <v>2108</v>
      </c>
      <c r="I206" s="98" t="s">
        <v>2099</v>
      </c>
      <c r="J206" s="126">
        <v>4</v>
      </c>
      <c r="K206" s="124" t="s">
        <v>1774</v>
      </c>
      <c r="L206" s="124">
        <v>1</v>
      </c>
      <c r="M206" s="125" t="s">
        <v>1699</v>
      </c>
      <c r="N206" s="106" t="str">
        <f t="shared" si="10"/>
        <v>41</v>
      </c>
      <c r="O206" s="107"/>
      <c r="P206" s="108" t="s">
        <v>2099</v>
      </c>
      <c r="Q206" s="107"/>
      <c r="R206" s="115" t="s">
        <v>1703</v>
      </c>
      <c r="S206" s="92" t="s">
        <v>1587</v>
      </c>
      <c r="T206" s="110"/>
      <c r="U206" s="94" t="s">
        <v>1703</v>
      </c>
      <c r="V206" s="107"/>
      <c r="W206" s="111">
        <v>7600803</v>
      </c>
      <c r="X206" s="115" t="s">
        <v>1703</v>
      </c>
      <c r="AE206" s="88" t="s">
        <v>1778</v>
      </c>
      <c r="AF206" s="88" t="s">
        <v>1779</v>
      </c>
    </row>
    <row r="207" spans="2:32" ht="17.45" customHeight="1">
      <c r="B207" s="96" t="e">
        <f t="shared" si="9"/>
        <v>#REF!</v>
      </c>
      <c r="C207" s="148">
        <v>42297</v>
      </c>
      <c r="D207" s="98" t="s">
        <v>2181</v>
      </c>
      <c r="E207" s="98">
        <v>7600861</v>
      </c>
      <c r="F207" s="113" t="s">
        <v>2178</v>
      </c>
      <c r="G207" s="100" t="s">
        <v>863</v>
      </c>
      <c r="H207" s="101" t="s">
        <v>2169</v>
      </c>
      <c r="I207" s="98" t="s">
        <v>2181</v>
      </c>
      <c r="J207" s="126">
        <v>4</v>
      </c>
      <c r="K207" s="124" t="s">
        <v>1774</v>
      </c>
      <c r="L207" s="124">
        <v>1</v>
      </c>
      <c r="M207" s="125" t="s">
        <v>1699</v>
      </c>
      <c r="N207" s="106" t="str">
        <f t="shared" si="10"/>
        <v>41</v>
      </c>
      <c r="O207" s="107"/>
      <c r="P207" s="108" t="s">
        <v>2179</v>
      </c>
      <c r="Q207" s="107"/>
      <c r="R207" s="115" t="s">
        <v>1704</v>
      </c>
      <c r="S207" s="92" t="s">
        <v>1587</v>
      </c>
      <c r="T207" s="110"/>
      <c r="U207" s="94" t="s">
        <v>1704</v>
      </c>
      <c r="V207" s="107"/>
      <c r="W207" s="111">
        <v>7600393</v>
      </c>
      <c r="X207" s="115" t="s">
        <v>1704</v>
      </c>
      <c r="Z207" s="155"/>
      <c r="AE207" s="88" t="s">
        <v>1778</v>
      </c>
      <c r="AF207" s="88" t="s">
        <v>1779</v>
      </c>
    </row>
    <row r="208" spans="2:32" ht="17.45" customHeight="1">
      <c r="B208" s="96" t="e">
        <f t="shared" si="9"/>
        <v>#REF!</v>
      </c>
      <c r="C208" s="112">
        <v>38492</v>
      </c>
      <c r="D208" s="98" t="s">
        <v>2179</v>
      </c>
      <c r="E208" s="98">
        <v>7600393</v>
      </c>
      <c r="F208" s="113" t="s">
        <v>2178</v>
      </c>
      <c r="G208" s="100" t="s">
        <v>868</v>
      </c>
      <c r="H208" s="101" t="s">
        <v>2169</v>
      </c>
      <c r="I208" s="98" t="s">
        <v>2179</v>
      </c>
      <c r="J208" s="102">
        <v>4</v>
      </c>
      <c r="K208" s="103" t="s">
        <v>1774</v>
      </c>
      <c r="L208" s="124">
        <v>1</v>
      </c>
      <c r="M208" s="125" t="s">
        <v>1699</v>
      </c>
      <c r="N208" s="106" t="str">
        <f t="shared" si="10"/>
        <v>41</v>
      </c>
      <c r="O208" s="107"/>
      <c r="P208" s="114" t="s">
        <v>2179</v>
      </c>
      <c r="Q208" s="107"/>
      <c r="R208" s="115" t="s">
        <v>1704</v>
      </c>
      <c r="S208" s="92" t="s">
        <v>1587</v>
      </c>
      <c r="T208" s="110"/>
      <c r="U208" s="94" t="s">
        <v>1704</v>
      </c>
      <c r="V208" s="107"/>
      <c r="W208" s="117">
        <v>7600393</v>
      </c>
      <c r="X208" s="115" t="s">
        <v>1704</v>
      </c>
      <c r="AE208" s="88" t="s">
        <v>1778</v>
      </c>
      <c r="AF208" s="88" t="s">
        <v>1779</v>
      </c>
    </row>
    <row r="209" spans="1:52" ht="17.45" customHeight="1">
      <c r="B209" s="96" t="e">
        <f t="shared" si="9"/>
        <v>#REF!</v>
      </c>
      <c r="C209" s="148">
        <v>41638</v>
      </c>
      <c r="D209" s="98" t="s">
        <v>2191</v>
      </c>
      <c r="E209" s="118">
        <v>7600760</v>
      </c>
      <c r="F209" s="164" t="s">
        <v>2189</v>
      </c>
      <c r="G209" s="165" t="s">
        <v>870</v>
      </c>
      <c r="H209" s="171" t="s">
        <v>2180</v>
      </c>
      <c r="I209" s="98" t="s">
        <v>2191</v>
      </c>
      <c r="J209" s="172">
        <v>4</v>
      </c>
      <c r="K209" s="130" t="s">
        <v>1774</v>
      </c>
      <c r="L209" s="124">
        <v>1</v>
      </c>
      <c r="M209" s="125" t="s">
        <v>1699</v>
      </c>
      <c r="N209" s="106" t="str">
        <f t="shared" si="10"/>
        <v>41</v>
      </c>
      <c r="O209" s="107"/>
      <c r="P209" s="108" t="s">
        <v>2190</v>
      </c>
      <c r="Q209" s="107"/>
      <c r="R209" s="115" t="s">
        <v>1705</v>
      </c>
      <c r="S209" s="92" t="s">
        <v>1587</v>
      </c>
      <c r="T209" s="110"/>
      <c r="U209" s="94" t="s">
        <v>1705</v>
      </c>
      <c r="V209" s="107"/>
      <c r="W209" s="111">
        <v>7600757</v>
      </c>
      <c r="X209" s="115" t="s">
        <v>1705</v>
      </c>
      <c r="Z209" s="155"/>
      <c r="AE209" s="88" t="s">
        <v>1778</v>
      </c>
      <c r="AF209" s="88" t="s">
        <v>1779</v>
      </c>
    </row>
    <row r="210" spans="1:52" ht="17.45" customHeight="1">
      <c r="B210" s="96" t="e">
        <f t="shared" si="9"/>
        <v>#REF!</v>
      </c>
      <c r="C210" s="148">
        <v>41583</v>
      </c>
      <c r="D210" s="98" t="s">
        <v>2190</v>
      </c>
      <c r="E210" s="118">
        <v>7600757</v>
      </c>
      <c r="F210" s="164" t="s">
        <v>2189</v>
      </c>
      <c r="G210" s="165" t="s">
        <v>876</v>
      </c>
      <c r="H210" s="171" t="s">
        <v>2180</v>
      </c>
      <c r="I210" s="98" t="s">
        <v>2190</v>
      </c>
      <c r="J210" s="172">
        <v>4</v>
      </c>
      <c r="K210" s="130" t="s">
        <v>1774</v>
      </c>
      <c r="L210" s="124">
        <v>1</v>
      </c>
      <c r="M210" s="125" t="s">
        <v>1699</v>
      </c>
      <c r="N210" s="106" t="str">
        <f t="shared" si="10"/>
        <v>41</v>
      </c>
      <c r="O210" s="107"/>
      <c r="P210" s="108" t="s">
        <v>2190</v>
      </c>
      <c r="Q210" s="107"/>
      <c r="R210" s="115" t="s">
        <v>1705</v>
      </c>
      <c r="S210" s="92" t="s">
        <v>1587</v>
      </c>
      <c r="T210" s="110"/>
      <c r="U210" s="94" t="s">
        <v>1705</v>
      </c>
      <c r="V210" s="107"/>
      <c r="W210" s="111">
        <v>7600757</v>
      </c>
      <c r="X210" s="115" t="s">
        <v>1705</v>
      </c>
      <c r="Z210" s="155"/>
      <c r="AE210" s="88" t="s">
        <v>1778</v>
      </c>
      <c r="AF210" s="88" t="s">
        <v>1779</v>
      </c>
    </row>
    <row r="211" spans="1:52" ht="17.45" customHeight="1">
      <c r="B211" s="96" t="e">
        <f t="shared" si="9"/>
        <v>#REF!</v>
      </c>
      <c r="C211" s="148">
        <v>42447</v>
      </c>
      <c r="D211" s="98" t="s">
        <v>2247</v>
      </c>
      <c r="E211" s="98">
        <v>7601076</v>
      </c>
      <c r="F211" s="113" t="s">
        <v>2243</v>
      </c>
      <c r="G211" s="165" t="s">
        <v>898</v>
      </c>
      <c r="H211" s="171" t="s">
        <v>1772</v>
      </c>
      <c r="I211" s="98" t="s">
        <v>2247</v>
      </c>
      <c r="J211" s="181">
        <v>4</v>
      </c>
      <c r="K211" s="131" t="s">
        <v>1774</v>
      </c>
      <c r="L211" s="124">
        <v>2</v>
      </c>
      <c r="M211" s="125" t="s">
        <v>1706</v>
      </c>
      <c r="N211" s="106" t="str">
        <f t="shared" si="10"/>
        <v>42</v>
      </c>
      <c r="O211" s="107"/>
      <c r="P211" s="108" t="s">
        <v>2245</v>
      </c>
      <c r="Q211" s="107"/>
      <c r="R211" s="115" t="s">
        <v>1712</v>
      </c>
      <c r="S211" s="92" t="s">
        <v>1588</v>
      </c>
      <c r="T211" s="110"/>
      <c r="U211" s="94" t="s">
        <v>1712</v>
      </c>
      <c r="V211" s="107"/>
      <c r="W211" s="111">
        <v>7600976</v>
      </c>
      <c r="X211" s="115" t="s">
        <v>1712</v>
      </c>
      <c r="Z211" s="155"/>
      <c r="AE211" s="88" t="s">
        <v>1778</v>
      </c>
      <c r="AF211" s="88" t="s">
        <v>1779</v>
      </c>
    </row>
    <row r="212" spans="1:52" ht="17.45" customHeight="1">
      <c r="B212" s="96" t="e">
        <f t="shared" si="9"/>
        <v>#REF!</v>
      </c>
      <c r="C212" s="148">
        <v>39303</v>
      </c>
      <c r="D212" s="98" t="s">
        <v>2245</v>
      </c>
      <c r="E212" s="118">
        <v>7600976</v>
      </c>
      <c r="F212" s="164" t="s">
        <v>2243</v>
      </c>
      <c r="G212" s="165" t="s">
        <v>901</v>
      </c>
      <c r="H212" s="171" t="s">
        <v>1772</v>
      </c>
      <c r="I212" s="98" t="s">
        <v>2245</v>
      </c>
      <c r="J212" s="181">
        <v>4</v>
      </c>
      <c r="K212" s="131" t="s">
        <v>1774</v>
      </c>
      <c r="L212" s="124">
        <v>2</v>
      </c>
      <c r="M212" s="125" t="s">
        <v>1706</v>
      </c>
      <c r="N212" s="106" t="str">
        <f t="shared" si="10"/>
        <v>42</v>
      </c>
      <c r="O212" s="107"/>
      <c r="P212" s="108" t="s">
        <v>2245</v>
      </c>
      <c r="Q212" s="107"/>
      <c r="R212" s="115" t="s">
        <v>1712</v>
      </c>
      <c r="S212" s="92" t="s">
        <v>1588</v>
      </c>
      <c r="T212" s="110"/>
      <c r="U212" s="94" t="s">
        <v>1712</v>
      </c>
      <c r="V212" s="107"/>
      <c r="W212" s="111">
        <v>7600976</v>
      </c>
      <c r="X212" s="115" t="s">
        <v>1712</v>
      </c>
      <c r="Z212" s="155"/>
      <c r="AE212" s="88" t="s">
        <v>1778</v>
      </c>
      <c r="AF212" s="88" t="s">
        <v>1779</v>
      </c>
    </row>
    <row r="213" spans="1:52" ht="17.45" customHeight="1">
      <c r="B213" s="96" t="e">
        <f t="shared" si="9"/>
        <v>#REF!</v>
      </c>
      <c r="C213" s="148">
        <v>39984</v>
      </c>
      <c r="D213" s="98" t="s">
        <v>1857</v>
      </c>
      <c r="E213" s="118">
        <v>7600501</v>
      </c>
      <c r="F213" s="164" t="s">
        <v>1856</v>
      </c>
      <c r="G213" s="165" t="s">
        <v>881</v>
      </c>
      <c r="H213" s="171" t="s">
        <v>1864</v>
      </c>
      <c r="I213" s="98" t="s">
        <v>1857</v>
      </c>
      <c r="J213" s="181">
        <v>4</v>
      </c>
      <c r="K213" s="131" t="s">
        <v>1774</v>
      </c>
      <c r="L213" s="124">
        <v>2</v>
      </c>
      <c r="M213" s="125" t="s">
        <v>1706</v>
      </c>
      <c r="N213" s="106" t="str">
        <f t="shared" si="10"/>
        <v>42</v>
      </c>
      <c r="O213" s="107"/>
      <c r="P213" s="114" t="s">
        <v>1857</v>
      </c>
      <c r="Q213" s="107"/>
      <c r="R213" s="115" t="s">
        <v>1707</v>
      </c>
      <c r="S213" s="92" t="s">
        <v>1588</v>
      </c>
      <c r="T213" s="110"/>
      <c r="U213" s="94" t="s">
        <v>1707</v>
      </c>
      <c r="V213" s="107"/>
      <c r="W213" s="117">
        <v>7600501</v>
      </c>
      <c r="X213" s="115" t="s">
        <v>1707</v>
      </c>
      <c r="Z213" s="291" t="s">
        <v>1719</v>
      </c>
      <c r="AE213" s="88" t="s">
        <v>1778</v>
      </c>
      <c r="AF213" s="88" t="s">
        <v>1779</v>
      </c>
    </row>
    <row r="214" spans="1:52" ht="17.45" customHeight="1">
      <c r="B214" s="96" t="e">
        <f t="shared" si="9"/>
        <v>#REF!</v>
      </c>
      <c r="C214" s="112">
        <v>39465</v>
      </c>
      <c r="D214" s="98" t="s">
        <v>2049</v>
      </c>
      <c r="E214" s="98">
        <v>7600473</v>
      </c>
      <c r="F214" s="113" t="s">
        <v>2048</v>
      </c>
      <c r="G214" s="100" t="s">
        <v>887</v>
      </c>
      <c r="H214" s="101" t="s">
        <v>2041</v>
      </c>
      <c r="I214" s="98" t="s">
        <v>2049</v>
      </c>
      <c r="J214" s="102">
        <v>4</v>
      </c>
      <c r="K214" s="103" t="s">
        <v>1774</v>
      </c>
      <c r="L214" s="124">
        <v>2</v>
      </c>
      <c r="M214" s="125" t="s">
        <v>1706</v>
      </c>
      <c r="N214" s="106" t="str">
        <f t="shared" si="10"/>
        <v>42</v>
      </c>
      <c r="O214" s="107"/>
      <c r="P214" s="114" t="s">
        <v>2049</v>
      </c>
      <c r="Q214" s="107"/>
      <c r="R214" s="115" t="s">
        <v>1709</v>
      </c>
      <c r="S214" s="92" t="s">
        <v>1588</v>
      </c>
      <c r="T214" s="110"/>
      <c r="U214" s="94" t="s">
        <v>1709</v>
      </c>
      <c r="V214" s="107"/>
      <c r="W214" s="117">
        <v>7600473</v>
      </c>
      <c r="X214" s="115" t="s">
        <v>1709</v>
      </c>
      <c r="Y214" s="166"/>
      <c r="Z214" s="155"/>
      <c r="AE214" s="88" t="s">
        <v>1778</v>
      </c>
      <c r="AF214" s="88" t="s">
        <v>1779</v>
      </c>
    </row>
    <row r="215" spans="1:52" ht="17.45" customHeight="1">
      <c r="B215" s="96" t="e">
        <f t="shared" si="9"/>
        <v>#REF!</v>
      </c>
      <c r="C215" s="148">
        <v>42324</v>
      </c>
      <c r="D215" s="98" t="s">
        <v>2162</v>
      </c>
      <c r="E215" s="118">
        <v>7600091</v>
      </c>
      <c r="F215" s="164" t="s">
        <v>2161</v>
      </c>
      <c r="G215" s="165" t="s">
        <v>892</v>
      </c>
      <c r="H215" s="171" t="s">
        <v>2165</v>
      </c>
      <c r="I215" s="98" t="s">
        <v>2162</v>
      </c>
      <c r="J215" s="172">
        <v>4</v>
      </c>
      <c r="K215" s="130" t="s">
        <v>1774</v>
      </c>
      <c r="L215" s="124">
        <v>2</v>
      </c>
      <c r="M215" s="125" t="s">
        <v>1706</v>
      </c>
      <c r="N215" s="106" t="str">
        <f t="shared" si="10"/>
        <v>42</v>
      </c>
      <c r="O215" s="107"/>
      <c r="P215" s="108" t="s">
        <v>2162</v>
      </c>
      <c r="Q215" s="107"/>
      <c r="R215" s="115" t="s">
        <v>1710</v>
      </c>
      <c r="S215" s="92" t="s">
        <v>1588</v>
      </c>
      <c r="T215" s="110"/>
      <c r="U215" s="94" t="s">
        <v>1710</v>
      </c>
      <c r="V215" s="107"/>
      <c r="W215" s="111">
        <v>7600091</v>
      </c>
      <c r="X215" s="115" t="s">
        <v>1710</v>
      </c>
      <c r="Z215" s="155"/>
      <c r="AE215" s="88" t="s">
        <v>1778</v>
      </c>
      <c r="AF215" s="88" t="s">
        <v>1779</v>
      </c>
    </row>
    <row r="216" spans="1:52" ht="17.45" customHeight="1">
      <c r="B216" s="96" t="e">
        <f t="shared" ref="B216:B229" si="11">B215+1</f>
        <v>#REF!</v>
      </c>
      <c r="C216" s="148">
        <v>39674</v>
      </c>
      <c r="D216" s="98" t="s">
        <v>2195</v>
      </c>
      <c r="E216" s="118">
        <v>7601061</v>
      </c>
      <c r="F216" s="164" t="s">
        <v>2193</v>
      </c>
      <c r="G216" s="165" t="s">
        <v>903</v>
      </c>
      <c r="H216" s="171" t="s">
        <v>2185</v>
      </c>
      <c r="I216" s="98" t="s">
        <v>2195</v>
      </c>
      <c r="J216" s="181">
        <v>4</v>
      </c>
      <c r="K216" s="131" t="s">
        <v>1774</v>
      </c>
      <c r="L216" s="124">
        <v>2</v>
      </c>
      <c r="M216" s="125" t="s">
        <v>1706</v>
      </c>
      <c r="N216" s="106" t="str">
        <f t="shared" si="10"/>
        <v>42</v>
      </c>
      <c r="O216" s="107"/>
      <c r="P216" s="108" t="s">
        <v>2195</v>
      </c>
      <c r="Q216" s="107"/>
      <c r="R216" s="115" t="s">
        <v>1711</v>
      </c>
      <c r="S216" s="92" t="s">
        <v>1588</v>
      </c>
      <c r="T216" s="110"/>
      <c r="U216" s="94" t="s">
        <v>1711</v>
      </c>
      <c r="V216" s="107"/>
      <c r="W216" s="111">
        <v>7601061</v>
      </c>
      <c r="X216" s="115" t="s">
        <v>1711</v>
      </c>
      <c r="Z216" s="155"/>
      <c r="AE216" s="88" t="s">
        <v>1778</v>
      </c>
      <c r="AF216" s="88" t="s">
        <v>1779</v>
      </c>
    </row>
    <row r="217" spans="1:52" ht="17.45" customHeight="1">
      <c r="A217" s="86"/>
      <c r="B217" s="96" t="e">
        <f t="shared" si="11"/>
        <v>#REF!</v>
      </c>
      <c r="C217" s="146">
        <v>37525</v>
      </c>
      <c r="D217" s="98" t="s">
        <v>1950</v>
      </c>
      <c r="E217" s="118">
        <v>7600511</v>
      </c>
      <c r="F217" s="168" t="s">
        <v>1943</v>
      </c>
      <c r="G217" s="169" t="s">
        <v>1949</v>
      </c>
      <c r="H217" s="101" t="s">
        <v>1951</v>
      </c>
      <c r="I217" s="98" t="s">
        <v>1950</v>
      </c>
      <c r="J217" s="102">
        <v>4</v>
      </c>
      <c r="K217" s="103" t="s">
        <v>1774</v>
      </c>
      <c r="L217" s="124">
        <v>3</v>
      </c>
      <c r="M217" s="125" t="s">
        <v>1713</v>
      </c>
      <c r="N217" s="106" t="str">
        <f t="shared" si="10"/>
        <v>43</v>
      </c>
      <c r="O217" s="107"/>
      <c r="P217" s="108" t="s">
        <v>1944</v>
      </c>
      <c r="Q217" s="107"/>
      <c r="R217" s="109" t="s">
        <v>1717</v>
      </c>
      <c r="S217" s="92" t="s">
        <v>1589</v>
      </c>
      <c r="T217" s="110"/>
      <c r="U217" s="94" t="s">
        <v>1717</v>
      </c>
      <c r="V217" s="107"/>
      <c r="W217" s="111">
        <v>7600085</v>
      </c>
      <c r="X217" s="109" t="s">
        <v>1717</v>
      </c>
      <c r="Z217" s="155"/>
      <c r="AA217" s="86"/>
      <c r="AB217" s="86"/>
      <c r="AC217" s="86"/>
      <c r="AD217" s="86"/>
      <c r="AE217" s="88" t="s">
        <v>1778</v>
      </c>
      <c r="AF217" s="88" t="s">
        <v>1779</v>
      </c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</row>
    <row r="218" spans="1:52" s="86" customFormat="1" ht="17.45" customHeight="1">
      <c r="A218" s="56"/>
      <c r="B218" s="96" t="e">
        <f t="shared" si="11"/>
        <v>#REF!</v>
      </c>
      <c r="C218" s="146">
        <v>41991</v>
      </c>
      <c r="D218" s="98" t="s">
        <v>1958</v>
      </c>
      <c r="E218" s="118">
        <v>7601262</v>
      </c>
      <c r="F218" s="168" t="s">
        <v>1943</v>
      </c>
      <c r="G218" s="169" t="s">
        <v>929</v>
      </c>
      <c r="H218" s="171" t="s">
        <v>1951</v>
      </c>
      <c r="I218" s="98" t="s">
        <v>1958</v>
      </c>
      <c r="J218" s="102">
        <v>4</v>
      </c>
      <c r="K218" s="103" t="s">
        <v>1774</v>
      </c>
      <c r="L218" s="124">
        <v>3</v>
      </c>
      <c r="M218" s="125" t="s">
        <v>1713</v>
      </c>
      <c r="N218" s="106" t="str">
        <f t="shared" si="10"/>
        <v>43</v>
      </c>
      <c r="O218" s="107"/>
      <c r="P218" s="108" t="s">
        <v>1944</v>
      </c>
      <c r="Q218" s="107"/>
      <c r="R218" s="109" t="s">
        <v>1718</v>
      </c>
      <c r="S218" s="92" t="s">
        <v>1589</v>
      </c>
      <c r="T218" s="110"/>
      <c r="U218" s="94" t="s">
        <v>1718</v>
      </c>
      <c r="V218" s="107"/>
      <c r="W218" s="111">
        <v>7601264</v>
      </c>
      <c r="X218" s="109" t="s">
        <v>1718</v>
      </c>
      <c r="Y218" s="74"/>
      <c r="Z218" s="155"/>
      <c r="AA218" s="129"/>
      <c r="AB218" s="74"/>
      <c r="AC218" s="74"/>
      <c r="AD218" s="74"/>
      <c r="AE218" s="88" t="s">
        <v>1778</v>
      </c>
      <c r="AF218" s="88" t="s">
        <v>1779</v>
      </c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</row>
    <row r="219" spans="1:52" s="86" customFormat="1" ht="17.45" customHeight="1">
      <c r="B219" s="96" t="e">
        <f t="shared" si="11"/>
        <v>#REF!</v>
      </c>
      <c r="C219" s="148">
        <v>35445</v>
      </c>
      <c r="D219" s="98" t="s">
        <v>1956</v>
      </c>
      <c r="E219" s="118">
        <v>7601264</v>
      </c>
      <c r="F219" s="168" t="s">
        <v>1943</v>
      </c>
      <c r="G219" s="169" t="s">
        <v>1955</v>
      </c>
      <c r="H219" s="171" t="s">
        <v>1951</v>
      </c>
      <c r="I219" s="98" t="s">
        <v>1956</v>
      </c>
      <c r="J219" s="102">
        <v>4</v>
      </c>
      <c r="K219" s="103" t="s">
        <v>1774</v>
      </c>
      <c r="L219" s="124">
        <v>3</v>
      </c>
      <c r="M219" s="125" t="s">
        <v>1713</v>
      </c>
      <c r="N219" s="106" t="str">
        <f t="shared" si="10"/>
        <v>43</v>
      </c>
      <c r="O219" s="107"/>
      <c r="P219" s="108" t="s">
        <v>1944</v>
      </c>
      <c r="Q219" s="107"/>
      <c r="R219" s="109" t="s">
        <v>1718</v>
      </c>
      <c r="S219" s="92" t="s">
        <v>1589</v>
      </c>
      <c r="T219" s="110"/>
      <c r="U219" s="94" t="s">
        <v>1718</v>
      </c>
      <c r="V219" s="107"/>
      <c r="W219" s="111">
        <v>7601264</v>
      </c>
      <c r="X219" s="109" t="s">
        <v>1718</v>
      </c>
      <c r="Y219" s="74"/>
      <c r="Z219" s="155"/>
      <c r="AE219" s="88" t="s">
        <v>1778</v>
      </c>
      <c r="AF219" s="88" t="s">
        <v>1779</v>
      </c>
    </row>
    <row r="220" spans="1:52" s="86" customFormat="1" ht="17.45" customHeight="1">
      <c r="B220" s="96" t="e">
        <f t="shared" si="11"/>
        <v>#REF!</v>
      </c>
      <c r="C220" s="183">
        <v>38852</v>
      </c>
      <c r="D220" s="184" t="s">
        <v>1957</v>
      </c>
      <c r="E220" s="118">
        <v>7601263</v>
      </c>
      <c r="F220" s="168" t="s">
        <v>1943</v>
      </c>
      <c r="G220" s="169" t="s">
        <v>934</v>
      </c>
      <c r="H220" s="171" t="s">
        <v>1951</v>
      </c>
      <c r="I220" s="184" t="s">
        <v>1957</v>
      </c>
      <c r="J220" s="102">
        <v>4</v>
      </c>
      <c r="K220" s="103" t="s">
        <v>1774</v>
      </c>
      <c r="L220" s="124">
        <v>3</v>
      </c>
      <c r="M220" s="125" t="s">
        <v>1713</v>
      </c>
      <c r="N220" s="106" t="str">
        <f t="shared" si="10"/>
        <v>43</v>
      </c>
      <c r="O220" s="107"/>
      <c r="P220" s="108" t="s">
        <v>1944</v>
      </c>
      <c r="Q220" s="107"/>
      <c r="R220" s="109" t="s">
        <v>1718</v>
      </c>
      <c r="S220" s="92" t="s">
        <v>1589</v>
      </c>
      <c r="T220" s="110"/>
      <c r="U220" s="94" t="s">
        <v>1718</v>
      </c>
      <c r="V220" s="107"/>
      <c r="W220" s="111">
        <v>7601264</v>
      </c>
      <c r="X220" s="109" t="s">
        <v>1718</v>
      </c>
      <c r="Y220" s="74"/>
      <c r="Z220" s="155"/>
      <c r="AE220" s="88" t="s">
        <v>1778</v>
      </c>
      <c r="AF220" s="88" t="s">
        <v>1779</v>
      </c>
    </row>
    <row r="221" spans="1:52" s="86" customFormat="1" ht="17.45" customHeight="1">
      <c r="A221" s="56"/>
      <c r="B221" s="96" t="e">
        <f t="shared" si="11"/>
        <v>#REF!</v>
      </c>
      <c r="C221" s="185">
        <v>37291</v>
      </c>
      <c r="D221" s="186" t="s">
        <v>1947</v>
      </c>
      <c r="E221" s="118">
        <v>7600299</v>
      </c>
      <c r="F221" s="187" t="s">
        <v>1943</v>
      </c>
      <c r="G221" s="169" t="s">
        <v>909</v>
      </c>
      <c r="H221" s="188" t="s">
        <v>1951</v>
      </c>
      <c r="I221" s="186" t="s">
        <v>1947</v>
      </c>
      <c r="J221" s="102">
        <v>4</v>
      </c>
      <c r="K221" s="103" t="s">
        <v>1774</v>
      </c>
      <c r="L221" s="124">
        <v>3</v>
      </c>
      <c r="M221" s="125" t="s">
        <v>1713</v>
      </c>
      <c r="N221" s="106" t="str">
        <f t="shared" si="10"/>
        <v>43</v>
      </c>
      <c r="O221" s="107"/>
      <c r="P221" s="108" t="s">
        <v>1944</v>
      </c>
      <c r="Q221" s="107"/>
      <c r="R221" s="109" t="s">
        <v>1716</v>
      </c>
      <c r="S221" s="92" t="s">
        <v>1589</v>
      </c>
      <c r="T221" s="110"/>
      <c r="U221" s="94" t="s">
        <v>1716</v>
      </c>
      <c r="V221" s="107"/>
      <c r="W221" s="111">
        <v>7600085</v>
      </c>
      <c r="X221" s="109" t="s">
        <v>1716</v>
      </c>
      <c r="Y221" s="74"/>
      <c r="Z221" s="110" t="s">
        <v>1727</v>
      </c>
      <c r="AE221" s="88" t="s">
        <v>1778</v>
      </c>
      <c r="AF221" s="88" t="s">
        <v>1779</v>
      </c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</row>
    <row r="222" spans="1:52" s="86" customFormat="1" ht="17.45" customHeight="1">
      <c r="A222" s="56"/>
      <c r="B222" s="96" t="e">
        <f t="shared" si="11"/>
        <v>#REF!</v>
      </c>
      <c r="C222" s="146">
        <v>36542</v>
      </c>
      <c r="D222" s="98" t="s">
        <v>1945</v>
      </c>
      <c r="E222" s="118">
        <v>7600139</v>
      </c>
      <c r="F222" s="168" t="s">
        <v>1943</v>
      </c>
      <c r="G222" s="169" t="s">
        <v>915</v>
      </c>
      <c r="H222" s="170" t="s">
        <v>1951</v>
      </c>
      <c r="I222" s="98" t="s">
        <v>1945</v>
      </c>
      <c r="J222" s="189">
        <v>4</v>
      </c>
      <c r="K222" s="131" t="s">
        <v>1774</v>
      </c>
      <c r="L222" s="124">
        <v>3</v>
      </c>
      <c r="M222" s="125" t="s">
        <v>1713</v>
      </c>
      <c r="N222" s="106" t="str">
        <f t="shared" si="10"/>
        <v>43</v>
      </c>
      <c r="O222" s="107"/>
      <c r="P222" s="108" t="s">
        <v>1944</v>
      </c>
      <c r="Q222" s="107"/>
      <c r="R222" s="109" t="s">
        <v>1716</v>
      </c>
      <c r="S222" s="92" t="s">
        <v>1589</v>
      </c>
      <c r="T222" s="110"/>
      <c r="U222" s="94" t="s">
        <v>1716</v>
      </c>
      <c r="V222" s="107"/>
      <c r="W222" s="111">
        <v>7600085</v>
      </c>
      <c r="X222" s="109" t="s">
        <v>1716</v>
      </c>
      <c r="Y222" s="74"/>
      <c r="Z222" s="110" t="s">
        <v>1720</v>
      </c>
      <c r="AA222" s="129"/>
      <c r="AB222" s="74"/>
      <c r="AC222" s="74"/>
      <c r="AD222" s="74"/>
      <c r="AE222" s="88" t="s">
        <v>1778</v>
      </c>
      <c r="AF222" s="88" t="s">
        <v>1779</v>
      </c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</row>
    <row r="223" spans="1:52" ht="17.45" customHeight="1">
      <c r="A223" s="86"/>
      <c r="B223" s="96" t="e">
        <f t="shared" si="11"/>
        <v>#REF!</v>
      </c>
      <c r="C223" s="148">
        <v>44851</v>
      </c>
      <c r="D223" s="98" t="s">
        <v>1952</v>
      </c>
      <c r="E223" s="118">
        <v>7601209</v>
      </c>
      <c r="F223" s="164" t="s">
        <v>1943</v>
      </c>
      <c r="G223" s="165" t="s">
        <v>919</v>
      </c>
      <c r="H223" s="171" t="s">
        <v>1961</v>
      </c>
      <c r="I223" s="98" t="s">
        <v>1952</v>
      </c>
      <c r="J223" s="181">
        <v>4</v>
      </c>
      <c r="K223" s="131" t="s">
        <v>1774</v>
      </c>
      <c r="L223" s="124">
        <v>3</v>
      </c>
      <c r="M223" s="125" t="s">
        <v>1713</v>
      </c>
      <c r="N223" s="106" t="str">
        <f t="shared" si="10"/>
        <v>43</v>
      </c>
      <c r="O223" s="107"/>
      <c r="P223" s="108" t="s">
        <v>1944</v>
      </c>
      <c r="Q223" s="107"/>
      <c r="R223" s="115" t="s">
        <v>1716</v>
      </c>
      <c r="S223" s="92" t="s">
        <v>1589</v>
      </c>
      <c r="T223" s="110"/>
      <c r="U223" s="94" t="s">
        <v>1716</v>
      </c>
      <c r="V223" s="107"/>
      <c r="W223" s="111">
        <v>7600085</v>
      </c>
      <c r="X223" s="115" t="s">
        <v>1716</v>
      </c>
      <c r="Z223" s="155"/>
      <c r="AA223" s="86"/>
      <c r="AB223" s="86"/>
      <c r="AC223" s="86"/>
      <c r="AD223" s="86"/>
      <c r="AE223" s="88" t="s">
        <v>1778</v>
      </c>
      <c r="AF223" s="88" t="s">
        <v>1779</v>
      </c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</row>
    <row r="224" spans="1:52" ht="17.45" customHeight="1">
      <c r="A224" s="86"/>
      <c r="B224" s="96" t="e">
        <f t="shared" si="11"/>
        <v>#REF!</v>
      </c>
      <c r="C224" s="148">
        <v>35999</v>
      </c>
      <c r="D224" s="98" t="s">
        <v>1944</v>
      </c>
      <c r="E224" s="98">
        <v>7600085</v>
      </c>
      <c r="F224" s="113" t="s">
        <v>1943</v>
      </c>
      <c r="G224" s="165" t="s">
        <v>923</v>
      </c>
      <c r="H224" s="101" t="s">
        <v>1951</v>
      </c>
      <c r="I224" s="98" t="s">
        <v>1944</v>
      </c>
      <c r="J224" s="181">
        <v>4</v>
      </c>
      <c r="K224" s="131" t="s">
        <v>1774</v>
      </c>
      <c r="L224" s="124">
        <v>3</v>
      </c>
      <c r="M224" s="125" t="s">
        <v>1713</v>
      </c>
      <c r="N224" s="106" t="str">
        <f t="shared" si="10"/>
        <v>43</v>
      </c>
      <c r="O224" s="107"/>
      <c r="P224" s="114" t="s">
        <v>1944</v>
      </c>
      <c r="Q224" s="107"/>
      <c r="R224" s="115" t="s">
        <v>1716</v>
      </c>
      <c r="S224" s="92" t="s">
        <v>1589</v>
      </c>
      <c r="T224" s="110"/>
      <c r="U224" s="94" t="s">
        <v>1716</v>
      </c>
      <c r="V224" s="107"/>
      <c r="W224" s="117">
        <v>7600085</v>
      </c>
      <c r="X224" s="115" t="s">
        <v>1716</v>
      </c>
      <c r="Z224" s="110" t="s">
        <v>1621</v>
      </c>
      <c r="AE224" s="88" t="s">
        <v>1778</v>
      </c>
      <c r="AF224" s="88" t="s">
        <v>1779</v>
      </c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</row>
    <row r="225" spans="2:32" ht="17.45" customHeight="1">
      <c r="B225" s="96" t="e">
        <f t="shared" si="11"/>
        <v>#REF!</v>
      </c>
      <c r="C225" s="148">
        <v>36503</v>
      </c>
      <c r="D225" s="98" t="s">
        <v>2045</v>
      </c>
      <c r="E225" s="118">
        <v>7601091</v>
      </c>
      <c r="F225" s="285" t="s">
        <v>2043</v>
      </c>
      <c r="G225" s="286" t="s">
        <v>935</v>
      </c>
      <c r="H225" s="286" t="s">
        <v>2036</v>
      </c>
      <c r="I225" s="98" t="s">
        <v>2045</v>
      </c>
      <c r="J225" s="172">
        <v>4</v>
      </c>
      <c r="K225" s="130" t="s">
        <v>1774</v>
      </c>
      <c r="L225" s="124">
        <v>3</v>
      </c>
      <c r="M225" s="125" t="s">
        <v>1713</v>
      </c>
      <c r="N225" s="106" t="str">
        <f t="shared" si="10"/>
        <v>43</v>
      </c>
      <c r="O225" s="107"/>
      <c r="P225" s="174" t="s">
        <v>2045</v>
      </c>
      <c r="Q225" s="163"/>
      <c r="R225" s="192" t="s">
        <v>1719</v>
      </c>
      <c r="S225" s="92" t="s">
        <v>1589</v>
      </c>
      <c r="T225" s="110"/>
      <c r="U225" s="94" t="s">
        <v>1719</v>
      </c>
      <c r="V225" s="163"/>
      <c r="W225" s="117">
        <v>7601091</v>
      </c>
      <c r="X225" s="192" t="s">
        <v>1719</v>
      </c>
      <c r="Z225" s="155"/>
      <c r="AE225" s="88" t="s">
        <v>1778</v>
      </c>
      <c r="AF225" s="88" t="s">
        <v>1779</v>
      </c>
    </row>
    <row r="226" spans="2:32" ht="17.45" customHeight="1">
      <c r="B226" s="96" t="e">
        <f t="shared" si="11"/>
        <v>#REF!</v>
      </c>
      <c r="C226" s="148">
        <v>44679</v>
      </c>
      <c r="D226" s="98" t="s">
        <v>2047</v>
      </c>
      <c r="E226" s="118">
        <v>7601187</v>
      </c>
      <c r="F226" s="285" t="s">
        <v>2043</v>
      </c>
      <c r="G226" s="286" t="s">
        <v>941</v>
      </c>
      <c r="H226" s="286" t="s">
        <v>2039</v>
      </c>
      <c r="I226" s="98" t="s">
        <v>2047</v>
      </c>
      <c r="J226" s="172">
        <v>4</v>
      </c>
      <c r="K226" s="130" t="s">
        <v>1774</v>
      </c>
      <c r="L226" s="124">
        <v>3</v>
      </c>
      <c r="M226" s="125" t="s">
        <v>1713</v>
      </c>
      <c r="N226" s="106" t="str">
        <f t="shared" si="10"/>
        <v>43</v>
      </c>
      <c r="O226" s="107"/>
      <c r="P226" s="174" t="s">
        <v>2045</v>
      </c>
      <c r="Q226" s="163"/>
      <c r="R226" s="192" t="s">
        <v>1719</v>
      </c>
      <c r="S226" s="92" t="s">
        <v>1589</v>
      </c>
      <c r="T226" s="110"/>
      <c r="U226" s="94" t="s">
        <v>1719</v>
      </c>
      <c r="V226" s="163"/>
      <c r="W226" s="211">
        <v>7601091</v>
      </c>
      <c r="X226" s="192" t="s">
        <v>1719</v>
      </c>
      <c r="Y226" s="166"/>
      <c r="Z226" s="155"/>
      <c r="AE226" s="88" t="s">
        <v>1778</v>
      </c>
      <c r="AF226" s="88" t="s">
        <v>1779</v>
      </c>
    </row>
    <row r="227" spans="2:32" ht="17.45" customHeight="1">
      <c r="B227" s="96" t="e">
        <f t="shared" si="11"/>
        <v>#REF!</v>
      </c>
      <c r="C227" s="148">
        <v>44104</v>
      </c>
      <c r="D227" s="98" t="s">
        <v>1865</v>
      </c>
      <c r="E227" s="118">
        <v>7601094</v>
      </c>
      <c r="F227" s="242" t="s">
        <v>1863</v>
      </c>
      <c r="G227" s="171" t="s">
        <v>946</v>
      </c>
      <c r="H227" s="171" t="s">
        <v>2244</v>
      </c>
      <c r="I227" s="98" t="s">
        <v>1865</v>
      </c>
      <c r="J227" s="172">
        <v>4</v>
      </c>
      <c r="K227" s="130" t="s">
        <v>1774</v>
      </c>
      <c r="L227" s="124">
        <v>3</v>
      </c>
      <c r="M227" s="125" t="s">
        <v>1713</v>
      </c>
      <c r="N227" s="106" t="str">
        <f t="shared" si="10"/>
        <v>43</v>
      </c>
      <c r="O227" s="107"/>
      <c r="P227" s="108" t="s">
        <v>1865</v>
      </c>
      <c r="Q227" s="107"/>
      <c r="R227" s="115" t="s">
        <v>1714</v>
      </c>
      <c r="S227" s="92" t="s">
        <v>1589</v>
      </c>
      <c r="T227" s="110"/>
      <c r="U227" s="94" t="s">
        <v>1714</v>
      </c>
      <c r="V227" s="107"/>
      <c r="W227" s="111">
        <v>7601094</v>
      </c>
      <c r="X227" s="115" t="s">
        <v>1714</v>
      </c>
      <c r="Z227" s="110" t="s">
        <v>1669</v>
      </c>
      <c r="AE227" s="88" t="s">
        <v>1778</v>
      </c>
      <c r="AF227" s="88" t="s">
        <v>1779</v>
      </c>
    </row>
    <row r="228" spans="2:32" ht="17.45" customHeight="1">
      <c r="B228" s="96" t="e">
        <f t="shared" si="11"/>
        <v>#REF!</v>
      </c>
      <c r="C228" s="193">
        <v>43702</v>
      </c>
      <c r="D228" s="98" t="s">
        <v>2260</v>
      </c>
      <c r="E228" s="98">
        <v>7601086</v>
      </c>
      <c r="F228" s="153" t="s">
        <v>2259</v>
      </c>
      <c r="G228" s="101" t="s">
        <v>953</v>
      </c>
      <c r="H228" s="154" t="s">
        <v>2297</v>
      </c>
      <c r="I228" s="98" t="s">
        <v>2260</v>
      </c>
      <c r="J228" s="126">
        <v>4</v>
      </c>
      <c r="K228" s="124" t="s">
        <v>1774</v>
      </c>
      <c r="L228" s="124">
        <v>3</v>
      </c>
      <c r="M228" s="125" t="s">
        <v>1713</v>
      </c>
      <c r="N228" s="106" t="str">
        <f t="shared" si="10"/>
        <v>43</v>
      </c>
      <c r="O228" s="107"/>
      <c r="P228" s="108" t="s">
        <v>2260</v>
      </c>
      <c r="Q228" s="107"/>
      <c r="R228" s="115" t="s">
        <v>1720</v>
      </c>
      <c r="S228" s="92" t="s">
        <v>1589</v>
      </c>
      <c r="T228" s="110"/>
      <c r="U228" s="94" t="s">
        <v>1720</v>
      </c>
      <c r="V228" s="107"/>
      <c r="W228" s="111">
        <v>7601086</v>
      </c>
      <c r="X228" s="115" t="s">
        <v>1720</v>
      </c>
      <c r="Z228" s="155"/>
      <c r="AE228" s="88" t="s">
        <v>1778</v>
      </c>
      <c r="AF228" s="88" t="s">
        <v>1779</v>
      </c>
    </row>
    <row r="229" spans="2:32" ht="17.45" customHeight="1">
      <c r="B229" s="96" t="e">
        <f t="shared" si="11"/>
        <v>#REF!</v>
      </c>
      <c r="C229" s="148">
        <v>41563</v>
      </c>
      <c r="D229" s="98" t="s">
        <v>1822</v>
      </c>
      <c r="E229" s="118">
        <v>7600732</v>
      </c>
      <c r="F229" s="164" t="s">
        <v>1820</v>
      </c>
      <c r="G229" s="165" t="s">
        <v>1821</v>
      </c>
      <c r="H229" s="171" t="s">
        <v>2180</v>
      </c>
      <c r="I229" s="98" t="s">
        <v>1822</v>
      </c>
      <c r="J229" s="172">
        <v>4</v>
      </c>
      <c r="K229" s="130" t="s">
        <v>1774</v>
      </c>
      <c r="L229" s="124">
        <v>4</v>
      </c>
      <c r="M229" s="125" t="s">
        <v>1721</v>
      </c>
      <c r="N229" s="106" t="str">
        <f t="shared" si="10"/>
        <v>44</v>
      </c>
      <c r="O229" s="107"/>
      <c r="P229" s="108" t="s">
        <v>1822</v>
      </c>
      <c r="Q229" s="107"/>
      <c r="R229" s="115" t="s">
        <v>1722</v>
      </c>
      <c r="S229" s="92" t="s">
        <v>1590</v>
      </c>
      <c r="T229" s="110"/>
      <c r="U229" s="94" t="s">
        <v>1722</v>
      </c>
      <c r="V229" s="107"/>
      <c r="W229" s="117">
        <v>7600732</v>
      </c>
      <c r="X229" s="115" t="s">
        <v>1722</v>
      </c>
      <c r="Z229" s="110" t="s">
        <v>1738</v>
      </c>
      <c r="AE229" s="88" t="s">
        <v>1778</v>
      </c>
      <c r="AF229" s="88" t="s">
        <v>1779</v>
      </c>
    </row>
    <row r="230" spans="2:32" ht="17.45" customHeight="1">
      <c r="B230" s="96" t="e">
        <f>#REF!+1</f>
        <v>#REF!</v>
      </c>
      <c r="C230" s="148">
        <v>40487</v>
      </c>
      <c r="D230" s="98" t="s">
        <v>2262</v>
      </c>
      <c r="E230" s="118">
        <v>7600935</v>
      </c>
      <c r="F230" s="164" t="s">
        <v>2261</v>
      </c>
      <c r="G230" s="165" t="s">
        <v>963</v>
      </c>
      <c r="H230" s="171" t="s">
        <v>1976</v>
      </c>
      <c r="I230" s="98" t="s">
        <v>2262</v>
      </c>
      <c r="J230" s="181">
        <v>4</v>
      </c>
      <c r="K230" s="131" t="s">
        <v>1774</v>
      </c>
      <c r="L230" s="124">
        <v>4</v>
      </c>
      <c r="M230" s="125" t="s">
        <v>1721</v>
      </c>
      <c r="N230" s="106" t="str">
        <f t="shared" si="10"/>
        <v>44</v>
      </c>
      <c r="O230" s="107"/>
      <c r="P230" s="108" t="s">
        <v>2262</v>
      </c>
      <c r="Q230" s="107"/>
      <c r="R230" s="115" t="s">
        <v>1727</v>
      </c>
      <c r="S230" s="92" t="s">
        <v>1590</v>
      </c>
      <c r="T230" s="110"/>
      <c r="U230" s="94" t="s">
        <v>1727</v>
      </c>
      <c r="V230" s="107"/>
      <c r="W230" s="117">
        <v>7600935</v>
      </c>
      <c r="X230" s="115" t="s">
        <v>1727</v>
      </c>
      <c r="Z230" s="155"/>
      <c r="AE230" s="88" t="s">
        <v>1778</v>
      </c>
      <c r="AF230" s="88" t="s">
        <v>1779</v>
      </c>
    </row>
    <row r="231" spans="2:32" ht="17.45" customHeight="1">
      <c r="B231" s="96" t="e">
        <f t="shared" ref="B231:B250" si="12">B230+1</f>
        <v>#REF!</v>
      </c>
      <c r="C231" s="148">
        <v>42527</v>
      </c>
      <c r="D231" s="98" t="s">
        <v>2052</v>
      </c>
      <c r="E231" s="118">
        <v>7600863</v>
      </c>
      <c r="F231" s="164" t="s">
        <v>2050</v>
      </c>
      <c r="G231" s="165" t="s">
        <v>969</v>
      </c>
      <c r="H231" s="171" t="s">
        <v>2044</v>
      </c>
      <c r="I231" s="98" t="s">
        <v>2052</v>
      </c>
      <c r="J231" s="181">
        <v>4</v>
      </c>
      <c r="K231" s="131" t="s">
        <v>1774</v>
      </c>
      <c r="L231" s="124">
        <v>4</v>
      </c>
      <c r="M231" s="125" t="s">
        <v>1721</v>
      </c>
      <c r="N231" s="106" t="str">
        <f t="shared" si="10"/>
        <v>44</v>
      </c>
      <c r="O231" s="107"/>
      <c r="P231" s="108" t="s">
        <v>2052</v>
      </c>
      <c r="Q231" s="107"/>
      <c r="R231" s="115" t="s">
        <v>1725</v>
      </c>
      <c r="S231" s="92" t="s">
        <v>1590</v>
      </c>
      <c r="T231" s="110"/>
      <c r="U231" s="94" t="s">
        <v>1725</v>
      </c>
      <c r="V231" s="107"/>
      <c r="W231" s="111">
        <v>7600863</v>
      </c>
      <c r="X231" s="115" t="s">
        <v>1725</v>
      </c>
      <c r="Z231" s="155"/>
      <c r="AE231" s="88" t="s">
        <v>1778</v>
      </c>
      <c r="AF231" s="88" t="s">
        <v>1779</v>
      </c>
    </row>
    <row r="232" spans="2:32" ht="17.45" customHeight="1">
      <c r="B232" s="96" t="e">
        <f t="shared" si="12"/>
        <v>#REF!</v>
      </c>
      <c r="C232" s="112">
        <v>36277</v>
      </c>
      <c r="D232" s="98" t="s">
        <v>2037</v>
      </c>
      <c r="E232" s="98">
        <v>7600104</v>
      </c>
      <c r="F232" s="113" t="s">
        <v>2035</v>
      </c>
      <c r="G232" s="100" t="s">
        <v>974</v>
      </c>
      <c r="H232" s="101" t="s">
        <v>2150</v>
      </c>
      <c r="I232" s="98" t="s">
        <v>2037</v>
      </c>
      <c r="J232" s="102">
        <v>4</v>
      </c>
      <c r="K232" s="103" t="s">
        <v>1774</v>
      </c>
      <c r="L232" s="124">
        <v>4</v>
      </c>
      <c r="M232" s="125" t="s">
        <v>1721</v>
      </c>
      <c r="N232" s="106" t="str">
        <f t="shared" si="10"/>
        <v>44</v>
      </c>
      <c r="O232" s="107"/>
      <c r="P232" s="114" t="s">
        <v>2037</v>
      </c>
      <c r="Q232" s="107"/>
      <c r="R232" s="115" t="s">
        <v>1724</v>
      </c>
      <c r="S232" s="92" t="s">
        <v>1590</v>
      </c>
      <c r="T232" s="110"/>
      <c r="U232" s="94" t="s">
        <v>1724</v>
      </c>
      <c r="V232" s="107"/>
      <c r="W232" s="117">
        <v>7600104</v>
      </c>
      <c r="X232" s="115" t="s">
        <v>1724</v>
      </c>
      <c r="Z232" s="155"/>
      <c r="AE232" s="88" t="s">
        <v>1778</v>
      </c>
      <c r="AF232" s="88" t="s">
        <v>1779</v>
      </c>
    </row>
    <row r="233" spans="2:32" ht="17.45" customHeight="1">
      <c r="B233" s="96" t="e">
        <f t="shared" si="12"/>
        <v>#REF!</v>
      </c>
      <c r="C233" s="148">
        <v>41548</v>
      </c>
      <c r="D233" s="98" t="s">
        <v>2040</v>
      </c>
      <c r="E233" s="118">
        <v>7600781</v>
      </c>
      <c r="F233" s="164" t="s">
        <v>2035</v>
      </c>
      <c r="G233" s="165" t="s">
        <v>2038</v>
      </c>
      <c r="H233" s="171" t="s">
        <v>2153</v>
      </c>
      <c r="I233" s="98" t="s">
        <v>2040</v>
      </c>
      <c r="J233" s="181">
        <v>4</v>
      </c>
      <c r="K233" s="131" t="s">
        <v>1774</v>
      </c>
      <c r="L233" s="124">
        <v>4</v>
      </c>
      <c r="M233" s="125" t="s">
        <v>1721</v>
      </c>
      <c r="N233" s="106" t="str">
        <f t="shared" si="10"/>
        <v>44</v>
      </c>
      <c r="O233" s="107"/>
      <c r="P233" s="114" t="s">
        <v>2037</v>
      </c>
      <c r="Q233" s="107"/>
      <c r="R233" s="115" t="s">
        <v>1724</v>
      </c>
      <c r="S233" s="92" t="s">
        <v>1590</v>
      </c>
      <c r="T233" s="110"/>
      <c r="U233" s="94" t="s">
        <v>1724</v>
      </c>
      <c r="V233" s="107"/>
      <c r="W233" s="117">
        <v>7600104</v>
      </c>
      <c r="X233" s="115" t="s">
        <v>1724</v>
      </c>
      <c r="Z233" s="155"/>
      <c r="AE233" s="88" t="s">
        <v>1778</v>
      </c>
      <c r="AF233" s="88" t="s">
        <v>1779</v>
      </c>
    </row>
    <row r="234" spans="2:32" ht="17.45" customHeight="1">
      <c r="B234" s="96" t="e">
        <f t="shared" si="12"/>
        <v>#REF!</v>
      </c>
      <c r="C234" s="148">
        <v>41547</v>
      </c>
      <c r="D234" s="98" t="s">
        <v>2042</v>
      </c>
      <c r="E234" s="118">
        <v>7600763</v>
      </c>
      <c r="F234" s="164" t="s">
        <v>2035</v>
      </c>
      <c r="G234" s="165" t="s">
        <v>981</v>
      </c>
      <c r="H234" s="171" t="s">
        <v>2153</v>
      </c>
      <c r="I234" s="98" t="s">
        <v>2042</v>
      </c>
      <c r="J234" s="172">
        <v>4</v>
      </c>
      <c r="K234" s="130" t="s">
        <v>1774</v>
      </c>
      <c r="L234" s="124">
        <v>4</v>
      </c>
      <c r="M234" s="125" t="s">
        <v>1721</v>
      </c>
      <c r="N234" s="106" t="str">
        <f t="shared" si="10"/>
        <v>44</v>
      </c>
      <c r="O234" s="107"/>
      <c r="P234" s="111" t="s">
        <v>2037</v>
      </c>
      <c r="Q234" s="107"/>
      <c r="R234" s="115" t="s">
        <v>1724</v>
      </c>
      <c r="S234" s="92" t="s">
        <v>1590</v>
      </c>
      <c r="T234" s="110"/>
      <c r="U234" s="94" t="s">
        <v>1724</v>
      </c>
      <c r="V234" s="107"/>
      <c r="W234" s="111">
        <v>7600104</v>
      </c>
      <c r="X234" s="115" t="s">
        <v>1724</v>
      </c>
      <c r="Z234" s="155"/>
      <c r="AE234" s="88" t="s">
        <v>1778</v>
      </c>
      <c r="AF234" s="88" t="s">
        <v>1779</v>
      </c>
    </row>
    <row r="235" spans="2:32" ht="17.45" customHeight="1">
      <c r="B235" s="96" t="e">
        <f t="shared" si="12"/>
        <v>#REF!</v>
      </c>
      <c r="C235" s="148">
        <v>41415</v>
      </c>
      <c r="D235" s="98" t="s">
        <v>2158</v>
      </c>
      <c r="E235" s="118">
        <v>7600743</v>
      </c>
      <c r="F235" s="164" t="s">
        <v>2152</v>
      </c>
      <c r="G235" s="100" t="s">
        <v>985</v>
      </c>
      <c r="H235" s="171" t="s">
        <v>2156</v>
      </c>
      <c r="I235" s="98" t="s">
        <v>2158</v>
      </c>
      <c r="J235" s="181">
        <v>4</v>
      </c>
      <c r="K235" s="131" t="s">
        <v>1774</v>
      </c>
      <c r="L235" s="124">
        <v>4</v>
      </c>
      <c r="M235" s="125" t="s">
        <v>1721</v>
      </c>
      <c r="N235" s="106" t="str">
        <f t="shared" si="10"/>
        <v>44</v>
      </c>
      <c r="O235" s="107"/>
      <c r="P235" s="108" t="s">
        <v>2154</v>
      </c>
      <c r="Q235" s="107"/>
      <c r="R235" s="115" t="s">
        <v>1726</v>
      </c>
      <c r="S235" s="92" t="s">
        <v>1590</v>
      </c>
      <c r="T235" s="110"/>
      <c r="U235" s="94" t="s">
        <v>1726</v>
      </c>
      <c r="V235" s="107"/>
      <c r="W235" s="111">
        <v>7600596</v>
      </c>
      <c r="X235" s="115" t="s">
        <v>1726</v>
      </c>
      <c r="Z235" s="155"/>
      <c r="AE235" s="88" t="s">
        <v>1778</v>
      </c>
      <c r="AF235" s="88" t="s">
        <v>1779</v>
      </c>
    </row>
    <row r="236" spans="2:32" ht="17.45" customHeight="1">
      <c r="B236" s="96" t="e">
        <f t="shared" si="12"/>
        <v>#REF!</v>
      </c>
      <c r="C236" s="148">
        <v>40829</v>
      </c>
      <c r="D236" s="98" t="s">
        <v>2155</v>
      </c>
      <c r="E236" s="118">
        <v>7600597</v>
      </c>
      <c r="F236" s="164" t="s">
        <v>2152</v>
      </c>
      <c r="G236" s="165" t="s">
        <v>990</v>
      </c>
      <c r="H236" s="171" t="s">
        <v>2156</v>
      </c>
      <c r="I236" s="98" t="s">
        <v>2155</v>
      </c>
      <c r="J236" s="181">
        <v>4</v>
      </c>
      <c r="K236" s="131" t="s">
        <v>1774</v>
      </c>
      <c r="L236" s="124">
        <v>4</v>
      </c>
      <c r="M236" s="125" t="s">
        <v>1721</v>
      </c>
      <c r="N236" s="106" t="str">
        <f t="shared" si="10"/>
        <v>44</v>
      </c>
      <c r="O236" s="107"/>
      <c r="P236" s="108" t="s">
        <v>2154</v>
      </c>
      <c r="Q236" s="107"/>
      <c r="R236" s="115" t="s">
        <v>1726</v>
      </c>
      <c r="S236" s="92" t="s">
        <v>1590</v>
      </c>
      <c r="T236" s="110"/>
      <c r="U236" s="94" t="s">
        <v>1726</v>
      </c>
      <c r="V236" s="107"/>
      <c r="W236" s="111">
        <v>7600596</v>
      </c>
      <c r="X236" s="115" t="s">
        <v>1726</v>
      </c>
      <c r="Z236" s="155"/>
      <c r="AE236" s="88" t="s">
        <v>1778</v>
      </c>
      <c r="AF236" s="88" t="s">
        <v>1779</v>
      </c>
    </row>
    <row r="237" spans="2:32" ht="17.45" customHeight="1">
      <c r="B237" s="96" t="e">
        <f t="shared" si="12"/>
        <v>#REF!</v>
      </c>
      <c r="C237" s="146">
        <v>41373</v>
      </c>
      <c r="D237" s="98" t="s">
        <v>2157</v>
      </c>
      <c r="E237" s="118">
        <v>7600737</v>
      </c>
      <c r="F237" s="168" t="s">
        <v>2152</v>
      </c>
      <c r="G237" s="169" t="s">
        <v>993</v>
      </c>
      <c r="H237" s="171" t="s">
        <v>2156</v>
      </c>
      <c r="I237" s="98" t="s">
        <v>2157</v>
      </c>
      <c r="J237" s="181">
        <v>4</v>
      </c>
      <c r="K237" s="131" t="s">
        <v>1774</v>
      </c>
      <c r="L237" s="124">
        <v>4</v>
      </c>
      <c r="M237" s="125" t="s">
        <v>1721</v>
      </c>
      <c r="N237" s="106" t="str">
        <f t="shared" si="10"/>
        <v>44</v>
      </c>
      <c r="O237" s="107"/>
      <c r="P237" s="108" t="s">
        <v>2154</v>
      </c>
      <c r="Q237" s="107"/>
      <c r="R237" s="115" t="s">
        <v>1726</v>
      </c>
      <c r="S237" s="92" t="s">
        <v>1590</v>
      </c>
      <c r="T237" s="110"/>
      <c r="U237" s="94" t="s">
        <v>1726</v>
      </c>
      <c r="V237" s="107"/>
      <c r="W237" s="111">
        <v>7600596</v>
      </c>
      <c r="X237" s="115" t="s">
        <v>1726</v>
      </c>
      <c r="Z237" s="155"/>
      <c r="AE237" s="88" t="s">
        <v>1778</v>
      </c>
      <c r="AF237" s="88" t="s">
        <v>1779</v>
      </c>
    </row>
    <row r="238" spans="2:32" ht="17.45" customHeight="1">
      <c r="B238" s="96" t="e">
        <f t="shared" si="12"/>
        <v>#REF!</v>
      </c>
      <c r="C238" s="146">
        <v>41106</v>
      </c>
      <c r="D238" s="98" t="s">
        <v>2154</v>
      </c>
      <c r="E238" s="118">
        <v>7600596</v>
      </c>
      <c r="F238" s="168" t="s">
        <v>2152</v>
      </c>
      <c r="G238" s="169" t="s">
        <v>996</v>
      </c>
      <c r="H238" s="171" t="s">
        <v>2156</v>
      </c>
      <c r="I238" s="98" t="s">
        <v>2154</v>
      </c>
      <c r="J238" s="181">
        <v>4</v>
      </c>
      <c r="K238" s="131" t="s">
        <v>1774</v>
      </c>
      <c r="L238" s="124">
        <v>4</v>
      </c>
      <c r="M238" s="125" t="s">
        <v>1721</v>
      </c>
      <c r="N238" s="106" t="str">
        <f t="shared" si="10"/>
        <v>44</v>
      </c>
      <c r="O238" s="107"/>
      <c r="P238" s="108" t="s">
        <v>2154</v>
      </c>
      <c r="Q238" s="107"/>
      <c r="R238" s="109" t="s">
        <v>1726</v>
      </c>
      <c r="S238" s="92" t="s">
        <v>1590</v>
      </c>
      <c r="T238" s="110"/>
      <c r="U238" s="94" t="s">
        <v>1726</v>
      </c>
      <c r="V238" s="107"/>
      <c r="W238" s="111">
        <v>7600596</v>
      </c>
      <c r="X238" s="109" t="s">
        <v>1726</v>
      </c>
      <c r="Z238" s="155"/>
      <c r="AE238" s="88" t="s">
        <v>1778</v>
      </c>
      <c r="AF238" s="88" t="s">
        <v>1779</v>
      </c>
    </row>
    <row r="239" spans="2:32" ht="17.45" customHeight="1">
      <c r="B239" s="96" t="e">
        <f t="shared" si="12"/>
        <v>#REF!</v>
      </c>
      <c r="C239" s="146">
        <v>37237</v>
      </c>
      <c r="D239" s="98" t="s">
        <v>2034</v>
      </c>
      <c r="E239" s="118">
        <v>7600286</v>
      </c>
      <c r="F239" s="164" t="s">
        <v>2033</v>
      </c>
      <c r="G239" s="165" t="s">
        <v>998</v>
      </c>
      <c r="H239" s="171" t="s">
        <v>2023</v>
      </c>
      <c r="I239" s="98" t="s">
        <v>2034</v>
      </c>
      <c r="J239" s="181">
        <v>4</v>
      </c>
      <c r="K239" s="131" t="s">
        <v>1774</v>
      </c>
      <c r="L239" s="124">
        <v>5</v>
      </c>
      <c r="M239" s="125" t="s">
        <v>1728</v>
      </c>
      <c r="N239" s="106" t="str">
        <f t="shared" si="10"/>
        <v>45</v>
      </c>
      <c r="O239" s="107"/>
      <c r="P239" s="108" t="s">
        <v>2034</v>
      </c>
      <c r="Q239" s="107"/>
      <c r="R239" s="115" t="s">
        <v>1729</v>
      </c>
      <c r="S239" s="92" t="s">
        <v>1591</v>
      </c>
      <c r="T239" s="110"/>
      <c r="U239" s="94" t="s">
        <v>1729</v>
      </c>
      <c r="V239" s="107"/>
      <c r="W239" s="111">
        <v>7600286</v>
      </c>
      <c r="X239" s="115" t="s">
        <v>1729</v>
      </c>
      <c r="Z239" s="155"/>
      <c r="AE239" s="88" t="s">
        <v>1778</v>
      </c>
      <c r="AF239" s="88" t="s">
        <v>1779</v>
      </c>
    </row>
    <row r="240" spans="2:32" ht="17.45" customHeight="1">
      <c r="B240" s="96" t="e">
        <f t="shared" si="12"/>
        <v>#REF!</v>
      </c>
      <c r="C240" s="148">
        <v>42628</v>
      </c>
      <c r="D240" s="98" t="s">
        <v>2096</v>
      </c>
      <c r="E240" s="98">
        <v>7600927</v>
      </c>
      <c r="F240" s="99" t="s">
        <v>2094</v>
      </c>
      <c r="G240" s="100" t="s">
        <v>1004</v>
      </c>
      <c r="H240" s="101" t="s">
        <v>2106</v>
      </c>
      <c r="I240" s="98" t="s">
        <v>2096</v>
      </c>
      <c r="J240" s="102">
        <v>4</v>
      </c>
      <c r="K240" s="103" t="s">
        <v>1774</v>
      </c>
      <c r="L240" s="124">
        <v>5</v>
      </c>
      <c r="M240" s="125" t="s">
        <v>1728</v>
      </c>
      <c r="N240" s="106" t="str">
        <f t="shared" si="10"/>
        <v>45</v>
      </c>
      <c r="O240" s="107"/>
      <c r="P240" s="114" t="s">
        <v>2096</v>
      </c>
      <c r="Q240" s="107"/>
      <c r="R240" s="115" t="s">
        <v>1731</v>
      </c>
      <c r="S240" s="92" t="s">
        <v>1591</v>
      </c>
      <c r="T240" s="110"/>
      <c r="U240" s="94" t="s">
        <v>1731</v>
      </c>
      <c r="V240" s="107"/>
      <c r="W240" s="117">
        <v>7600927</v>
      </c>
      <c r="X240" s="115" t="s">
        <v>1731</v>
      </c>
      <c r="Z240" s="155"/>
      <c r="AA240" s="107"/>
      <c r="AE240" s="88" t="s">
        <v>1778</v>
      </c>
      <c r="AF240" s="88" t="s">
        <v>1779</v>
      </c>
    </row>
    <row r="241" spans="1:52" ht="17.45" customHeight="1">
      <c r="B241" s="96" t="e">
        <f t="shared" si="12"/>
        <v>#REF!</v>
      </c>
      <c r="C241" s="112">
        <v>40021</v>
      </c>
      <c r="D241" s="98" t="s">
        <v>2159</v>
      </c>
      <c r="E241" s="98">
        <v>7600948</v>
      </c>
      <c r="F241" s="113" t="s">
        <v>2152</v>
      </c>
      <c r="G241" s="100" t="s">
        <v>1010</v>
      </c>
      <c r="H241" s="101" t="s">
        <v>2156</v>
      </c>
      <c r="I241" s="98" t="s">
        <v>2159</v>
      </c>
      <c r="J241" s="102">
        <v>4</v>
      </c>
      <c r="K241" s="102" t="s">
        <v>1774</v>
      </c>
      <c r="L241" s="126">
        <v>5</v>
      </c>
      <c r="M241" s="125" t="s">
        <v>1728</v>
      </c>
      <c r="N241" s="106" t="str">
        <f t="shared" si="10"/>
        <v>45</v>
      </c>
      <c r="O241" s="107"/>
      <c r="P241" s="114" t="s">
        <v>2154</v>
      </c>
      <c r="Q241" s="107"/>
      <c r="R241" s="115" t="s">
        <v>1732</v>
      </c>
      <c r="S241" s="92" t="s">
        <v>1591</v>
      </c>
      <c r="T241" s="110"/>
      <c r="U241" s="94" t="s">
        <v>1732</v>
      </c>
      <c r="V241" s="107"/>
      <c r="W241" s="111">
        <v>7600948</v>
      </c>
      <c r="X241" s="115" t="s">
        <v>1732</v>
      </c>
      <c r="Z241" s="155"/>
      <c r="AA241" s="107"/>
      <c r="AE241" s="88" t="s">
        <v>1778</v>
      </c>
      <c r="AF241" s="88" t="s">
        <v>1779</v>
      </c>
    </row>
    <row r="242" spans="1:52" ht="17.45" customHeight="1">
      <c r="B242" s="96" t="e">
        <f t="shared" si="12"/>
        <v>#REF!</v>
      </c>
      <c r="C242" s="112">
        <v>43025</v>
      </c>
      <c r="D242" s="98" t="s">
        <v>2160</v>
      </c>
      <c r="E242" s="98">
        <v>7600985</v>
      </c>
      <c r="F242" s="113" t="s">
        <v>2152</v>
      </c>
      <c r="G242" s="100" t="s">
        <v>1016</v>
      </c>
      <c r="H242" s="101" t="s">
        <v>2156</v>
      </c>
      <c r="I242" s="98" t="s">
        <v>2160</v>
      </c>
      <c r="J242" s="102">
        <v>4</v>
      </c>
      <c r="K242" s="102" t="s">
        <v>1774</v>
      </c>
      <c r="L242" s="126">
        <v>5</v>
      </c>
      <c r="M242" s="125" t="s">
        <v>1728</v>
      </c>
      <c r="N242" s="106" t="str">
        <f t="shared" si="10"/>
        <v>45</v>
      </c>
      <c r="O242" s="107"/>
      <c r="P242" s="114" t="s">
        <v>2154</v>
      </c>
      <c r="Q242" s="107"/>
      <c r="R242" s="115" t="s">
        <v>1732</v>
      </c>
      <c r="S242" s="92" t="s">
        <v>1591</v>
      </c>
      <c r="T242" s="110"/>
      <c r="U242" s="94" t="s">
        <v>1732</v>
      </c>
      <c r="V242" s="107"/>
      <c r="W242" s="111">
        <v>7600948</v>
      </c>
      <c r="X242" s="115" t="s">
        <v>1732</v>
      </c>
      <c r="Z242" s="155"/>
      <c r="AA242" s="107"/>
      <c r="AE242" s="88" t="s">
        <v>1778</v>
      </c>
      <c r="AF242" s="88" t="s">
        <v>1779</v>
      </c>
    </row>
    <row r="243" spans="1:52" ht="17.45" customHeight="1">
      <c r="B243" s="96" t="e">
        <f t="shared" si="12"/>
        <v>#REF!</v>
      </c>
      <c r="C243" s="282">
        <v>44148</v>
      </c>
      <c r="D243" s="283" t="s">
        <v>2225</v>
      </c>
      <c r="E243" s="98">
        <v>7601136</v>
      </c>
      <c r="F243" s="224" t="s">
        <v>2224</v>
      </c>
      <c r="G243" s="101" t="s">
        <v>1017</v>
      </c>
      <c r="H243" s="154" t="s">
        <v>2220</v>
      </c>
      <c r="I243" s="283" t="s">
        <v>2225</v>
      </c>
      <c r="J243" s="126">
        <v>4</v>
      </c>
      <c r="K243" s="126" t="s">
        <v>1774</v>
      </c>
      <c r="L243" s="126">
        <v>5</v>
      </c>
      <c r="M243" s="125" t="s">
        <v>1728</v>
      </c>
      <c r="N243" s="106" t="str">
        <f t="shared" si="10"/>
        <v>45</v>
      </c>
      <c r="O243" s="107"/>
      <c r="P243" s="114" t="s">
        <v>2225</v>
      </c>
      <c r="Q243" s="107"/>
      <c r="R243" s="115" t="s">
        <v>1733</v>
      </c>
      <c r="S243" s="92" t="s">
        <v>1591</v>
      </c>
      <c r="T243" s="110"/>
      <c r="U243" s="94" t="s">
        <v>1733</v>
      </c>
      <c r="V243" s="107"/>
      <c r="W243" s="214">
        <v>7601136</v>
      </c>
      <c r="X243" s="115" t="s">
        <v>1733</v>
      </c>
      <c r="Z243" s="155"/>
      <c r="AA243" s="107"/>
      <c r="AE243" s="88" t="s">
        <v>1778</v>
      </c>
      <c r="AF243" s="88" t="s">
        <v>1779</v>
      </c>
    </row>
    <row r="244" spans="1:52" s="88" customFormat="1" ht="17.45" customHeight="1">
      <c r="A244" s="56"/>
      <c r="B244" s="96" t="e">
        <f t="shared" si="12"/>
        <v>#REF!</v>
      </c>
      <c r="C244" s="148">
        <v>36804</v>
      </c>
      <c r="D244" s="98" t="s">
        <v>2249</v>
      </c>
      <c r="E244" s="98">
        <v>7600164</v>
      </c>
      <c r="F244" s="99" t="s">
        <v>2248</v>
      </c>
      <c r="G244" s="100" t="s">
        <v>1023</v>
      </c>
      <c r="H244" s="101" t="s">
        <v>2251</v>
      </c>
      <c r="I244" s="98" t="s">
        <v>2249</v>
      </c>
      <c r="J244" s="102">
        <v>4</v>
      </c>
      <c r="K244" s="103" t="s">
        <v>1774</v>
      </c>
      <c r="L244" s="124">
        <v>5</v>
      </c>
      <c r="M244" s="125" t="s">
        <v>1728</v>
      </c>
      <c r="N244" s="106" t="str">
        <f t="shared" si="10"/>
        <v>45</v>
      </c>
      <c r="O244" s="107"/>
      <c r="P244" s="114" t="s">
        <v>2249</v>
      </c>
      <c r="Q244" s="107"/>
      <c r="R244" s="115" t="s">
        <v>1734</v>
      </c>
      <c r="S244" s="92" t="s">
        <v>1591</v>
      </c>
      <c r="T244" s="110"/>
      <c r="U244" s="94" t="s">
        <v>1734</v>
      </c>
      <c r="V244" s="107"/>
      <c r="W244" s="117">
        <v>7600164</v>
      </c>
      <c r="X244" s="115" t="s">
        <v>1734</v>
      </c>
      <c r="Y244" s="74"/>
      <c r="Z244" s="155"/>
      <c r="AA244" s="107"/>
      <c r="AB244" s="74"/>
      <c r="AC244" s="74"/>
      <c r="AD244" s="74"/>
      <c r="AE244" s="88" t="s">
        <v>1778</v>
      </c>
      <c r="AF244" s="88" t="s">
        <v>1779</v>
      </c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</row>
    <row r="245" spans="1:52" ht="17.45" customHeight="1">
      <c r="B245" s="96" t="e">
        <f t="shared" si="12"/>
        <v>#REF!</v>
      </c>
      <c r="C245" s="146">
        <v>41516</v>
      </c>
      <c r="D245" s="98" t="s">
        <v>2250</v>
      </c>
      <c r="E245" s="118">
        <v>7600755</v>
      </c>
      <c r="F245" s="164" t="s">
        <v>2248</v>
      </c>
      <c r="G245" s="165" t="s">
        <v>1029</v>
      </c>
      <c r="H245" s="171" t="s">
        <v>2251</v>
      </c>
      <c r="I245" s="98" t="s">
        <v>2250</v>
      </c>
      <c r="J245" s="181">
        <v>4</v>
      </c>
      <c r="K245" s="131" t="s">
        <v>1774</v>
      </c>
      <c r="L245" s="124">
        <v>5</v>
      </c>
      <c r="M245" s="125" t="s">
        <v>1728</v>
      </c>
      <c r="N245" s="106" t="str">
        <f t="shared" si="10"/>
        <v>45</v>
      </c>
      <c r="O245" s="107"/>
      <c r="P245" s="108" t="s">
        <v>2249</v>
      </c>
      <c r="Q245" s="107"/>
      <c r="R245" s="115" t="s">
        <v>1734</v>
      </c>
      <c r="S245" s="92" t="s">
        <v>1591</v>
      </c>
      <c r="T245" s="110"/>
      <c r="U245" s="94" t="s">
        <v>1734</v>
      </c>
      <c r="V245" s="107"/>
      <c r="W245" s="111">
        <v>7600164</v>
      </c>
      <c r="X245" s="115" t="s">
        <v>1734</v>
      </c>
      <c r="Z245" s="155"/>
      <c r="AA245" s="107"/>
      <c r="AE245" s="88" t="s">
        <v>1778</v>
      </c>
      <c r="AF245" s="88" t="s">
        <v>1779</v>
      </c>
    </row>
    <row r="246" spans="1:52" ht="17.45" customHeight="1">
      <c r="A246" s="88"/>
      <c r="B246" s="96" t="e">
        <f t="shared" si="12"/>
        <v>#REF!</v>
      </c>
      <c r="C246" s="148">
        <v>41631</v>
      </c>
      <c r="D246" s="98" t="s">
        <v>2252</v>
      </c>
      <c r="E246" s="118">
        <v>7600779</v>
      </c>
      <c r="F246" s="164" t="s">
        <v>2248</v>
      </c>
      <c r="G246" s="165" t="s">
        <v>1031</v>
      </c>
      <c r="H246" s="171" t="s">
        <v>2251</v>
      </c>
      <c r="I246" s="98" t="s">
        <v>2252</v>
      </c>
      <c r="J246" s="172">
        <v>4</v>
      </c>
      <c r="K246" s="130" t="s">
        <v>1774</v>
      </c>
      <c r="L246" s="124">
        <v>5</v>
      </c>
      <c r="M246" s="125" t="s">
        <v>1728</v>
      </c>
      <c r="N246" s="106" t="str">
        <f t="shared" si="10"/>
        <v>45</v>
      </c>
      <c r="O246" s="107"/>
      <c r="P246" s="114" t="s">
        <v>2249</v>
      </c>
      <c r="Q246" s="107"/>
      <c r="R246" s="115" t="s">
        <v>1734</v>
      </c>
      <c r="S246" s="92" t="s">
        <v>1591</v>
      </c>
      <c r="T246" s="110"/>
      <c r="U246" s="94" t="s">
        <v>1734</v>
      </c>
      <c r="V246" s="107"/>
      <c r="W246" s="117">
        <v>7600164</v>
      </c>
      <c r="X246" s="115" t="s">
        <v>1734</v>
      </c>
      <c r="Z246" s="155"/>
      <c r="AA246" s="107"/>
      <c r="AE246" s="88" t="s">
        <v>1778</v>
      </c>
      <c r="AF246" s="88" t="s">
        <v>1779</v>
      </c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  <c r="AQ246" s="88"/>
      <c r="AR246" s="88"/>
      <c r="AS246" s="88"/>
      <c r="AT246" s="88"/>
      <c r="AU246" s="88"/>
      <c r="AV246" s="88"/>
      <c r="AW246" s="88"/>
      <c r="AX246" s="88"/>
      <c r="AY246" s="88"/>
      <c r="AZ246" s="88"/>
    </row>
    <row r="247" spans="1:52" ht="17.45" customHeight="1">
      <c r="B247" s="96" t="e">
        <f t="shared" si="12"/>
        <v>#REF!</v>
      </c>
      <c r="C247" s="146">
        <v>41631</v>
      </c>
      <c r="D247" s="98" t="s">
        <v>1906</v>
      </c>
      <c r="E247" s="118">
        <v>7600678</v>
      </c>
      <c r="F247" s="164" t="s">
        <v>1905</v>
      </c>
      <c r="G247" s="165" t="s">
        <v>1049</v>
      </c>
      <c r="H247" s="171" t="s">
        <v>1887</v>
      </c>
      <c r="I247" s="98" t="s">
        <v>1906</v>
      </c>
      <c r="J247" s="172">
        <v>4</v>
      </c>
      <c r="K247" s="130" t="s">
        <v>1774</v>
      </c>
      <c r="L247" s="124">
        <v>6</v>
      </c>
      <c r="M247" s="125" t="s">
        <v>1735</v>
      </c>
      <c r="N247" s="106" t="str">
        <f t="shared" si="10"/>
        <v>46</v>
      </c>
      <c r="O247" s="107"/>
      <c r="P247" s="108" t="s">
        <v>1906</v>
      </c>
      <c r="Q247" s="107"/>
      <c r="R247" s="115" t="s">
        <v>1738</v>
      </c>
      <c r="S247" s="92" t="s">
        <v>1577</v>
      </c>
      <c r="T247" s="110"/>
      <c r="U247" s="94" t="s">
        <v>1738</v>
      </c>
      <c r="V247" s="107"/>
      <c r="W247" s="111">
        <v>7600678</v>
      </c>
      <c r="X247" s="115" t="s">
        <v>1738</v>
      </c>
      <c r="Z247" s="110" t="s">
        <v>1710</v>
      </c>
      <c r="AA247" s="107"/>
      <c r="AE247" s="88" t="s">
        <v>1778</v>
      </c>
      <c r="AF247" s="88" t="s">
        <v>1779</v>
      </c>
    </row>
    <row r="248" spans="1:52" ht="17.45" customHeight="1">
      <c r="B248" s="96" t="e">
        <f t="shared" si="12"/>
        <v>#REF!</v>
      </c>
      <c r="C248" s="112">
        <v>42480</v>
      </c>
      <c r="D248" s="98" t="s">
        <v>2000</v>
      </c>
      <c r="E248" s="98">
        <v>7600897</v>
      </c>
      <c r="F248" s="113" t="s">
        <v>1999</v>
      </c>
      <c r="G248" s="100" t="s">
        <v>1066</v>
      </c>
      <c r="H248" s="101" t="s">
        <v>1990</v>
      </c>
      <c r="I248" s="98" t="s">
        <v>2000</v>
      </c>
      <c r="J248" s="126">
        <v>4</v>
      </c>
      <c r="K248" s="124" t="s">
        <v>1774</v>
      </c>
      <c r="L248" s="124">
        <v>6</v>
      </c>
      <c r="M248" s="125" t="s">
        <v>1735</v>
      </c>
      <c r="N248" s="106" t="str">
        <f t="shared" si="10"/>
        <v>46</v>
      </c>
      <c r="O248" s="107"/>
      <c r="P248" s="114" t="s">
        <v>2000</v>
      </c>
      <c r="Q248" s="107"/>
      <c r="R248" s="115" t="s">
        <v>1741</v>
      </c>
      <c r="S248" s="92" t="s">
        <v>1577</v>
      </c>
      <c r="T248" s="110"/>
      <c r="U248" s="94" t="s">
        <v>1741</v>
      </c>
      <c r="V248" s="107"/>
      <c r="W248" s="117">
        <v>7600897</v>
      </c>
      <c r="X248" s="115" t="s">
        <v>1741</v>
      </c>
      <c r="Z248" s="155"/>
      <c r="AA248" s="107"/>
      <c r="AE248" s="88" t="s">
        <v>1778</v>
      </c>
      <c r="AF248" s="88" t="s">
        <v>1779</v>
      </c>
    </row>
    <row r="249" spans="1:52" s="147" customFormat="1" ht="17.45" customHeight="1">
      <c r="B249" s="96" t="e">
        <f t="shared" si="12"/>
        <v>#REF!</v>
      </c>
      <c r="C249" s="148">
        <v>42275</v>
      </c>
      <c r="D249" s="98" t="s">
        <v>2123</v>
      </c>
      <c r="E249" s="118">
        <v>7600810</v>
      </c>
      <c r="F249" s="164" t="s">
        <v>2122</v>
      </c>
      <c r="G249" s="165" t="s">
        <v>1041</v>
      </c>
      <c r="H249" s="171" t="s">
        <v>2046</v>
      </c>
      <c r="I249" s="98" t="s">
        <v>2123</v>
      </c>
      <c r="J249" s="172">
        <v>4</v>
      </c>
      <c r="K249" s="130" t="s">
        <v>1774</v>
      </c>
      <c r="L249" s="124">
        <v>6</v>
      </c>
      <c r="M249" s="125" t="s">
        <v>1735</v>
      </c>
      <c r="N249" s="106" t="str">
        <f t="shared" si="10"/>
        <v>46</v>
      </c>
      <c r="O249" s="107"/>
      <c r="P249" s="114" t="s">
        <v>2123</v>
      </c>
      <c r="Q249" s="107"/>
      <c r="R249" s="115" t="s">
        <v>1742</v>
      </c>
      <c r="S249" s="92" t="s">
        <v>1577</v>
      </c>
      <c r="T249" s="110"/>
      <c r="U249" s="94" t="s">
        <v>1742</v>
      </c>
      <c r="V249" s="107"/>
      <c r="W249" s="117">
        <v>7600810</v>
      </c>
      <c r="X249" s="115" t="s">
        <v>1742</v>
      </c>
      <c r="Y249" s="74"/>
      <c r="Z249" s="155"/>
      <c r="AA249" s="107"/>
      <c r="AB249" s="74"/>
      <c r="AC249" s="74"/>
      <c r="AD249" s="74"/>
      <c r="AE249" s="88" t="s">
        <v>1778</v>
      </c>
      <c r="AF249" s="88" t="s">
        <v>1779</v>
      </c>
    </row>
    <row r="250" spans="1:52" ht="17.45" customHeight="1">
      <c r="B250" s="96" t="e">
        <f t="shared" si="12"/>
        <v>#REF!</v>
      </c>
      <c r="C250" s="112">
        <v>42796</v>
      </c>
      <c r="D250" s="98" t="s">
        <v>2124</v>
      </c>
      <c r="E250" s="98">
        <v>7600872</v>
      </c>
      <c r="F250" s="99" t="s">
        <v>2122</v>
      </c>
      <c r="G250" s="100" t="s">
        <v>1046</v>
      </c>
      <c r="H250" s="151" t="s">
        <v>2046</v>
      </c>
      <c r="I250" s="98" t="s">
        <v>2124</v>
      </c>
      <c r="J250" s="126">
        <v>4</v>
      </c>
      <c r="K250" s="126" t="s">
        <v>1774</v>
      </c>
      <c r="L250" s="126">
        <v>6</v>
      </c>
      <c r="M250" s="125" t="s">
        <v>1735</v>
      </c>
      <c r="N250" s="106" t="str">
        <f t="shared" si="10"/>
        <v>46</v>
      </c>
      <c r="O250" s="107"/>
      <c r="P250" s="114" t="s">
        <v>2123</v>
      </c>
      <c r="Q250" s="107"/>
      <c r="R250" s="115" t="s">
        <v>1742</v>
      </c>
      <c r="S250" s="92" t="s">
        <v>1577</v>
      </c>
      <c r="T250" s="110"/>
      <c r="U250" s="94" t="s">
        <v>1742</v>
      </c>
      <c r="V250" s="107"/>
      <c r="W250" s="117">
        <v>7600810</v>
      </c>
      <c r="X250" s="115" t="s">
        <v>1742</v>
      </c>
      <c r="Z250" s="155"/>
      <c r="AA250" s="107"/>
      <c r="AD250" s="74" t="e">
        <f>VLOOKUP(#REF!,'old lista'!$G$5:$M$265,7,0)</f>
        <v>#REF!</v>
      </c>
      <c r="AE250" s="88" t="s">
        <v>1778</v>
      </c>
      <c r="AF250" s="88" t="s">
        <v>1779</v>
      </c>
    </row>
    <row r="251" spans="1:52" ht="17.45" customHeight="1">
      <c r="B251" s="96">
        <v>1</v>
      </c>
      <c r="C251" s="112">
        <v>41999</v>
      </c>
      <c r="D251" s="98" t="s">
        <v>1773</v>
      </c>
      <c r="E251" s="98">
        <v>7600804</v>
      </c>
      <c r="F251" s="113" t="s">
        <v>1771</v>
      </c>
      <c r="G251" s="100" t="s">
        <v>1056</v>
      </c>
      <c r="H251" s="101" t="s">
        <v>2071</v>
      </c>
      <c r="I251" s="98" t="s">
        <v>1773</v>
      </c>
      <c r="J251" s="126">
        <v>4</v>
      </c>
      <c r="K251" s="124" t="s">
        <v>1774</v>
      </c>
      <c r="L251" s="124">
        <v>6</v>
      </c>
      <c r="M251" s="125" t="s">
        <v>1735</v>
      </c>
      <c r="N251" s="106" t="str">
        <f t="shared" si="10"/>
        <v>46</v>
      </c>
      <c r="O251" s="107"/>
      <c r="P251" s="117" t="s">
        <v>1773</v>
      </c>
      <c r="Q251" s="107"/>
      <c r="R251" s="115" t="s">
        <v>1736</v>
      </c>
      <c r="S251" s="92" t="s">
        <v>1577</v>
      </c>
      <c r="T251" s="110"/>
      <c r="U251" s="94" t="s">
        <v>1736</v>
      </c>
      <c r="V251" s="107"/>
      <c r="W251" s="117">
        <v>7600804</v>
      </c>
      <c r="X251" s="115" t="s">
        <v>1736</v>
      </c>
      <c r="Y251" s="194"/>
      <c r="Z251" s="110" t="s">
        <v>1736</v>
      </c>
      <c r="AA251" s="107"/>
      <c r="AE251" s="88" t="s">
        <v>1778</v>
      </c>
      <c r="AF251" s="88" t="s">
        <v>1779</v>
      </c>
    </row>
    <row r="252" spans="1:52" ht="17.45" customHeight="1">
      <c r="B252" s="96">
        <f t="shared" ref="B252:B265" si="13">B251+1</f>
        <v>2</v>
      </c>
      <c r="C252" s="112">
        <v>43774</v>
      </c>
      <c r="D252" s="98" t="s">
        <v>1780</v>
      </c>
      <c r="E252" s="98">
        <v>7601095</v>
      </c>
      <c r="F252" s="153" t="s">
        <v>1771</v>
      </c>
      <c r="G252" s="101" t="s">
        <v>1061</v>
      </c>
      <c r="H252" s="154" t="s">
        <v>2071</v>
      </c>
      <c r="I252" s="98" t="s">
        <v>1780</v>
      </c>
      <c r="J252" s="126">
        <v>4</v>
      </c>
      <c r="K252" s="124" t="s">
        <v>1774</v>
      </c>
      <c r="L252" s="124">
        <v>6</v>
      </c>
      <c r="M252" s="125" t="s">
        <v>1735</v>
      </c>
      <c r="N252" s="106" t="str">
        <f t="shared" si="10"/>
        <v>46</v>
      </c>
      <c r="O252" s="107"/>
      <c r="P252" s="117" t="s">
        <v>1773</v>
      </c>
      <c r="Q252" s="107"/>
      <c r="R252" s="115" t="s">
        <v>1736</v>
      </c>
      <c r="S252" s="92" t="s">
        <v>1577</v>
      </c>
      <c r="T252" s="110"/>
      <c r="U252" s="94" t="s">
        <v>1736</v>
      </c>
      <c r="V252" s="107"/>
      <c r="W252" s="117">
        <v>7600804</v>
      </c>
      <c r="X252" s="115" t="s">
        <v>1736</v>
      </c>
      <c r="Y252" s="194"/>
      <c r="Z252" s="110" t="s">
        <v>1658</v>
      </c>
      <c r="AA252" s="107"/>
      <c r="AE252" s="88" t="s">
        <v>1778</v>
      </c>
      <c r="AF252" s="88" t="s">
        <v>1779</v>
      </c>
    </row>
    <row r="253" spans="1:52" ht="17.45" customHeight="1">
      <c r="B253" s="96">
        <f t="shared" si="13"/>
        <v>3</v>
      </c>
      <c r="C253" s="112">
        <v>40765</v>
      </c>
      <c r="D253" s="98" t="s">
        <v>2134</v>
      </c>
      <c r="E253" s="98">
        <v>7600599</v>
      </c>
      <c r="F253" s="113" t="s">
        <v>2132</v>
      </c>
      <c r="G253" s="100" t="s">
        <v>1064</v>
      </c>
      <c r="H253" s="101" t="s">
        <v>2239</v>
      </c>
      <c r="I253" s="98" t="s">
        <v>2134</v>
      </c>
      <c r="J253" s="102">
        <v>4</v>
      </c>
      <c r="K253" s="103" t="s">
        <v>1774</v>
      </c>
      <c r="L253" s="124">
        <v>6</v>
      </c>
      <c r="M253" s="125" t="s">
        <v>1735</v>
      </c>
      <c r="N253" s="106" t="str">
        <f t="shared" si="10"/>
        <v>46</v>
      </c>
      <c r="O253" s="107"/>
      <c r="P253" s="114" t="s">
        <v>2134</v>
      </c>
      <c r="Q253" s="107"/>
      <c r="R253" s="115" t="s">
        <v>2136</v>
      </c>
      <c r="S253" s="92" t="s">
        <v>1577</v>
      </c>
      <c r="T253" s="110"/>
      <c r="U253" s="94" t="s">
        <v>1743</v>
      </c>
      <c r="V253" s="107"/>
      <c r="W253" s="117">
        <v>7600599</v>
      </c>
      <c r="X253" s="115" t="s">
        <v>2136</v>
      </c>
      <c r="Z253" s="155"/>
      <c r="AA253" s="107"/>
      <c r="AE253" s="88" t="s">
        <v>1778</v>
      </c>
      <c r="AF253" s="88" t="s">
        <v>1779</v>
      </c>
    </row>
    <row r="254" spans="1:52" ht="17.45" customHeight="1">
      <c r="B254" s="96">
        <f t="shared" si="13"/>
        <v>4</v>
      </c>
      <c r="C254" s="112">
        <v>41612</v>
      </c>
      <c r="D254" s="98" t="s">
        <v>1888</v>
      </c>
      <c r="E254" s="98">
        <v>7600718</v>
      </c>
      <c r="F254" s="113" t="s">
        <v>1885</v>
      </c>
      <c r="G254" s="100" t="s">
        <v>1083</v>
      </c>
      <c r="H254" s="101" t="s">
        <v>1920</v>
      </c>
      <c r="I254" s="98" t="s">
        <v>1888</v>
      </c>
      <c r="J254" s="102">
        <v>4</v>
      </c>
      <c r="K254" s="103" t="s">
        <v>1774</v>
      </c>
      <c r="L254" s="124">
        <v>7</v>
      </c>
      <c r="M254" s="125" t="s">
        <v>1744</v>
      </c>
      <c r="N254" s="106" t="str">
        <f t="shared" si="10"/>
        <v>47</v>
      </c>
      <c r="O254" s="107"/>
      <c r="P254" s="114" t="s">
        <v>1886</v>
      </c>
      <c r="Q254" s="107"/>
      <c r="R254" s="115" t="s">
        <v>1745</v>
      </c>
      <c r="S254" s="92" t="s">
        <v>1592</v>
      </c>
      <c r="T254" s="110"/>
      <c r="U254" s="94" t="s">
        <v>1745</v>
      </c>
      <c r="V254" s="107"/>
      <c r="W254" s="117">
        <v>7600466</v>
      </c>
      <c r="X254" s="115" t="s">
        <v>1745</v>
      </c>
      <c r="Z254" s="110" t="s">
        <v>1683</v>
      </c>
      <c r="AE254" s="88" t="s">
        <v>1778</v>
      </c>
      <c r="AF254" s="88" t="s">
        <v>1779</v>
      </c>
    </row>
    <row r="255" spans="1:52" ht="17.45" customHeight="1">
      <c r="B255" s="96">
        <f t="shared" si="13"/>
        <v>5</v>
      </c>
      <c r="C255" s="112">
        <v>39289</v>
      </c>
      <c r="D255" s="98" t="s">
        <v>1886</v>
      </c>
      <c r="E255" s="98">
        <v>7600466</v>
      </c>
      <c r="F255" s="113" t="s">
        <v>1885</v>
      </c>
      <c r="G255" s="100" t="s">
        <v>1086</v>
      </c>
      <c r="H255" s="101" t="s">
        <v>1920</v>
      </c>
      <c r="I255" s="98" t="s">
        <v>1886</v>
      </c>
      <c r="J255" s="102">
        <v>4</v>
      </c>
      <c r="K255" s="103" t="s">
        <v>1774</v>
      </c>
      <c r="L255" s="124">
        <v>7</v>
      </c>
      <c r="M255" s="125" t="s">
        <v>1744</v>
      </c>
      <c r="N255" s="106" t="str">
        <f t="shared" si="10"/>
        <v>47</v>
      </c>
      <c r="O255" s="107"/>
      <c r="P255" s="114" t="s">
        <v>1886</v>
      </c>
      <c r="Q255" s="107"/>
      <c r="R255" s="115" t="s">
        <v>1745</v>
      </c>
      <c r="S255" s="92" t="s">
        <v>1592</v>
      </c>
      <c r="T255" s="110"/>
      <c r="U255" s="94" t="s">
        <v>1745</v>
      </c>
      <c r="V255" s="107"/>
      <c r="W255" s="117">
        <v>7600466</v>
      </c>
      <c r="X255" s="115" t="s">
        <v>1745</v>
      </c>
      <c r="Z255" s="110" t="s">
        <v>1750</v>
      </c>
      <c r="AE255" s="88" t="s">
        <v>1778</v>
      </c>
      <c r="AF255" s="88" t="s">
        <v>1779</v>
      </c>
    </row>
    <row r="256" spans="1:52" ht="17.45" customHeight="1">
      <c r="B256" s="96">
        <f t="shared" si="13"/>
        <v>6</v>
      </c>
      <c r="C256" s="112">
        <v>44946</v>
      </c>
      <c r="D256" s="98" t="s">
        <v>1901</v>
      </c>
      <c r="E256" s="98">
        <v>7601196</v>
      </c>
      <c r="F256" s="153" t="s">
        <v>1885</v>
      </c>
      <c r="G256" s="100" t="s">
        <v>1102</v>
      </c>
      <c r="H256" s="154" t="s">
        <v>1920</v>
      </c>
      <c r="I256" s="98" t="s">
        <v>1901</v>
      </c>
      <c r="J256" s="126">
        <v>4</v>
      </c>
      <c r="K256" s="124" t="s">
        <v>1774</v>
      </c>
      <c r="L256" s="124">
        <v>7</v>
      </c>
      <c r="M256" s="125" t="s">
        <v>1744</v>
      </c>
      <c r="N256" s="106" t="str">
        <f t="shared" si="10"/>
        <v>47</v>
      </c>
      <c r="O256" s="107"/>
      <c r="P256" s="114" t="s">
        <v>1886</v>
      </c>
      <c r="Q256" s="107"/>
      <c r="R256" s="115" t="s">
        <v>1745</v>
      </c>
      <c r="S256" s="92" t="s">
        <v>1592</v>
      </c>
      <c r="T256" s="110"/>
      <c r="U256" s="94" t="s">
        <v>1745</v>
      </c>
      <c r="V256" s="107"/>
      <c r="W256" s="117">
        <v>7600466</v>
      </c>
      <c r="X256" s="115" t="s">
        <v>1745</v>
      </c>
      <c r="Z256" s="110" t="s">
        <v>1642</v>
      </c>
      <c r="AE256" s="88" t="s">
        <v>1778</v>
      </c>
      <c r="AF256" s="88" t="s">
        <v>1779</v>
      </c>
    </row>
    <row r="257" spans="2:32" ht="17.45" customHeight="1">
      <c r="B257" s="96">
        <f t="shared" si="13"/>
        <v>7</v>
      </c>
      <c r="C257" s="112">
        <v>39703</v>
      </c>
      <c r="D257" s="98" t="s">
        <v>1893</v>
      </c>
      <c r="E257" s="98">
        <v>7601156</v>
      </c>
      <c r="F257" s="113" t="s">
        <v>1885</v>
      </c>
      <c r="G257" s="100" t="s">
        <v>1072</v>
      </c>
      <c r="H257" s="101" t="s">
        <v>1920</v>
      </c>
      <c r="I257" s="98" t="s">
        <v>1893</v>
      </c>
      <c r="J257" s="126">
        <v>4</v>
      </c>
      <c r="K257" s="124" t="s">
        <v>1774</v>
      </c>
      <c r="L257" s="124">
        <v>7</v>
      </c>
      <c r="M257" s="125" t="s">
        <v>1744</v>
      </c>
      <c r="N257" s="106" t="str">
        <f t="shared" si="10"/>
        <v>47</v>
      </c>
      <c r="O257" s="107"/>
      <c r="P257" s="114" t="s">
        <v>1886</v>
      </c>
      <c r="Q257" s="107"/>
      <c r="R257" s="115" t="s">
        <v>1748</v>
      </c>
      <c r="S257" s="92" t="s">
        <v>1592</v>
      </c>
      <c r="T257" s="110"/>
      <c r="U257" s="94" t="s">
        <v>1748</v>
      </c>
      <c r="V257" s="107"/>
      <c r="W257" s="117">
        <v>7601156</v>
      </c>
      <c r="X257" s="115" t="s">
        <v>1748</v>
      </c>
      <c r="Z257" s="290" t="s">
        <v>1684</v>
      </c>
      <c r="AE257" s="88" t="s">
        <v>1778</v>
      </c>
      <c r="AF257" s="88" t="s">
        <v>1779</v>
      </c>
    </row>
    <row r="258" spans="2:32" ht="17.45" customHeight="1">
      <c r="B258" s="96">
        <f t="shared" si="13"/>
        <v>8</v>
      </c>
      <c r="C258" s="112">
        <v>44166</v>
      </c>
      <c r="D258" s="98" t="s">
        <v>1896</v>
      </c>
      <c r="E258" s="98">
        <v>7601135</v>
      </c>
      <c r="F258" s="113" t="s">
        <v>1885</v>
      </c>
      <c r="G258" s="100" t="s">
        <v>1079</v>
      </c>
      <c r="H258" s="101" t="s">
        <v>1920</v>
      </c>
      <c r="I258" s="98" t="s">
        <v>1896</v>
      </c>
      <c r="J258" s="102">
        <v>4</v>
      </c>
      <c r="K258" s="103" t="s">
        <v>1774</v>
      </c>
      <c r="L258" s="124">
        <v>7</v>
      </c>
      <c r="M258" s="125" t="s">
        <v>1744</v>
      </c>
      <c r="N258" s="106" t="str">
        <f t="shared" si="10"/>
        <v>47</v>
      </c>
      <c r="O258" s="107"/>
      <c r="P258" s="114" t="s">
        <v>1886</v>
      </c>
      <c r="Q258" s="107"/>
      <c r="R258" s="115" t="s">
        <v>1748</v>
      </c>
      <c r="S258" s="92" t="s">
        <v>1592</v>
      </c>
      <c r="T258" s="110"/>
      <c r="U258" s="94" t="s">
        <v>1748</v>
      </c>
      <c r="V258" s="107"/>
      <c r="W258" s="117">
        <v>7601156</v>
      </c>
      <c r="X258" s="115" t="s">
        <v>1748</v>
      </c>
      <c r="Z258" s="110" t="s">
        <v>1650</v>
      </c>
      <c r="AE258" s="88" t="s">
        <v>1778</v>
      </c>
      <c r="AF258" s="88" t="s">
        <v>1779</v>
      </c>
    </row>
    <row r="259" spans="2:32" ht="17.45" customHeight="1">
      <c r="B259" s="96">
        <f t="shared" si="13"/>
        <v>9</v>
      </c>
      <c r="C259" s="112">
        <v>38377</v>
      </c>
      <c r="D259" s="98" t="s">
        <v>1892</v>
      </c>
      <c r="E259" s="98">
        <v>7601153</v>
      </c>
      <c r="F259" s="113" t="s">
        <v>1885</v>
      </c>
      <c r="G259" s="100" t="s">
        <v>1091</v>
      </c>
      <c r="H259" s="101" t="s">
        <v>1920</v>
      </c>
      <c r="I259" s="98" t="s">
        <v>1892</v>
      </c>
      <c r="J259" s="102">
        <v>4</v>
      </c>
      <c r="K259" s="103" t="s">
        <v>1774</v>
      </c>
      <c r="L259" s="124">
        <v>7</v>
      </c>
      <c r="M259" s="125" t="s">
        <v>1744</v>
      </c>
      <c r="N259" s="106" t="str">
        <f t="shared" si="10"/>
        <v>47</v>
      </c>
      <c r="O259" s="107"/>
      <c r="P259" s="114" t="s">
        <v>1886</v>
      </c>
      <c r="Q259" s="107"/>
      <c r="R259" s="115" t="s">
        <v>1747</v>
      </c>
      <c r="S259" s="92" t="s">
        <v>1592</v>
      </c>
      <c r="T259" s="110"/>
      <c r="U259" s="94" t="s">
        <v>1747</v>
      </c>
      <c r="V259" s="107"/>
      <c r="W259" s="117">
        <v>7601153</v>
      </c>
      <c r="X259" s="115" t="s">
        <v>1747</v>
      </c>
      <c r="Z259" s="110" t="s">
        <v>1929</v>
      </c>
      <c r="AE259" s="88" t="s">
        <v>1778</v>
      </c>
      <c r="AF259" s="88" t="s">
        <v>1779</v>
      </c>
    </row>
    <row r="260" spans="2:32" ht="17.45" customHeight="1">
      <c r="B260" s="96">
        <f t="shared" si="13"/>
        <v>10</v>
      </c>
      <c r="C260" s="112">
        <v>41638</v>
      </c>
      <c r="D260" s="98" t="s">
        <v>1895</v>
      </c>
      <c r="E260" s="98">
        <v>7601159</v>
      </c>
      <c r="F260" s="113" t="s">
        <v>1885</v>
      </c>
      <c r="G260" s="100" t="s">
        <v>1094</v>
      </c>
      <c r="H260" s="101" t="s">
        <v>1920</v>
      </c>
      <c r="I260" s="98" t="s">
        <v>1895</v>
      </c>
      <c r="J260" s="126">
        <v>4</v>
      </c>
      <c r="K260" s="124" t="s">
        <v>1774</v>
      </c>
      <c r="L260" s="124">
        <v>7</v>
      </c>
      <c r="M260" s="125" t="s">
        <v>1744</v>
      </c>
      <c r="N260" s="106" t="str">
        <f t="shared" si="10"/>
        <v>47</v>
      </c>
      <c r="O260" s="107"/>
      <c r="P260" s="114" t="s">
        <v>1886</v>
      </c>
      <c r="Q260" s="107"/>
      <c r="R260" s="115" t="s">
        <v>1747</v>
      </c>
      <c r="S260" s="92" t="s">
        <v>1592</v>
      </c>
      <c r="T260" s="110"/>
      <c r="U260" s="94" t="s">
        <v>1747</v>
      </c>
      <c r="V260" s="107"/>
      <c r="W260" s="117">
        <v>7601153</v>
      </c>
      <c r="X260" s="115" t="s">
        <v>1747</v>
      </c>
      <c r="Z260" s="110" t="s">
        <v>1931</v>
      </c>
      <c r="AE260" s="88" t="s">
        <v>1778</v>
      </c>
      <c r="AF260" s="88" t="s">
        <v>1779</v>
      </c>
    </row>
    <row r="261" spans="2:32" ht="17.45" customHeight="1">
      <c r="B261" s="96">
        <f t="shared" si="13"/>
        <v>11</v>
      </c>
      <c r="C261" s="112">
        <v>36867</v>
      </c>
      <c r="D261" s="98" t="s">
        <v>1890</v>
      </c>
      <c r="E261" s="98">
        <v>7601158</v>
      </c>
      <c r="F261" s="153" t="s">
        <v>1885</v>
      </c>
      <c r="G261" s="101" t="s">
        <v>1088</v>
      </c>
      <c r="H261" s="154" t="s">
        <v>1920</v>
      </c>
      <c r="I261" s="98" t="s">
        <v>1890</v>
      </c>
      <c r="J261" s="126">
        <v>4</v>
      </c>
      <c r="K261" s="124" t="s">
        <v>1774</v>
      </c>
      <c r="L261" s="124">
        <v>7</v>
      </c>
      <c r="M261" s="125" t="s">
        <v>1744</v>
      </c>
      <c r="N261" s="106" t="str">
        <f t="shared" si="10"/>
        <v>47</v>
      </c>
      <c r="O261" s="107"/>
      <c r="P261" s="114" t="s">
        <v>1886</v>
      </c>
      <c r="Q261" s="107"/>
      <c r="R261" s="115" t="s">
        <v>1746</v>
      </c>
      <c r="S261" s="92" t="s">
        <v>1592</v>
      </c>
      <c r="T261" s="110"/>
      <c r="U261" s="94" t="s">
        <v>1746</v>
      </c>
      <c r="V261" s="107"/>
      <c r="W261" s="117">
        <v>7601155</v>
      </c>
      <c r="X261" s="115" t="s">
        <v>1746</v>
      </c>
      <c r="Z261" s="110" t="s">
        <v>1742</v>
      </c>
      <c r="AE261" s="88" t="s">
        <v>1778</v>
      </c>
      <c r="AF261" s="88" t="s">
        <v>1779</v>
      </c>
    </row>
    <row r="262" spans="2:32" ht="17.45" customHeight="1">
      <c r="B262" s="96">
        <f t="shared" si="13"/>
        <v>12</v>
      </c>
      <c r="C262" s="112">
        <v>36586</v>
      </c>
      <c r="D262" s="98" t="s">
        <v>1898</v>
      </c>
      <c r="E262" s="98">
        <v>7601155</v>
      </c>
      <c r="F262" s="153" t="s">
        <v>1885</v>
      </c>
      <c r="G262" s="101" t="s">
        <v>1098</v>
      </c>
      <c r="H262" s="154" t="s">
        <v>1920</v>
      </c>
      <c r="I262" s="98" t="s">
        <v>1898</v>
      </c>
      <c r="J262" s="126">
        <v>4</v>
      </c>
      <c r="K262" s="124" t="s">
        <v>1774</v>
      </c>
      <c r="L262" s="124">
        <v>7</v>
      </c>
      <c r="M262" s="125" t="s">
        <v>1744</v>
      </c>
      <c r="N262" s="106" t="str">
        <f t="shared" si="10"/>
        <v>47</v>
      </c>
      <c r="O262" s="107"/>
      <c r="P262" s="114" t="s">
        <v>1886</v>
      </c>
      <c r="Q262" s="107"/>
      <c r="R262" s="115" t="s">
        <v>1746</v>
      </c>
      <c r="S262" s="92" t="s">
        <v>1592</v>
      </c>
      <c r="T262" s="110"/>
      <c r="U262" s="94" t="s">
        <v>1746</v>
      </c>
      <c r="V262" s="107"/>
      <c r="W262" s="117">
        <v>7601155</v>
      </c>
      <c r="X262" s="115" t="s">
        <v>1746</v>
      </c>
      <c r="Z262" s="110" t="s">
        <v>1665</v>
      </c>
      <c r="AE262" s="88" t="s">
        <v>1778</v>
      </c>
      <c r="AF262" s="88" t="s">
        <v>1779</v>
      </c>
    </row>
    <row r="263" spans="2:32" ht="17.45" customHeight="1">
      <c r="B263" s="96">
        <f t="shared" si="13"/>
        <v>13</v>
      </c>
      <c r="C263" s="112">
        <v>43007</v>
      </c>
      <c r="D263" s="98" t="s">
        <v>1900</v>
      </c>
      <c r="E263" s="98">
        <v>7601154</v>
      </c>
      <c r="F263" s="153" t="s">
        <v>1885</v>
      </c>
      <c r="G263" s="100" t="s">
        <v>1101</v>
      </c>
      <c r="H263" s="154" t="s">
        <v>1920</v>
      </c>
      <c r="I263" s="98" t="s">
        <v>1900</v>
      </c>
      <c r="J263" s="126">
        <v>4</v>
      </c>
      <c r="K263" s="124" t="s">
        <v>1774</v>
      </c>
      <c r="L263" s="124">
        <v>7</v>
      </c>
      <c r="M263" s="125" t="s">
        <v>1744</v>
      </c>
      <c r="N263" s="106" t="str">
        <f t="shared" si="10"/>
        <v>47</v>
      </c>
      <c r="O263" s="107"/>
      <c r="P263" s="114" t="s">
        <v>1886</v>
      </c>
      <c r="Q263" s="107"/>
      <c r="R263" s="115" t="s">
        <v>1746</v>
      </c>
      <c r="S263" s="92" t="s">
        <v>1592</v>
      </c>
      <c r="T263" s="110"/>
      <c r="U263" s="94" t="s">
        <v>1746</v>
      </c>
      <c r="V263" s="107"/>
      <c r="W263" s="117">
        <v>7601155</v>
      </c>
      <c r="X263" s="115" t="s">
        <v>1746</v>
      </c>
      <c r="Z263" s="110" t="s">
        <v>1726</v>
      </c>
      <c r="AE263" s="88" t="s">
        <v>1778</v>
      </c>
      <c r="AF263" s="88" t="s">
        <v>1779</v>
      </c>
    </row>
    <row r="264" spans="2:32" ht="17.45" customHeight="1">
      <c r="B264" s="96">
        <f t="shared" si="13"/>
        <v>14</v>
      </c>
      <c r="C264" s="183">
        <v>39673</v>
      </c>
      <c r="D264" s="98" t="s">
        <v>2064</v>
      </c>
      <c r="E264" s="98">
        <v>7600764</v>
      </c>
      <c r="F264" s="99" t="s">
        <v>2062</v>
      </c>
      <c r="G264" s="100" t="s">
        <v>1104</v>
      </c>
      <c r="H264" s="101" t="s">
        <v>2063</v>
      </c>
      <c r="I264" s="98" t="s">
        <v>2064</v>
      </c>
      <c r="J264" s="126">
        <v>4</v>
      </c>
      <c r="K264" s="124" t="s">
        <v>1774</v>
      </c>
      <c r="L264" s="124">
        <v>7</v>
      </c>
      <c r="M264" s="125" t="s">
        <v>1744</v>
      </c>
      <c r="N264" s="106" t="str">
        <f t="shared" si="10"/>
        <v>47</v>
      </c>
      <c r="O264" s="107"/>
      <c r="P264" s="195" t="s">
        <v>2064</v>
      </c>
      <c r="Q264" s="107"/>
      <c r="R264" s="196" t="s">
        <v>1749</v>
      </c>
      <c r="S264" s="92" t="s">
        <v>1592</v>
      </c>
      <c r="T264" s="110"/>
      <c r="U264" s="94" t="s">
        <v>1749</v>
      </c>
      <c r="V264" s="107"/>
      <c r="W264" s="215">
        <v>7600764</v>
      </c>
      <c r="X264" s="196" t="s">
        <v>1749</v>
      </c>
      <c r="Z264" s="155"/>
      <c r="AE264" s="88" t="s">
        <v>1778</v>
      </c>
      <c r="AF264" s="88" t="s">
        <v>1779</v>
      </c>
    </row>
    <row r="265" spans="2:32" ht="17.45" customHeight="1" thickBot="1">
      <c r="B265" s="96">
        <f t="shared" si="13"/>
        <v>15</v>
      </c>
      <c r="C265" s="197">
        <v>41272</v>
      </c>
      <c r="D265" s="198" t="s">
        <v>2113</v>
      </c>
      <c r="E265" s="198">
        <v>7600709</v>
      </c>
      <c r="F265" s="292" t="s">
        <v>2112</v>
      </c>
      <c r="G265" s="293" t="s">
        <v>1111</v>
      </c>
      <c r="H265" s="199" t="s">
        <v>2117</v>
      </c>
      <c r="I265" s="198" t="s">
        <v>2113</v>
      </c>
      <c r="J265" s="200">
        <v>4</v>
      </c>
      <c r="K265" s="200" t="s">
        <v>1774</v>
      </c>
      <c r="L265" s="200">
        <v>7</v>
      </c>
      <c r="M265" s="201" t="s">
        <v>1744</v>
      </c>
      <c r="N265" s="202" t="str">
        <f t="shared" si="10"/>
        <v>47</v>
      </c>
      <c r="O265" s="107"/>
      <c r="P265" s="203" t="s">
        <v>2113</v>
      </c>
      <c r="Q265" s="107"/>
      <c r="R265" s="204" t="s">
        <v>1750</v>
      </c>
      <c r="S265" s="92" t="s">
        <v>1592</v>
      </c>
      <c r="T265" s="110"/>
      <c r="U265" s="94" t="s">
        <v>1750</v>
      </c>
      <c r="V265" s="107"/>
      <c r="W265" s="216">
        <v>7600709</v>
      </c>
      <c r="X265" s="204" t="s">
        <v>1750</v>
      </c>
      <c r="Z265" s="155"/>
      <c r="AE265" s="88" t="s">
        <v>1778</v>
      </c>
      <c r="AF265" s="88" t="s">
        <v>1779</v>
      </c>
    </row>
  </sheetData>
  <dataConsolidate/>
  <pageMargins left="0.19" right="0.17" top="0.39370078740157483" bottom="0.32" header="0.19685039370078741" footer="0.19685039370078741"/>
  <pageSetup paperSize="9" scale="48" orientation="landscape" horizontalDpi="409" verticalDpi="409" r:id="rId1"/>
  <headerFooter alignWithMargins="0">
    <oddFooter>&amp;L&amp;D&amp;CPágina &amp;P&amp;R_x000D_&amp;1#&amp;"Arial"&amp;10&amp;K000000 Confidential C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377A-86B3-48E5-B59E-7DF64C96E394}">
  <sheetPr codeName="Planilha10">
    <tabColor theme="0" tint="-0.34998626667073579"/>
  </sheetPr>
  <dimension ref="A1:BB264"/>
  <sheetViews>
    <sheetView showGridLines="0" zoomScale="70" zoomScaleNormal="70" workbookViewId="0">
      <pane ySplit="4" topLeftCell="A244" activePane="bottomLeft" state="frozen"/>
      <selection pane="bottomLeft" activeCell="G255" sqref="G255"/>
      <selection activeCell="A16" sqref="A16:D22"/>
    </sheetView>
  </sheetViews>
  <sheetFormatPr defaultColWidth="11.42578125" defaultRowHeight="17.45" customHeight="1"/>
  <cols>
    <col min="1" max="1" width="3.5703125" style="56" customWidth="1"/>
    <col min="2" max="2" width="4.5703125" style="205" bestFit="1" customWidth="1"/>
    <col min="3" max="3" width="16.5703125" style="206" hidden="1" customWidth="1"/>
    <col min="4" max="5" width="13.42578125" style="129" customWidth="1"/>
    <col min="6" max="6" width="74.5703125" style="207" hidden="1" customWidth="1"/>
    <col min="7" max="7" width="73.5703125" style="74" bestFit="1" customWidth="1"/>
    <col min="8" max="8" width="58.5703125" style="205" hidden="1" customWidth="1"/>
    <col min="9" max="9" width="13.42578125" style="129" customWidth="1"/>
    <col min="10" max="10" width="8" style="163" bestFit="1" customWidth="1"/>
    <col min="11" max="11" width="8" style="163" customWidth="1"/>
    <col min="12" max="12" width="7.42578125" style="163" bestFit="1" customWidth="1"/>
    <col min="13" max="13" width="7.42578125" style="163" customWidth="1"/>
    <col min="14" max="14" width="14.5703125" style="74" bestFit="1" customWidth="1"/>
    <col min="15" max="15" width="2.5703125" style="74" customWidth="1"/>
    <col min="16" max="16" width="14.42578125" style="129" hidden="1" customWidth="1"/>
    <col min="17" max="17" width="2.5703125" style="129" customWidth="1"/>
    <col min="18" max="19" width="23.5703125" style="74" bestFit="1" customWidth="1"/>
    <col min="20" max="20" width="1.5703125" style="74" customWidth="1"/>
    <col min="21" max="21" width="23.5703125" style="74" hidden="1" customWidth="1"/>
    <col min="22" max="22" width="2.5703125" style="129" customWidth="1"/>
    <col min="23" max="23" width="17" style="166" bestFit="1" customWidth="1"/>
    <col min="24" max="24" width="23.5703125" style="74" bestFit="1" customWidth="1"/>
    <col min="25" max="25" width="13.42578125" style="129" customWidth="1"/>
    <col min="26" max="26" width="8" style="163" customWidth="1"/>
    <col min="27" max="27" width="7.42578125" style="163" customWidth="1"/>
    <col min="28" max="28" width="25.42578125" style="61" hidden="1" customWidth="1"/>
    <col min="29" max="29" width="2.5703125" style="129" hidden="1" customWidth="1"/>
    <col min="30" max="30" width="0" style="74" hidden="1" customWidth="1"/>
    <col min="31" max="16384" width="11.42578125" style="74"/>
  </cols>
  <sheetData>
    <row r="1" spans="1:54" s="61" customFormat="1" ht="83.1" customHeight="1">
      <c r="A1" s="56"/>
      <c r="B1" s="57"/>
      <c r="C1" s="58"/>
      <c r="D1" s="59"/>
      <c r="E1" s="59"/>
      <c r="F1" s="60"/>
      <c r="G1" s="60"/>
      <c r="I1" s="59"/>
      <c r="W1" s="62"/>
      <c r="Y1" s="59"/>
    </row>
    <row r="2" spans="1:54" s="61" customFormat="1" ht="17.45" customHeight="1" thickBot="1">
      <c r="A2" s="56"/>
      <c r="B2" s="57"/>
      <c r="C2" s="58"/>
      <c r="D2" s="59"/>
      <c r="E2" s="59"/>
      <c r="F2" s="63" t="s">
        <v>2281</v>
      </c>
      <c r="G2" s="64"/>
      <c r="I2" s="59"/>
      <c r="W2" s="62"/>
      <c r="Y2" s="59"/>
    </row>
    <row r="3" spans="1:54" ht="17.45" customHeight="1" thickBot="1">
      <c r="B3" s="65" t="s">
        <v>1752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7"/>
      <c r="O3" s="68"/>
      <c r="P3" s="69"/>
      <c r="Q3" s="70"/>
      <c r="R3" s="71" t="s">
        <v>1753</v>
      </c>
      <c r="S3" s="72"/>
      <c r="T3" s="73"/>
      <c r="U3" s="62"/>
      <c r="V3" s="70"/>
      <c r="W3" s="62"/>
      <c r="X3" s="71" t="s">
        <v>1753</v>
      </c>
      <c r="Y3" s="66"/>
      <c r="Z3" s="66"/>
      <c r="AA3" s="66"/>
      <c r="AB3" s="62"/>
      <c r="AC3" s="70"/>
    </row>
    <row r="4" spans="1:54" s="86" customFormat="1" ht="25.5" thickBot="1">
      <c r="A4" s="56"/>
      <c r="B4" s="75" t="s">
        <v>2282</v>
      </c>
      <c r="C4" s="76" t="s">
        <v>1755</v>
      </c>
      <c r="D4" s="77" t="s">
        <v>1761</v>
      </c>
      <c r="E4" s="77"/>
      <c r="F4" s="78" t="s">
        <v>1757</v>
      </c>
      <c r="G4" s="78" t="s">
        <v>1758</v>
      </c>
      <c r="H4" s="78" t="s">
        <v>1759</v>
      </c>
      <c r="I4" s="77" t="s">
        <v>1761</v>
      </c>
      <c r="J4" s="77" t="s">
        <v>1760</v>
      </c>
      <c r="K4" s="77"/>
      <c r="L4" s="77" t="s">
        <v>1566</v>
      </c>
      <c r="M4" s="79"/>
      <c r="N4" s="80" t="s">
        <v>2283</v>
      </c>
      <c r="O4" s="70"/>
      <c r="P4" s="81" t="s">
        <v>2284</v>
      </c>
      <c r="Q4" s="70"/>
      <c r="R4" s="82" t="s">
        <v>1593</v>
      </c>
      <c r="S4" s="83" t="s">
        <v>1568</v>
      </c>
      <c r="T4" s="70"/>
      <c r="U4" s="84" t="s">
        <v>1770</v>
      </c>
      <c r="V4" s="70"/>
      <c r="W4" s="85" t="s">
        <v>1767</v>
      </c>
      <c r="X4" s="82" t="s">
        <v>1593</v>
      </c>
      <c r="Y4" s="77" t="s">
        <v>1761</v>
      </c>
      <c r="Z4" s="77"/>
      <c r="AA4" s="79"/>
      <c r="AB4" s="87" t="s">
        <v>1770</v>
      </c>
      <c r="AC4" s="70"/>
      <c r="AD4" s="86">
        <f>COUNTA(AB:AB)-1</f>
        <v>85</v>
      </c>
    </row>
    <row r="5" spans="1:54" ht="17.100000000000001" customHeight="1">
      <c r="A5" s="74"/>
      <c r="B5" s="219" t="e">
        <f t="shared" ref="B5:B68" si="0">B4+1</f>
        <v>#VALUE!</v>
      </c>
      <c r="C5" s="221">
        <v>43889</v>
      </c>
      <c r="D5" s="98" t="s">
        <v>2218</v>
      </c>
      <c r="E5" s="98">
        <v>7601108</v>
      </c>
      <c r="F5" s="223" t="s">
        <v>2217</v>
      </c>
      <c r="G5" s="227" t="s">
        <v>58</v>
      </c>
      <c r="H5" s="230" t="s">
        <v>1789</v>
      </c>
      <c r="I5" s="98" t="s">
        <v>2218</v>
      </c>
      <c r="J5" s="287">
        <v>1</v>
      </c>
      <c r="K5" s="287" t="s">
        <v>1810</v>
      </c>
      <c r="L5" s="90">
        <v>1</v>
      </c>
      <c r="M5" s="218" t="s">
        <v>1596</v>
      </c>
      <c r="N5" s="237" t="str">
        <f t="shared" ref="N5:N68" si="1">J5&amp;L5</f>
        <v>11</v>
      </c>
      <c r="O5" s="107"/>
      <c r="P5" s="108" t="s">
        <v>2218</v>
      </c>
      <c r="Q5" s="107"/>
      <c r="R5" s="109" t="s">
        <v>1599</v>
      </c>
      <c r="S5" s="92" t="s">
        <v>1570</v>
      </c>
      <c r="T5" s="110"/>
      <c r="U5" s="94" t="s">
        <v>1599</v>
      </c>
      <c r="V5" s="107"/>
      <c r="W5" s="111">
        <v>7601108</v>
      </c>
      <c r="X5" s="109" t="s">
        <v>1599</v>
      </c>
      <c r="Y5" s="98" t="s">
        <v>2218</v>
      </c>
      <c r="Z5" s="287" t="s">
        <v>1810</v>
      </c>
      <c r="AA5" s="218" t="s">
        <v>1596</v>
      </c>
      <c r="AB5" s="95"/>
      <c r="AC5" s="107"/>
      <c r="AG5" s="88" t="s">
        <v>1778</v>
      </c>
      <c r="AH5" s="88" t="s">
        <v>1779</v>
      </c>
    </row>
    <row r="6" spans="1:54" ht="17.45" customHeight="1">
      <c r="A6" s="74"/>
      <c r="B6" s="96" t="e">
        <f t="shared" si="0"/>
        <v>#VALUE!</v>
      </c>
      <c r="C6" s="97">
        <v>40749</v>
      </c>
      <c r="D6" s="98" t="s">
        <v>1965</v>
      </c>
      <c r="E6" s="98">
        <v>7600453</v>
      </c>
      <c r="F6" s="99" t="s">
        <v>1963</v>
      </c>
      <c r="G6" s="100" t="s">
        <v>65</v>
      </c>
      <c r="H6" s="101" t="s">
        <v>1846</v>
      </c>
      <c r="I6" s="98" t="s">
        <v>1965</v>
      </c>
      <c r="J6" s="102">
        <v>1</v>
      </c>
      <c r="K6" s="103" t="s">
        <v>1810</v>
      </c>
      <c r="L6" s="105">
        <v>1</v>
      </c>
      <c r="M6" s="218" t="s">
        <v>1596</v>
      </c>
      <c r="N6" s="217" t="str">
        <f t="shared" si="1"/>
        <v>11</v>
      </c>
      <c r="O6" s="107"/>
      <c r="P6" s="108" t="s">
        <v>1964</v>
      </c>
      <c r="Q6" s="107"/>
      <c r="R6" s="109" t="s">
        <v>1597</v>
      </c>
      <c r="S6" s="92" t="s">
        <v>1570</v>
      </c>
      <c r="T6" s="110"/>
      <c r="U6" s="94" t="s">
        <v>1597</v>
      </c>
      <c r="V6" s="107"/>
      <c r="W6" s="111">
        <v>7600391</v>
      </c>
      <c r="X6" s="109" t="s">
        <v>1597</v>
      </c>
      <c r="Y6" s="98" t="s">
        <v>1965</v>
      </c>
      <c r="Z6" s="103" t="s">
        <v>1810</v>
      </c>
      <c r="AA6" s="218" t="s">
        <v>1596</v>
      </c>
      <c r="AB6" s="95"/>
      <c r="AC6" s="107"/>
      <c r="AG6" s="88" t="s">
        <v>1778</v>
      </c>
      <c r="AH6" s="88" t="s">
        <v>1779</v>
      </c>
    </row>
    <row r="7" spans="1:54" ht="17.45" customHeight="1">
      <c r="A7" s="88"/>
      <c r="B7" s="220" t="e">
        <f t="shared" si="0"/>
        <v>#VALUE!</v>
      </c>
      <c r="C7" s="156">
        <v>38558</v>
      </c>
      <c r="D7" s="89" t="s">
        <v>1964</v>
      </c>
      <c r="E7" s="89">
        <v>7600391</v>
      </c>
      <c r="F7" s="226" t="s">
        <v>1963</v>
      </c>
      <c r="G7" s="229" t="s">
        <v>72</v>
      </c>
      <c r="H7" s="157" t="s">
        <v>1846</v>
      </c>
      <c r="I7" s="89" t="s">
        <v>1964</v>
      </c>
      <c r="J7" s="233">
        <v>1</v>
      </c>
      <c r="K7" s="236" t="s">
        <v>1810</v>
      </c>
      <c r="L7" s="105">
        <v>1</v>
      </c>
      <c r="M7" s="218" t="s">
        <v>1596</v>
      </c>
      <c r="N7" s="294" t="str">
        <f t="shared" si="1"/>
        <v>11</v>
      </c>
      <c r="O7" s="91"/>
      <c r="P7" s="161" t="s">
        <v>1964</v>
      </c>
      <c r="Q7" s="91"/>
      <c r="R7" s="162" t="s">
        <v>1597</v>
      </c>
      <c r="S7" s="92" t="s">
        <v>1570</v>
      </c>
      <c r="T7" s="93"/>
      <c r="U7" s="94" t="s">
        <v>1597</v>
      </c>
      <c r="V7" s="91"/>
      <c r="W7" s="213">
        <v>7600391</v>
      </c>
      <c r="X7" s="162" t="s">
        <v>1597</v>
      </c>
      <c r="Y7" s="89" t="s">
        <v>1964</v>
      </c>
      <c r="Z7" s="236" t="s">
        <v>1810</v>
      </c>
      <c r="AA7" s="218" t="s">
        <v>1596</v>
      </c>
      <c r="AB7" s="116"/>
      <c r="AC7" s="91"/>
      <c r="AD7" s="88"/>
      <c r="AE7" s="88"/>
      <c r="AF7" s="88"/>
      <c r="AG7" s="88" t="s">
        <v>1778</v>
      </c>
      <c r="AH7" s="88" t="s">
        <v>1779</v>
      </c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</row>
    <row r="8" spans="1:54" ht="17.45" customHeight="1">
      <c r="A8" s="74"/>
      <c r="B8" s="96" t="e">
        <f>#REF!+1</f>
        <v>#REF!</v>
      </c>
      <c r="C8" s="112">
        <v>38946</v>
      </c>
      <c r="D8" s="98" t="s">
        <v>1977</v>
      </c>
      <c r="E8" s="98">
        <v>7601222</v>
      </c>
      <c r="F8" s="113" t="s">
        <v>1963</v>
      </c>
      <c r="G8" s="100" t="s">
        <v>77</v>
      </c>
      <c r="H8" s="101" t="s">
        <v>1846</v>
      </c>
      <c r="I8" s="98" t="s">
        <v>1977</v>
      </c>
      <c r="J8" s="102">
        <v>1</v>
      </c>
      <c r="K8" s="103" t="s">
        <v>1810</v>
      </c>
      <c r="L8" s="105">
        <v>1</v>
      </c>
      <c r="M8" s="218" t="s">
        <v>1596</v>
      </c>
      <c r="N8" s="217" t="str">
        <f t="shared" si="1"/>
        <v>11</v>
      </c>
      <c r="O8" s="107"/>
      <c r="P8" s="114" t="s">
        <v>1964</v>
      </c>
      <c r="Q8" s="107"/>
      <c r="R8" s="115" t="s">
        <v>1597</v>
      </c>
      <c r="S8" s="92" t="s">
        <v>1570</v>
      </c>
      <c r="T8" s="110"/>
      <c r="U8" s="94" t="s">
        <v>1597</v>
      </c>
      <c r="V8" s="107"/>
      <c r="W8" s="211">
        <v>7600391</v>
      </c>
      <c r="X8" s="115" t="s">
        <v>1597</v>
      </c>
      <c r="Y8" s="98" t="s">
        <v>1977</v>
      </c>
      <c r="Z8" s="103" t="s">
        <v>1810</v>
      </c>
      <c r="AA8" s="218" t="s">
        <v>1596</v>
      </c>
      <c r="AB8" s="116"/>
      <c r="AC8" s="107"/>
      <c r="AG8" s="88" t="s">
        <v>1778</v>
      </c>
      <c r="AH8" s="88" t="s">
        <v>1779</v>
      </c>
    </row>
    <row r="9" spans="1:54" ht="17.45" customHeight="1">
      <c r="A9" s="74"/>
      <c r="B9" s="96" t="e">
        <f t="shared" si="0"/>
        <v>#REF!</v>
      </c>
      <c r="C9" s="112">
        <v>40560</v>
      </c>
      <c r="D9" s="98" t="s">
        <v>1971</v>
      </c>
      <c r="E9" s="98">
        <v>7600569</v>
      </c>
      <c r="F9" s="113" t="s">
        <v>1963</v>
      </c>
      <c r="G9" s="100" t="s">
        <v>82</v>
      </c>
      <c r="H9" s="101" t="s">
        <v>1846</v>
      </c>
      <c r="I9" s="98" t="s">
        <v>1971</v>
      </c>
      <c r="J9" s="102">
        <v>1</v>
      </c>
      <c r="K9" s="103" t="s">
        <v>1810</v>
      </c>
      <c r="L9" s="105">
        <v>1</v>
      </c>
      <c r="M9" s="218" t="s">
        <v>1596</v>
      </c>
      <c r="N9" s="217" t="str">
        <f t="shared" si="1"/>
        <v>11</v>
      </c>
      <c r="O9" s="107"/>
      <c r="P9" s="114" t="s">
        <v>1964</v>
      </c>
      <c r="Q9" s="107"/>
      <c r="R9" s="115" t="s">
        <v>1597</v>
      </c>
      <c r="S9" s="92" t="s">
        <v>1570</v>
      </c>
      <c r="T9" s="110"/>
      <c r="U9" s="94" t="s">
        <v>1597</v>
      </c>
      <c r="V9" s="107"/>
      <c r="W9" s="211">
        <v>7600391</v>
      </c>
      <c r="X9" s="115" t="s">
        <v>1597</v>
      </c>
      <c r="Y9" s="98" t="s">
        <v>1971</v>
      </c>
      <c r="Z9" s="103" t="s">
        <v>1810</v>
      </c>
      <c r="AA9" s="218" t="s">
        <v>1596</v>
      </c>
      <c r="AB9" s="116"/>
      <c r="AC9" s="107"/>
      <c r="AG9" s="88" t="s">
        <v>1778</v>
      </c>
      <c r="AH9" s="88" t="s">
        <v>1779</v>
      </c>
    </row>
    <row r="10" spans="1:54" ht="17.45" customHeight="1">
      <c r="A10" s="74"/>
      <c r="B10" s="96" t="e">
        <f t="shared" si="0"/>
        <v>#REF!</v>
      </c>
      <c r="C10" s="112">
        <v>39450</v>
      </c>
      <c r="D10" s="98" t="s">
        <v>1967</v>
      </c>
      <c r="E10" s="98">
        <v>7600474</v>
      </c>
      <c r="F10" s="113" t="s">
        <v>1963</v>
      </c>
      <c r="G10" s="100" t="s">
        <v>86</v>
      </c>
      <c r="H10" s="101" t="s">
        <v>1846</v>
      </c>
      <c r="I10" s="98" t="s">
        <v>1967</v>
      </c>
      <c r="J10" s="102">
        <v>1</v>
      </c>
      <c r="K10" s="103" t="s">
        <v>1810</v>
      </c>
      <c r="L10" s="105">
        <v>1</v>
      </c>
      <c r="M10" s="218" t="s">
        <v>1596</v>
      </c>
      <c r="N10" s="217" t="str">
        <f t="shared" si="1"/>
        <v>11</v>
      </c>
      <c r="O10" s="107"/>
      <c r="P10" s="114" t="s">
        <v>1964</v>
      </c>
      <c r="Q10" s="107"/>
      <c r="R10" s="115" t="s">
        <v>1597</v>
      </c>
      <c r="S10" s="92" t="s">
        <v>1570</v>
      </c>
      <c r="T10" s="110"/>
      <c r="U10" s="94" t="s">
        <v>1597</v>
      </c>
      <c r="V10" s="107"/>
      <c r="W10" s="211">
        <v>7600391</v>
      </c>
      <c r="X10" s="115" t="s">
        <v>1597</v>
      </c>
      <c r="Y10" s="98" t="s">
        <v>1967</v>
      </c>
      <c r="Z10" s="103" t="s">
        <v>1810</v>
      </c>
      <c r="AA10" s="218" t="s">
        <v>1596</v>
      </c>
      <c r="AB10" s="116"/>
      <c r="AC10" s="107"/>
      <c r="AG10" s="88" t="s">
        <v>1778</v>
      </c>
      <c r="AH10" s="88" t="s">
        <v>1779</v>
      </c>
    </row>
    <row r="11" spans="1:54" ht="17.45" customHeight="1">
      <c r="A11" s="74"/>
      <c r="B11" s="96" t="e">
        <f t="shared" si="0"/>
        <v>#REF!</v>
      </c>
      <c r="C11" s="112">
        <v>42332</v>
      </c>
      <c r="D11" s="98" t="s">
        <v>1973</v>
      </c>
      <c r="E11" s="118">
        <v>7601220</v>
      </c>
      <c r="F11" s="119" t="s">
        <v>1963</v>
      </c>
      <c r="G11" s="120" t="s">
        <v>92</v>
      </c>
      <c r="H11" s="121" t="s">
        <v>1846</v>
      </c>
      <c r="I11" s="98" t="s">
        <v>1973</v>
      </c>
      <c r="J11" s="122">
        <v>1</v>
      </c>
      <c r="K11" s="123" t="s">
        <v>1810</v>
      </c>
      <c r="L11" s="105">
        <v>1</v>
      </c>
      <c r="M11" s="218" t="s">
        <v>1596</v>
      </c>
      <c r="N11" s="217" t="str">
        <f t="shared" si="1"/>
        <v>11</v>
      </c>
      <c r="O11" s="107"/>
      <c r="P11" s="114" t="s">
        <v>1964</v>
      </c>
      <c r="Q11" s="107"/>
      <c r="R11" s="115" t="s">
        <v>1597</v>
      </c>
      <c r="S11" s="92" t="s">
        <v>1570</v>
      </c>
      <c r="T11" s="110"/>
      <c r="U11" s="94" t="s">
        <v>1597</v>
      </c>
      <c r="V11" s="107"/>
      <c r="W11" s="211">
        <v>7600391</v>
      </c>
      <c r="X11" s="115" t="s">
        <v>1597</v>
      </c>
      <c r="Y11" s="98" t="s">
        <v>1973</v>
      </c>
      <c r="Z11" s="123" t="s">
        <v>1810</v>
      </c>
      <c r="AA11" s="218" t="s">
        <v>1596</v>
      </c>
      <c r="AB11" s="116"/>
      <c r="AC11" s="107"/>
      <c r="AG11" s="88" t="s">
        <v>1778</v>
      </c>
      <c r="AH11" s="88" t="s">
        <v>1779</v>
      </c>
    </row>
    <row r="12" spans="1:54" ht="17.45" customHeight="1">
      <c r="A12" s="74"/>
      <c r="B12" s="96" t="e">
        <f t="shared" si="0"/>
        <v>#REF!</v>
      </c>
      <c r="C12" s="112">
        <v>38909</v>
      </c>
      <c r="D12" s="98" t="s">
        <v>1975</v>
      </c>
      <c r="E12" s="118">
        <v>7601221</v>
      </c>
      <c r="F12" s="119" t="s">
        <v>1963</v>
      </c>
      <c r="G12" s="120" t="s">
        <v>96</v>
      </c>
      <c r="H12" s="121" t="s">
        <v>1846</v>
      </c>
      <c r="I12" s="98" t="s">
        <v>1975</v>
      </c>
      <c r="J12" s="122">
        <v>1</v>
      </c>
      <c r="K12" s="123" t="s">
        <v>1810</v>
      </c>
      <c r="L12" s="105">
        <v>1</v>
      </c>
      <c r="M12" s="218" t="s">
        <v>1596</v>
      </c>
      <c r="N12" s="217" t="str">
        <f t="shared" si="1"/>
        <v>11</v>
      </c>
      <c r="O12" s="107"/>
      <c r="P12" s="114" t="s">
        <v>1964</v>
      </c>
      <c r="Q12" s="107"/>
      <c r="R12" s="115" t="s">
        <v>1597</v>
      </c>
      <c r="S12" s="92" t="s">
        <v>1570</v>
      </c>
      <c r="T12" s="110"/>
      <c r="U12" s="94" t="s">
        <v>1597</v>
      </c>
      <c r="V12" s="107"/>
      <c r="W12" s="211">
        <v>7600391</v>
      </c>
      <c r="X12" s="115" t="s">
        <v>1597</v>
      </c>
      <c r="Y12" s="98" t="s">
        <v>1975</v>
      </c>
      <c r="Z12" s="123" t="s">
        <v>1810</v>
      </c>
      <c r="AA12" s="218" t="s">
        <v>1596</v>
      </c>
      <c r="AB12" s="116"/>
      <c r="AC12" s="107"/>
      <c r="AG12" s="88" t="s">
        <v>1778</v>
      </c>
      <c r="AH12" s="88" t="s">
        <v>1779</v>
      </c>
    </row>
    <row r="13" spans="1:54" ht="17.45" customHeight="1">
      <c r="A13" s="74"/>
      <c r="B13" s="96" t="e">
        <f t="shared" si="0"/>
        <v>#REF!</v>
      </c>
      <c r="C13" s="112">
        <v>38051</v>
      </c>
      <c r="D13" s="98" t="s">
        <v>1989</v>
      </c>
      <c r="E13" s="98">
        <v>7600358</v>
      </c>
      <c r="F13" s="113" t="s">
        <v>1986</v>
      </c>
      <c r="G13" s="100" t="s">
        <v>20</v>
      </c>
      <c r="H13" s="101" t="s">
        <v>1979</v>
      </c>
      <c r="I13" s="98" t="s">
        <v>1989</v>
      </c>
      <c r="J13" s="102">
        <v>1</v>
      </c>
      <c r="K13" s="103" t="s">
        <v>1810</v>
      </c>
      <c r="L13" s="124">
        <v>2</v>
      </c>
      <c r="M13" s="125" t="s">
        <v>1600</v>
      </c>
      <c r="N13" s="106" t="str">
        <f t="shared" si="1"/>
        <v>12</v>
      </c>
      <c r="O13" s="107"/>
      <c r="P13" s="114" t="s">
        <v>1987</v>
      </c>
      <c r="Q13" s="107"/>
      <c r="R13" s="115" t="s">
        <v>1603</v>
      </c>
      <c r="S13" s="92" t="s">
        <v>1571</v>
      </c>
      <c r="T13" s="110"/>
      <c r="U13" s="94" t="s">
        <v>1603</v>
      </c>
      <c r="V13" s="107"/>
      <c r="W13" s="117">
        <v>7600358</v>
      </c>
      <c r="X13" s="115" t="s">
        <v>1603</v>
      </c>
      <c r="Y13" s="98" t="s">
        <v>1989</v>
      </c>
      <c r="Z13" s="103" t="s">
        <v>1810</v>
      </c>
      <c r="AA13" s="125" t="s">
        <v>1600</v>
      </c>
      <c r="AB13" s="116"/>
      <c r="AC13" s="107"/>
      <c r="AG13" s="88" t="s">
        <v>1778</v>
      </c>
      <c r="AH13" s="88" t="s">
        <v>1779</v>
      </c>
    </row>
    <row r="14" spans="1:54" ht="17.45" customHeight="1">
      <c r="B14" s="96" t="e">
        <f t="shared" si="0"/>
        <v>#REF!</v>
      </c>
      <c r="C14" s="112">
        <v>38053</v>
      </c>
      <c r="D14" s="98" t="s">
        <v>1993</v>
      </c>
      <c r="E14" s="98">
        <v>7600361</v>
      </c>
      <c r="F14" s="113" t="s">
        <v>1986</v>
      </c>
      <c r="G14" s="100" t="s">
        <v>26</v>
      </c>
      <c r="H14" s="101" t="s">
        <v>1979</v>
      </c>
      <c r="I14" s="98" t="s">
        <v>1993</v>
      </c>
      <c r="J14" s="102">
        <v>1</v>
      </c>
      <c r="K14" s="103" t="s">
        <v>1810</v>
      </c>
      <c r="L14" s="124">
        <v>2</v>
      </c>
      <c r="M14" s="125" t="s">
        <v>1600</v>
      </c>
      <c r="N14" s="106" t="str">
        <f t="shared" si="1"/>
        <v>12</v>
      </c>
      <c r="O14" s="107"/>
      <c r="P14" s="114" t="s">
        <v>1987</v>
      </c>
      <c r="Q14" s="107"/>
      <c r="R14" s="115" t="s">
        <v>1603</v>
      </c>
      <c r="S14" s="92" t="s">
        <v>1571</v>
      </c>
      <c r="T14" s="110"/>
      <c r="U14" s="94" t="s">
        <v>1603</v>
      </c>
      <c r="V14" s="107"/>
      <c r="W14" s="117">
        <v>7600358</v>
      </c>
      <c r="X14" s="115" t="s">
        <v>1603</v>
      </c>
      <c r="Y14" s="98" t="s">
        <v>1993</v>
      </c>
      <c r="Z14" s="103" t="s">
        <v>1810</v>
      </c>
      <c r="AA14" s="125" t="s">
        <v>1600</v>
      </c>
      <c r="AB14" s="116"/>
      <c r="AG14" s="88" t="s">
        <v>1778</v>
      </c>
      <c r="AH14" s="88" t="s">
        <v>1779</v>
      </c>
    </row>
    <row r="15" spans="1:54" ht="17.100000000000001" customHeight="1">
      <c r="B15" s="96" t="e">
        <f t="shared" si="0"/>
        <v>#REF!</v>
      </c>
      <c r="C15" s="112">
        <v>38053</v>
      </c>
      <c r="D15" s="98" t="s">
        <v>1991</v>
      </c>
      <c r="E15" s="98">
        <v>7600360</v>
      </c>
      <c r="F15" s="113" t="s">
        <v>1986</v>
      </c>
      <c r="G15" s="100" t="s">
        <v>53</v>
      </c>
      <c r="H15" s="101" t="s">
        <v>1979</v>
      </c>
      <c r="I15" s="98" t="s">
        <v>1991</v>
      </c>
      <c r="J15" s="102">
        <v>1</v>
      </c>
      <c r="K15" s="103" t="s">
        <v>1810</v>
      </c>
      <c r="L15" s="124">
        <v>2</v>
      </c>
      <c r="M15" s="125" t="s">
        <v>1600</v>
      </c>
      <c r="N15" s="106" t="str">
        <f t="shared" si="1"/>
        <v>12</v>
      </c>
      <c r="O15" s="107"/>
      <c r="P15" s="114" t="s">
        <v>1987</v>
      </c>
      <c r="Q15" s="107"/>
      <c r="R15" s="115" t="s">
        <v>1603</v>
      </c>
      <c r="S15" s="92" t="s">
        <v>1571</v>
      </c>
      <c r="T15" s="110"/>
      <c r="U15" s="94" t="s">
        <v>1603</v>
      </c>
      <c r="V15" s="107"/>
      <c r="W15" s="117">
        <v>7600358</v>
      </c>
      <c r="X15" s="115" t="s">
        <v>1603</v>
      </c>
      <c r="Y15" s="98" t="s">
        <v>1991</v>
      </c>
      <c r="Z15" s="103" t="s">
        <v>1810</v>
      </c>
      <c r="AA15" s="125" t="s">
        <v>1600</v>
      </c>
      <c r="AB15" s="116"/>
      <c r="AG15" s="88" t="s">
        <v>1778</v>
      </c>
      <c r="AH15" s="88" t="s">
        <v>1779</v>
      </c>
    </row>
    <row r="16" spans="1:54" ht="17.45" customHeight="1">
      <c r="B16" s="96" t="e">
        <f t="shared" si="0"/>
        <v>#REF!</v>
      </c>
      <c r="C16" s="112">
        <v>42473</v>
      </c>
      <c r="D16" s="98" t="s">
        <v>1997</v>
      </c>
      <c r="E16" s="98">
        <v>7600913</v>
      </c>
      <c r="F16" s="113" t="s">
        <v>1986</v>
      </c>
      <c r="G16" s="100" t="s">
        <v>13</v>
      </c>
      <c r="H16" s="101" t="s">
        <v>1979</v>
      </c>
      <c r="I16" s="98" t="s">
        <v>1997</v>
      </c>
      <c r="J16" s="102">
        <v>1</v>
      </c>
      <c r="K16" s="103" t="s">
        <v>1810</v>
      </c>
      <c r="L16" s="124">
        <v>2</v>
      </c>
      <c r="M16" s="125" t="s">
        <v>1600</v>
      </c>
      <c r="N16" s="106" t="str">
        <f t="shared" si="1"/>
        <v>12</v>
      </c>
      <c r="O16" s="107"/>
      <c r="P16" s="114" t="s">
        <v>1987</v>
      </c>
      <c r="Q16" s="107"/>
      <c r="R16" s="115" t="s">
        <v>1601</v>
      </c>
      <c r="S16" s="92" t="s">
        <v>1571</v>
      </c>
      <c r="T16" s="110"/>
      <c r="U16" s="94" t="s">
        <v>1601</v>
      </c>
      <c r="V16" s="107"/>
      <c r="W16" s="117">
        <v>7600100</v>
      </c>
      <c r="X16" s="115" t="s">
        <v>1601</v>
      </c>
      <c r="Y16" s="98" t="s">
        <v>1997</v>
      </c>
      <c r="Z16" s="103" t="s">
        <v>1810</v>
      </c>
      <c r="AA16" s="125" t="s">
        <v>1600</v>
      </c>
      <c r="AB16" s="116"/>
      <c r="AG16" s="88" t="s">
        <v>1778</v>
      </c>
      <c r="AH16" s="88" t="s">
        <v>1779</v>
      </c>
    </row>
    <row r="17" spans="2:34" ht="17.45" customHeight="1">
      <c r="B17" s="96" t="e">
        <f t="shared" si="0"/>
        <v>#REF!</v>
      </c>
      <c r="C17" s="112">
        <v>36224</v>
      </c>
      <c r="D17" s="98" t="s">
        <v>1987</v>
      </c>
      <c r="E17" s="98">
        <v>7600100</v>
      </c>
      <c r="F17" s="113" t="s">
        <v>1986</v>
      </c>
      <c r="G17" s="100" t="s">
        <v>31</v>
      </c>
      <c r="H17" s="101" t="s">
        <v>1979</v>
      </c>
      <c r="I17" s="98" t="s">
        <v>1987</v>
      </c>
      <c r="J17" s="102">
        <v>1</v>
      </c>
      <c r="K17" s="103" t="s">
        <v>1810</v>
      </c>
      <c r="L17" s="124">
        <v>2</v>
      </c>
      <c r="M17" s="125" t="s">
        <v>1600</v>
      </c>
      <c r="N17" s="106" t="str">
        <f t="shared" si="1"/>
        <v>12</v>
      </c>
      <c r="O17" s="107"/>
      <c r="P17" s="114" t="s">
        <v>1987</v>
      </c>
      <c r="Q17" s="107"/>
      <c r="R17" s="115" t="s">
        <v>1601</v>
      </c>
      <c r="S17" s="92" t="s">
        <v>1571</v>
      </c>
      <c r="T17" s="110"/>
      <c r="U17" s="94" t="s">
        <v>1601</v>
      </c>
      <c r="V17" s="107"/>
      <c r="W17" s="117">
        <v>7600100</v>
      </c>
      <c r="X17" s="115" t="s">
        <v>1601</v>
      </c>
      <c r="Y17" s="98" t="s">
        <v>1987</v>
      </c>
      <c r="Z17" s="103" t="s">
        <v>1810</v>
      </c>
      <c r="AA17" s="125" t="s">
        <v>1600</v>
      </c>
      <c r="AB17" s="116"/>
      <c r="AC17" s="107"/>
      <c r="AG17" s="88" t="s">
        <v>1778</v>
      </c>
      <c r="AH17" s="88" t="s">
        <v>1779</v>
      </c>
    </row>
    <row r="18" spans="2:34" ht="17.45" customHeight="1">
      <c r="B18" s="96" t="e">
        <f t="shared" si="0"/>
        <v>#REF!</v>
      </c>
      <c r="C18" s="112">
        <v>36228</v>
      </c>
      <c r="D18" s="98" t="s">
        <v>1998</v>
      </c>
      <c r="E18" s="98">
        <v>7601214</v>
      </c>
      <c r="F18" s="113" t="s">
        <v>1986</v>
      </c>
      <c r="G18" s="100" t="s">
        <v>36</v>
      </c>
      <c r="H18" s="101" t="s">
        <v>1979</v>
      </c>
      <c r="I18" s="98" t="s">
        <v>1998</v>
      </c>
      <c r="J18" s="102">
        <v>1</v>
      </c>
      <c r="K18" s="103" t="s">
        <v>1810</v>
      </c>
      <c r="L18" s="124">
        <v>2</v>
      </c>
      <c r="M18" s="125" t="s">
        <v>1600</v>
      </c>
      <c r="N18" s="106" t="str">
        <f t="shared" si="1"/>
        <v>12</v>
      </c>
      <c r="O18" s="107"/>
      <c r="P18" s="114" t="s">
        <v>1987</v>
      </c>
      <c r="Q18" s="107"/>
      <c r="R18" s="115" t="s">
        <v>1601</v>
      </c>
      <c r="S18" s="92" t="s">
        <v>1571</v>
      </c>
      <c r="T18" s="110"/>
      <c r="U18" s="94" t="s">
        <v>1601</v>
      </c>
      <c r="V18" s="107"/>
      <c r="W18" s="117">
        <v>7600100</v>
      </c>
      <c r="X18" s="115" t="s">
        <v>1601</v>
      </c>
      <c r="Y18" s="98" t="s">
        <v>1998</v>
      </c>
      <c r="Z18" s="103" t="s">
        <v>1810</v>
      </c>
      <c r="AA18" s="125" t="s">
        <v>1600</v>
      </c>
      <c r="AB18" s="116"/>
      <c r="AG18" s="88" t="s">
        <v>1778</v>
      </c>
      <c r="AH18" s="88" t="s">
        <v>1779</v>
      </c>
    </row>
    <row r="19" spans="2:34" ht="17.45" customHeight="1">
      <c r="B19" s="96" t="e">
        <f t="shared" si="0"/>
        <v>#REF!</v>
      </c>
      <c r="C19" s="112">
        <v>36542</v>
      </c>
      <c r="D19" s="98" t="s">
        <v>1995</v>
      </c>
      <c r="E19" s="98">
        <v>7600728</v>
      </c>
      <c r="F19" s="113" t="s">
        <v>1986</v>
      </c>
      <c r="G19" s="100" t="s">
        <v>40</v>
      </c>
      <c r="H19" s="101" t="s">
        <v>1979</v>
      </c>
      <c r="I19" s="98" t="s">
        <v>1995</v>
      </c>
      <c r="J19" s="102">
        <v>1</v>
      </c>
      <c r="K19" s="103" t="s">
        <v>1810</v>
      </c>
      <c r="L19" s="124">
        <v>2</v>
      </c>
      <c r="M19" s="125" t="s">
        <v>1600</v>
      </c>
      <c r="N19" s="106" t="str">
        <f t="shared" si="1"/>
        <v>12</v>
      </c>
      <c r="O19" s="107"/>
      <c r="P19" s="114" t="s">
        <v>1987</v>
      </c>
      <c r="Q19" s="107"/>
      <c r="R19" s="115" t="s">
        <v>1601</v>
      </c>
      <c r="S19" s="92" t="s">
        <v>1571</v>
      </c>
      <c r="T19" s="110"/>
      <c r="U19" s="94" t="s">
        <v>1601</v>
      </c>
      <c r="V19" s="107"/>
      <c r="W19" s="117">
        <v>7600100</v>
      </c>
      <c r="X19" s="115" t="s">
        <v>1601</v>
      </c>
      <c r="Y19" s="98" t="s">
        <v>1995</v>
      </c>
      <c r="Z19" s="103" t="s">
        <v>1810</v>
      </c>
      <c r="AA19" s="125" t="s">
        <v>1600</v>
      </c>
      <c r="AB19" s="116"/>
      <c r="AG19" s="88" t="s">
        <v>1778</v>
      </c>
      <c r="AH19" s="88" t="s">
        <v>1779</v>
      </c>
    </row>
    <row r="20" spans="2:34" ht="17.45" customHeight="1">
      <c r="B20" s="96" t="e">
        <f t="shared" si="0"/>
        <v>#REF!</v>
      </c>
      <c r="C20" s="112">
        <v>40738</v>
      </c>
      <c r="D20" s="98" t="s">
        <v>1994</v>
      </c>
      <c r="E20" s="98">
        <v>7600595</v>
      </c>
      <c r="F20" s="113" t="s">
        <v>1986</v>
      </c>
      <c r="G20" s="100" t="s">
        <v>45</v>
      </c>
      <c r="H20" s="101" t="s">
        <v>1979</v>
      </c>
      <c r="I20" s="98" t="s">
        <v>1994</v>
      </c>
      <c r="J20" s="102">
        <v>1</v>
      </c>
      <c r="K20" s="103" t="s">
        <v>1810</v>
      </c>
      <c r="L20" s="124">
        <v>2</v>
      </c>
      <c r="M20" s="125" t="s">
        <v>1600</v>
      </c>
      <c r="N20" s="106" t="str">
        <f t="shared" si="1"/>
        <v>12</v>
      </c>
      <c r="O20" s="107"/>
      <c r="P20" s="114" t="s">
        <v>1987</v>
      </c>
      <c r="Q20" s="107"/>
      <c r="R20" s="115" t="s">
        <v>1601</v>
      </c>
      <c r="S20" s="92" t="s">
        <v>1571</v>
      </c>
      <c r="T20" s="110"/>
      <c r="U20" s="94" t="s">
        <v>1601</v>
      </c>
      <c r="V20" s="107"/>
      <c r="W20" s="117">
        <v>7600100</v>
      </c>
      <c r="X20" s="115" t="s">
        <v>1601</v>
      </c>
      <c r="Y20" s="98" t="s">
        <v>1994</v>
      </c>
      <c r="Z20" s="103" t="s">
        <v>1810</v>
      </c>
      <c r="AA20" s="125" t="s">
        <v>1600</v>
      </c>
      <c r="AB20" s="116"/>
      <c r="AG20" s="88" t="s">
        <v>1778</v>
      </c>
      <c r="AH20" s="88" t="s">
        <v>1779</v>
      </c>
    </row>
    <row r="21" spans="2:34" ht="17.45" customHeight="1">
      <c r="B21" s="96" t="e">
        <f t="shared" si="0"/>
        <v>#REF!</v>
      </c>
      <c r="C21" s="112">
        <v>37600</v>
      </c>
      <c r="D21" s="98" t="s">
        <v>1988</v>
      </c>
      <c r="E21" s="98">
        <v>7600331</v>
      </c>
      <c r="F21" s="113" t="s">
        <v>1986</v>
      </c>
      <c r="G21" s="100" t="s">
        <v>49</v>
      </c>
      <c r="H21" s="101" t="s">
        <v>1979</v>
      </c>
      <c r="I21" s="98" t="s">
        <v>1988</v>
      </c>
      <c r="J21" s="102">
        <v>1</v>
      </c>
      <c r="K21" s="103" t="s">
        <v>1810</v>
      </c>
      <c r="L21" s="124">
        <v>2</v>
      </c>
      <c r="M21" s="125" t="s">
        <v>1600</v>
      </c>
      <c r="N21" s="106" t="str">
        <f t="shared" si="1"/>
        <v>12</v>
      </c>
      <c r="O21" s="107"/>
      <c r="P21" s="114" t="s">
        <v>1987</v>
      </c>
      <c r="Q21" s="107"/>
      <c r="R21" s="115" t="s">
        <v>1601</v>
      </c>
      <c r="S21" s="92" t="s">
        <v>1571</v>
      </c>
      <c r="T21" s="110"/>
      <c r="U21" s="94" t="s">
        <v>1601</v>
      </c>
      <c r="V21" s="107"/>
      <c r="W21" s="117">
        <v>7600100</v>
      </c>
      <c r="X21" s="115" t="s">
        <v>1601</v>
      </c>
      <c r="Y21" s="98" t="s">
        <v>1988</v>
      </c>
      <c r="Z21" s="103" t="s">
        <v>1810</v>
      </c>
      <c r="AA21" s="125" t="s">
        <v>1600</v>
      </c>
      <c r="AB21" s="95"/>
      <c r="AC21" s="107"/>
      <c r="AG21" s="88" t="s">
        <v>1778</v>
      </c>
      <c r="AH21" s="88" t="s">
        <v>1779</v>
      </c>
    </row>
    <row r="22" spans="2:34" ht="17.45" customHeight="1">
      <c r="B22" s="96" t="e">
        <f t="shared" si="0"/>
        <v>#REF!</v>
      </c>
      <c r="C22" s="112">
        <v>37256</v>
      </c>
      <c r="D22" s="98" t="s">
        <v>1817</v>
      </c>
      <c r="E22" s="98">
        <v>7601216</v>
      </c>
      <c r="F22" s="113" t="s">
        <v>1808</v>
      </c>
      <c r="G22" s="100" t="s">
        <v>137</v>
      </c>
      <c r="H22" s="101" t="s">
        <v>1828</v>
      </c>
      <c r="I22" s="98" t="s">
        <v>1817</v>
      </c>
      <c r="J22" s="102">
        <v>1</v>
      </c>
      <c r="K22" s="103" t="s">
        <v>1810</v>
      </c>
      <c r="L22" s="124">
        <v>3</v>
      </c>
      <c r="M22" s="125" t="s">
        <v>1604</v>
      </c>
      <c r="N22" s="106" t="str">
        <f t="shared" si="1"/>
        <v>13</v>
      </c>
      <c r="O22" s="107"/>
      <c r="P22" s="114" t="s">
        <v>1809</v>
      </c>
      <c r="Q22" s="107"/>
      <c r="R22" s="115" t="s">
        <v>1605</v>
      </c>
      <c r="S22" s="92" t="s">
        <v>1572</v>
      </c>
      <c r="T22" s="110"/>
      <c r="U22" s="94" t="s">
        <v>1605</v>
      </c>
      <c r="V22" s="107"/>
      <c r="W22" s="117">
        <v>7600742</v>
      </c>
      <c r="X22" s="115" t="s">
        <v>1605</v>
      </c>
      <c r="Y22" s="98" t="s">
        <v>1817</v>
      </c>
      <c r="Z22" s="103" t="s">
        <v>1810</v>
      </c>
      <c r="AA22" s="125" t="s">
        <v>1604</v>
      </c>
      <c r="AB22" s="127" t="s">
        <v>1633</v>
      </c>
      <c r="AG22" s="88" t="s">
        <v>1778</v>
      </c>
      <c r="AH22" s="88" t="s">
        <v>1779</v>
      </c>
    </row>
    <row r="23" spans="2:34" ht="17.45" customHeight="1">
      <c r="B23" s="96" t="e">
        <f t="shared" si="0"/>
        <v>#REF!</v>
      </c>
      <c r="C23" s="112">
        <v>44866</v>
      </c>
      <c r="D23" s="98" t="s">
        <v>1816</v>
      </c>
      <c r="E23" s="98">
        <v>7601210</v>
      </c>
      <c r="F23" s="113" t="s">
        <v>1808</v>
      </c>
      <c r="G23" s="100" t="s">
        <v>142</v>
      </c>
      <c r="H23" s="101" t="s">
        <v>1828</v>
      </c>
      <c r="I23" s="98" t="s">
        <v>1816</v>
      </c>
      <c r="J23" s="126">
        <v>1</v>
      </c>
      <c r="K23" s="124" t="s">
        <v>1810</v>
      </c>
      <c r="L23" s="124">
        <v>3</v>
      </c>
      <c r="M23" s="125" t="s">
        <v>1604</v>
      </c>
      <c r="N23" s="106" t="str">
        <f t="shared" si="1"/>
        <v>13</v>
      </c>
      <c r="O23" s="107"/>
      <c r="P23" s="114" t="s">
        <v>1809</v>
      </c>
      <c r="Q23" s="107"/>
      <c r="R23" s="115" t="s">
        <v>1605</v>
      </c>
      <c r="S23" s="92" t="s">
        <v>1572</v>
      </c>
      <c r="T23" s="110"/>
      <c r="U23" s="94" t="s">
        <v>1605</v>
      </c>
      <c r="V23" s="107"/>
      <c r="W23" s="117">
        <v>7600742</v>
      </c>
      <c r="X23" s="115" t="s">
        <v>1605</v>
      </c>
      <c r="Y23" s="98" t="s">
        <v>1816</v>
      </c>
      <c r="Z23" s="124" t="s">
        <v>1810</v>
      </c>
      <c r="AA23" s="125" t="s">
        <v>1604</v>
      </c>
      <c r="AB23" s="127" t="s">
        <v>1610</v>
      </c>
      <c r="AG23" s="88" t="s">
        <v>1778</v>
      </c>
      <c r="AH23" s="88" t="s">
        <v>1779</v>
      </c>
    </row>
    <row r="24" spans="2:34" ht="17.45" customHeight="1">
      <c r="B24" s="96" t="e">
        <f t="shared" si="0"/>
        <v>#REF!</v>
      </c>
      <c r="C24" s="112">
        <v>45202</v>
      </c>
      <c r="D24" s="98" t="s">
        <v>1819</v>
      </c>
      <c r="E24" s="98">
        <v>7601224</v>
      </c>
      <c r="F24" s="113" t="s">
        <v>1808</v>
      </c>
      <c r="G24" s="128" t="s">
        <v>1818</v>
      </c>
      <c r="H24" s="101" t="s">
        <v>1828</v>
      </c>
      <c r="I24" s="98" t="s">
        <v>1819</v>
      </c>
      <c r="J24" s="102">
        <v>1</v>
      </c>
      <c r="K24" s="103" t="s">
        <v>1810</v>
      </c>
      <c r="L24" s="124">
        <v>3</v>
      </c>
      <c r="M24" s="125" t="s">
        <v>1604</v>
      </c>
      <c r="N24" s="106" t="str">
        <f t="shared" si="1"/>
        <v>13</v>
      </c>
      <c r="O24" s="107"/>
      <c r="P24" s="114" t="s">
        <v>1809</v>
      </c>
      <c r="Q24" s="107"/>
      <c r="R24" s="115" t="s">
        <v>1605</v>
      </c>
      <c r="S24" s="92" t="s">
        <v>1572</v>
      </c>
      <c r="T24" s="110"/>
      <c r="U24" s="94" t="s">
        <v>1605</v>
      </c>
      <c r="V24" s="107"/>
      <c r="W24" s="117">
        <v>7600742</v>
      </c>
      <c r="X24" s="115" t="s">
        <v>1605</v>
      </c>
      <c r="Y24" s="98" t="s">
        <v>1819</v>
      </c>
      <c r="Z24" s="103" t="s">
        <v>1810</v>
      </c>
      <c r="AA24" s="125" t="s">
        <v>1604</v>
      </c>
      <c r="AB24" s="127" t="s">
        <v>1834</v>
      </c>
      <c r="AG24" s="88" t="s">
        <v>1778</v>
      </c>
      <c r="AH24" s="88" t="s">
        <v>1779</v>
      </c>
    </row>
    <row r="25" spans="2:34" ht="17.45" customHeight="1">
      <c r="B25" s="96" t="e">
        <f t="shared" si="0"/>
        <v>#REF!</v>
      </c>
      <c r="C25" s="112">
        <v>41628</v>
      </c>
      <c r="D25" s="98" t="s">
        <v>1813</v>
      </c>
      <c r="E25" s="98">
        <v>7600777</v>
      </c>
      <c r="F25" s="113" t="s">
        <v>1808</v>
      </c>
      <c r="G25" s="100" t="s">
        <v>148</v>
      </c>
      <c r="H25" s="101" t="s">
        <v>1828</v>
      </c>
      <c r="I25" s="98" t="s">
        <v>1813</v>
      </c>
      <c r="J25" s="126">
        <v>1</v>
      </c>
      <c r="K25" s="124" t="s">
        <v>1810</v>
      </c>
      <c r="L25" s="124">
        <v>3</v>
      </c>
      <c r="M25" s="125" t="s">
        <v>1604</v>
      </c>
      <c r="N25" s="106" t="str">
        <f t="shared" si="1"/>
        <v>13</v>
      </c>
      <c r="O25" s="107"/>
      <c r="P25" s="114" t="s">
        <v>1809</v>
      </c>
      <c r="Q25" s="107"/>
      <c r="R25" s="115" t="s">
        <v>1605</v>
      </c>
      <c r="S25" s="92" t="s">
        <v>1572</v>
      </c>
      <c r="T25" s="110"/>
      <c r="U25" s="94" t="s">
        <v>1605</v>
      </c>
      <c r="V25" s="107"/>
      <c r="W25" s="117">
        <v>7600742</v>
      </c>
      <c r="X25" s="115" t="s">
        <v>1605</v>
      </c>
      <c r="Y25" s="98" t="s">
        <v>1813</v>
      </c>
      <c r="Z25" s="124" t="s">
        <v>1810</v>
      </c>
      <c r="AA25" s="125" t="s">
        <v>1604</v>
      </c>
      <c r="AB25" s="127" t="s">
        <v>1714</v>
      </c>
      <c r="AG25" s="88" t="s">
        <v>1778</v>
      </c>
      <c r="AH25" s="88" t="s">
        <v>1779</v>
      </c>
    </row>
    <row r="26" spans="2:34" ht="17.45" customHeight="1">
      <c r="B26" s="96" t="e">
        <f t="shared" si="0"/>
        <v>#REF!</v>
      </c>
      <c r="C26" s="112">
        <v>41486</v>
      </c>
      <c r="D26" s="98" t="s">
        <v>1809</v>
      </c>
      <c r="E26" s="98">
        <v>7600742</v>
      </c>
      <c r="F26" s="113" t="s">
        <v>1808</v>
      </c>
      <c r="G26" s="100" t="s">
        <v>151</v>
      </c>
      <c r="H26" s="101" t="s">
        <v>1828</v>
      </c>
      <c r="I26" s="98" t="s">
        <v>1809</v>
      </c>
      <c r="J26" s="126">
        <v>1</v>
      </c>
      <c r="K26" s="124" t="s">
        <v>1810</v>
      </c>
      <c r="L26" s="124">
        <v>3</v>
      </c>
      <c r="M26" s="125" t="s">
        <v>1604</v>
      </c>
      <c r="N26" s="106" t="str">
        <f t="shared" si="1"/>
        <v>13</v>
      </c>
      <c r="O26" s="107"/>
      <c r="P26" s="114" t="s">
        <v>1809</v>
      </c>
      <c r="Q26" s="107"/>
      <c r="R26" s="115" t="s">
        <v>1605</v>
      </c>
      <c r="S26" s="92" t="s">
        <v>1572</v>
      </c>
      <c r="T26" s="110"/>
      <c r="U26" s="94" t="s">
        <v>1605</v>
      </c>
      <c r="V26" s="107"/>
      <c r="W26" s="117">
        <v>7600742</v>
      </c>
      <c r="X26" s="115" t="s">
        <v>1605</v>
      </c>
      <c r="Y26" s="98" t="s">
        <v>1809</v>
      </c>
      <c r="Z26" s="124" t="s">
        <v>1810</v>
      </c>
      <c r="AA26" s="125" t="s">
        <v>1604</v>
      </c>
      <c r="AB26" s="127" t="s">
        <v>1688</v>
      </c>
      <c r="AG26" s="88" t="s">
        <v>1778</v>
      </c>
      <c r="AH26" s="88" t="s">
        <v>1779</v>
      </c>
    </row>
    <row r="27" spans="2:34" ht="17.45" customHeight="1">
      <c r="B27" s="96" t="e">
        <f t="shared" si="0"/>
        <v>#REF!</v>
      </c>
      <c r="C27" s="112">
        <v>42502</v>
      </c>
      <c r="D27" s="98" t="s">
        <v>1814</v>
      </c>
      <c r="E27" s="98">
        <v>7600873</v>
      </c>
      <c r="F27" s="113" t="s">
        <v>1808</v>
      </c>
      <c r="G27" s="100" t="s">
        <v>154</v>
      </c>
      <c r="H27" s="101" t="s">
        <v>1828</v>
      </c>
      <c r="I27" s="98" t="s">
        <v>1814</v>
      </c>
      <c r="J27" s="126">
        <v>1</v>
      </c>
      <c r="K27" s="124" t="s">
        <v>1810</v>
      </c>
      <c r="L27" s="124">
        <v>3</v>
      </c>
      <c r="M27" s="125" t="s">
        <v>1604</v>
      </c>
      <c r="N27" s="106" t="str">
        <f t="shared" si="1"/>
        <v>13</v>
      </c>
      <c r="O27" s="107"/>
      <c r="P27" s="114" t="s">
        <v>1809</v>
      </c>
      <c r="Q27" s="107"/>
      <c r="R27" s="115" t="s">
        <v>1605</v>
      </c>
      <c r="S27" s="92" t="s">
        <v>1572</v>
      </c>
      <c r="T27" s="110"/>
      <c r="U27" s="94" t="s">
        <v>1605</v>
      </c>
      <c r="V27" s="107"/>
      <c r="W27" s="117">
        <v>7600742</v>
      </c>
      <c r="X27" s="115" t="s">
        <v>1605</v>
      </c>
      <c r="Y27" s="98" t="s">
        <v>1814</v>
      </c>
      <c r="Z27" s="124" t="s">
        <v>1810</v>
      </c>
      <c r="AA27" s="125" t="s">
        <v>1604</v>
      </c>
      <c r="AB27" s="127" t="s">
        <v>1649</v>
      </c>
      <c r="AG27" s="88" t="s">
        <v>1778</v>
      </c>
      <c r="AH27" s="88" t="s">
        <v>1779</v>
      </c>
    </row>
    <row r="28" spans="2:34" ht="17.45" customHeight="1">
      <c r="B28" s="133" t="e">
        <f t="shared" si="0"/>
        <v>#REF!</v>
      </c>
      <c r="C28" s="240">
        <v>45744</v>
      </c>
      <c r="D28" s="134" t="s">
        <v>2005</v>
      </c>
      <c r="E28" s="134">
        <v>7601142</v>
      </c>
      <c r="F28" s="241" t="s">
        <v>2001</v>
      </c>
      <c r="G28" s="243" t="s">
        <v>1133</v>
      </c>
      <c r="H28" s="135" t="s">
        <v>1992</v>
      </c>
      <c r="I28" s="134" t="s">
        <v>2005</v>
      </c>
      <c r="J28" s="136">
        <v>1</v>
      </c>
      <c r="K28" s="137" t="s">
        <v>1810</v>
      </c>
      <c r="L28" s="138">
        <v>3</v>
      </c>
      <c r="M28" s="139" t="s">
        <v>1604</v>
      </c>
      <c r="N28" s="140" t="str">
        <f t="shared" si="1"/>
        <v>13</v>
      </c>
      <c r="O28" s="141"/>
      <c r="P28" s="142" t="s">
        <v>2003</v>
      </c>
      <c r="Q28" s="141"/>
      <c r="R28" s="143" t="s">
        <v>1607</v>
      </c>
      <c r="S28" s="92" t="s">
        <v>1572</v>
      </c>
      <c r="T28" s="144"/>
      <c r="U28" s="94" t="s">
        <v>1607</v>
      </c>
      <c r="V28" s="141"/>
      <c r="W28" s="212">
        <v>7600991</v>
      </c>
      <c r="X28" s="143" t="s">
        <v>1607</v>
      </c>
      <c r="Y28" s="134" t="s">
        <v>2005</v>
      </c>
      <c r="Z28" s="137" t="s">
        <v>1810</v>
      </c>
      <c r="AA28" s="139" t="s">
        <v>1604</v>
      </c>
      <c r="AB28" s="116"/>
      <c r="AG28" s="88" t="s">
        <v>1778</v>
      </c>
      <c r="AH28" s="88" t="s">
        <v>1779</v>
      </c>
    </row>
    <row r="29" spans="2:34" ht="17.45" customHeight="1">
      <c r="B29" s="96" t="e">
        <f t="shared" si="0"/>
        <v>#REF!</v>
      </c>
      <c r="C29" s="112">
        <v>44158</v>
      </c>
      <c r="D29" s="98" t="s">
        <v>2003</v>
      </c>
      <c r="E29" s="98">
        <v>7600991</v>
      </c>
      <c r="F29" s="113" t="s">
        <v>2001</v>
      </c>
      <c r="G29" s="100" t="s">
        <v>127</v>
      </c>
      <c r="H29" s="101" t="s">
        <v>1992</v>
      </c>
      <c r="I29" s="98" t="s">
        <v>2003</v>
      </c>
      <c r="J29" s="102">
        <v>1</v>
      </c>
      <c r="K29" s="103" t="s">
        <v>1810</v>
      </c>
      <c r="L29" s="124">
        <v>3</v>
      </c>
      <c r="M29" s="125" t="s">
        <v>1604</v>
      </c>
      <c r="N29" s="106" t="str">
        <f t="shared" si="1"/>
        <v>13</v>
      </c>
      <c r="O29" s="107"/>
      <c r="P29" s="114" t="s">
        <v>2003</v>
      </c>
      <c r="Q29" s="107"/>
      <c r="R29" s="115" t="s">
        <v>1607</v>
      </c>
      <c r="S29" s="92" t="s">
        <v>1572</v>
      </c>
      <c r="T29" s="110"/>
      <c r="U29" s="94" t="s">
        <v>1607</v>
      </c>
      <c r="V29" s="107"/>
      <c r="W29" s="117">
        <v>7600991</v>
      </c>
      <c r="X29" s="115" t="s">
        <v>1607</v>
      </c>
      <c r="Y29" s="98" t="s">
        <v>2003</v>
      </c>
      <c r="Z29" s="103" t="s">
        <v>1810</v>
      </c>
      <c r="AA29" s="125" t="s">
        <v>1604</v>
      </c>
      <c r="AB29" s="116"/>
      <c r="AG29" s="88" t="s">
        <v>1778</v>
      </c>
      <c r="AH29" s="88" t="s">
        <v>1779</v>
      </c>
    </row>
    <row r="30" spans="2:34" ht="17.45" customHeight="1">
      <c r="B30" s="96" t="e">
        <f t="shared" si="0"/>
        <v>#REF!</v>
      </c>
      <c r="C30" s="112">
        <v>38708</v>
      </c>
      <c r="D30" s="98" t="s">
        <v>2004</v>
      </c>
      <c r="E30" s="98">
        <v>7601047</v>
      </c>
      <c r="F30" s="113" t="s">
        <v>2001</v>
      </c>
      <c r="G30" s="100" t="s">
        <v>134</v>
      </c>
      <c r="H30" s="101" t="s">
        <v>1992</v>
      </c>
      <c r="I30" s="98" t="s">
        <v>2004</v>
      </c>
      <c r="J30" s="102">
        <v>1</v>
      </c>
      <c r="K30" s="103" t="s">
        <v>1810</v>
      </c>
      <c r="L30" s="124">
        <v>3</v>
      </c>
      <c r="M30" s="125" t="s">
        <v>1604</v>
      </c>
      <c r="N30" s="106" t="str">
        <f t="shared" si="1"/>
        <v>13</v>
      </c>
      <c r="O30" s="107"/>
      <c r="P30" s="114" t="s">
        <v>2003</v>
      </c>
      <c r="Q30" s="107"/>
      <c r="R30" s="115" t="s">
        <v>1607</v>
      </c>
      <c r="S30" s="92" t="s">
        <v>1572</v>
      </c>
      <c r="T30" s="110"/>
      <c r="U30" s="94" t="s">
        <v>1607</v>
      </c>
      <c r="V30" s="107"/>
      <c r="W30" s="117">
        <v>7600991</v>
      </c>
      <c r="X30" s="115" t="s">
        <v>1607</v>
      </c>
      <c r="Y30" s="98" t="s">
        <v>2004</v>
      </c>
      <c r="Z30" s="103" t="s">
        <v>1810</v>
      </c>
      <c r="AA30" s="125" t="s">
        <v>1604</v>
      </c>
      <c r="AB30" s="116"/>
      <c r="AG30" s="88" t="s">
        <v>1778</v>
      </c>
      <c r="AH30" s="88" t="s">
        <v>1779</v>
      </c>
    </row>
    <row r="31" spans="2:34" ht="17.45" customHeight="1">
      <c r="B31" s="96" t="e">
        <f t="shared" si="0"/>
        <v>#REF!</v>
      </c>
      <c r="C31" s="112">
        <v>38295</v>
      </c>
      <c r="D31" s="98" t="s">
        <v>2022</v>
      </c>
      <c r="E31" s="98">
        <v>7600373</v>
      </c>
      <c r="F31" s="113" t="s">
        <v>2019</v>
      </c>
      <c r="G31" s="100" t="s">
        <v>252</v>
      </c>
      <c r="H31" s="101" t="s">
        <v>2010</v>
      </c>
      <c r="I31" s="98" t="s">
        <v>2022</v>
      </c>
      <c r="J31" s="102">
        <v>1</v>
      </c>
      <c r="K31" s="103" t="s">
        <v>1810</v>
      </c>
      <c r="L31" s="124">
        <v>3</v>
      </c>
      <c r="M31" s="125" t="s">
        <v>1604</v>
      </c>
      <c r="N31" s="106" t="str">
        <f t="shared" si="1"/>
        <v>13</v>
      </c>
      <c r="O31" s="107"/>
      <c r="P31" s="114" t="s">
        <v>2020</v>
      </c>
      <c r="Q31" s="107"/>
      <c r="R31" s="115" t="s">
        <v>1608</v>
      </c>
      <c r="S31" s="92" t="s">
        <v>1572</v>
      </c>
      <c r="T31" s="110"/>
      <c r="U31" s="94" t="s">
        <v>1608</v>
      </c>
      <c r="V31" s="107"/>
      <c r="W31" s="117">
        <v>7600023</v>
      </c>
      <c r="X31" s="115" t="s">
        <v>1608</v>
      </c>
      <c r="Y31" s="98" t="s">
        <v>2022</v>
      </c>
      <c r="Z31" s="103" t="s">
        <v>1810</v>
      </c>
      <c r="AA31" s="125" t="s">
        <v>1604</v>
      </c>
      <c r="AB31" s="116"/>
      <c r="AG31" s="88" t="s">
        <v>1778</v>
      </c>
      <c r="AH31" s="88" t="s">
        <v>1779</v>
      </c>
    </row>
    <row r="32" spans="2:34" ht="17.45" customHeight="1">
      <c r="B32" s="96" t="e">
        <f t="shared" si="0"/>
        <v>#REF!</v>
      </c>
      <c r="C32" s="112">
        <v>41249</v>
      </c>
      <c r="D32" s="98" t="s">
        <v>2024</v>
      </c>
      <c r="E32" s="98">
        <v>7600701</v>
      </c>
      <c r="F32" s="113" t="s">
        <v>2019</v>
      </c>
      <c r="G32" s="100" t="s">
        <v>257</v>
      </c>
      <c r="H32" s="101" t="s">
        <v>2010</v>
      </c>
      <c r="I32" s="98" t="s">
        <v>2024</v>
      </c>
      <c r="J32" s="102">
        <v>1</v>
      </c>
      <c r="K32" s="103" t="s">
        <v>1810</v>
      </c>
      <c r="L32" s="124">
        <v>3</v>
      </c>
      <c r="M32" s="125" t="s">
        <v>1604</v>
      </c>
      <c r="N32" s="106" t="str">
        <f t="shared" si="1"/>
        <v>13</v>
      </c>
      <c r="O32" s="107"/>
      <c r="P32" s="114" t="s">
        <v>2020</v>
      </c>
      <c r="Q32" s="107"/>
      <c r="R32" s="115" t="s">
        <v>1608</v>
      </c>
      <c r="S32" s="92" t="s">
        <v>1572</v>
      </c>
      <c r="T32" s="110"/>
      <c r="U32" s="94" t="s">
        <v>1608</v>
      </c>
      <c r="V32" s="107"/>
      <c r="W32" s="117">
        <v>7600023</v>
      </c>
      <c r="X32" s="115" t="s">
        <v>1608</v>
      </c>
      <c r="Y32" s="98" t="s">
        <v>2024</v>
      </c>
      <c r="Z32" s="103" t="s">
        <v>1810</v>
      </c>
      <c r="AA32" s="125" t="s">
        <v>1604</v>
      </c>
      <c r="AB32" s="116"/>
      <c r="AG32" s="88" t="s">
        <v>1778</v>
      </c>
      <c r="AH32" s="88" t="s">
        <v>1779</v>
      </c>
    </row>
    <row r="33" spans="2:34" ht="17.45" customHeight="1">
      <c r="B33" s="96" t="e">
        <f t="shared" si="0"/>
        <v>#REF!</v>
      </c>
      <c r="C33" s="112">
        <v>37160</v>
      </c>
      <c r="D33" s="98" t="s">
        <v>2026</v>
      </c>
      <c r="E33" s="98">
        <v>7600756</v>
      </c>
      <c r="F33" s="113" t="s">
        <v>2019</v>
      </c>
      <c r="G33" s="100" t="s">
        <v>260</v>
      </c>
      <c r="H33" s="101" t="s">
        <v>2010</v>
      </c>
      <c r="I33" s="98" t="s">
        <v>2026</v>
      </c>
      <c r="J33" s="102">
        <v>1</v>
      </c>
      <c r="K33" s="103" t="s">
        <v>1810</v>
      </c>
      <c r="L33" s="124">
        <v>3</v>
      </c>
      <c r="M33" s="125" t="s">
        <v>1604</v>
      </c>
      <c r="N33" s="106" t="str">
        <f t="shared" si="1"/>
        <v>13</v>
      </c>
      <c r="O33" s="107"/>
      <c r="P33" s="114" t="s">
        <v>2020</v>
      </c>
      <c r="Q33" s="107"/>
      <c r="R33" s="115" t="s">
        <v>1608</v>
      </c>
      <c r="S33" s="92" t="s">
        <v>1572</v>
      </c>
      <c r="T33" s="110"/>
      <c r="U33" s="94" t="s">
        <v>1608</v>
      </c>
      <c r="V33" s="107"/>
      <c r="W33" s="117">
        <v>7600023</v>
      </c>
      <c r="X33" s="115" t="s">
        <v>1608</v>
      </c>
      <c r="Y33" s="98" t="s">
        <v>2026</v>
      </c>
      <c r="Z33" s="103" t="s">
        <v>1810</v>
      </c>
      <c r="AA33" s="125" t="s">
        <v>1604</v>
      </c>
      <c r="AB33" s="116"/>
      <c r="AG33" s="88" t="s">
        <v>1778</v>
      </c>
      <c r="AH33" s="88" t="s">
        <v>1779</v>
      </c>
    </row>
    <row r="34" spans="2:34" ht="17.45" customHeight="1">
      <c r="B34" s="96" t="e">
        <f t="shared" si="0"/>
        <v>#REF!</v>
      </c>
      <c r="C34" s="112">
        <v>35571</v>
      </c>
      <c r="D34" s="98" t="s">
        <v>2020</v>
      </c>
      <c r="E34" s="98">
        <v>7600023</v>
      </c>
      <c r="F34" s="113" t="s">
        <v>2019</v>
      </c>
      <c r="G34" s="100" t="s">
        <v>264</v>
      </c>
      <c r="H34" s="101" t="s">
        <v>2010</v>
      </c>
      <c r="I34" s="98" t="s">
        <v>2020</v>
      </c>
      <c r="J34" s="102">
        <v>1</v>
      </c>
      <c r="K34" s="103" t="s">
        <v>1810</v>
      </c>
      <c r="L34" s="124">
        <v>3</v>
      </c>
      <c r="M34" s="125" t="s">
        <v>1604</v>
      </c>
      <c r="N34" s="106" t="str">
        <f t="shared" si="1"/>
        <v>13</v>
      </c>
      <c r="O34" s="107"/>
      <c r="P34" s="114" t="s">
        <v>2020</v>
      </c>
      <c r="Q34" s="107"/>
      <c r="R34" s="115" t="s">
        <v>1608</v>
      </c>
      <c r="S34" s="92" t="s">
        <v>1572</v>
      </c>
      <c r="T34" s="110"/>
      <c r="U34" s="94" t="s">
        <v>1608</v>
      </c>
      <c r="V34" s="107"/>
      <c r="W34" s="117">
        <v>7600023</v>
      </c>
      <c r="X34" s="115" t="s">
        <v>1608</v>
      </c>
      <c r="Y34" s="98" t="s">
        <v>2020</v>
      </c>
      <c r="Z34" s="103" t="s">
        <v>1810</v>
      </c>
      <c r="AA34" s="125" t="s">
        <v>1604</v>
      </c>
      <c r="AB34" s="116"/>
      <c r="AG34" s="88" t="s">
        <v>1778</v>
      </c>
      <c r="AH34" s="88" t="s">
        <v>1779</v>
      </c>
    </row>
    <row r="35" spans="2:34" ht="17.45" customHeight="1">
      <c r="B35" s="96" t="e">
        <f t="shared" si="0"/>
        <v>#REF!</v>
      </c>
      <c r="C35" s="112">
        <v>37246</v>
      </c>
      <c r="D35" s="98" t="s">
        <v>2021</v>
      </c>
      <c r="E35" s="98">
        <v>7600271</v>
      </c>
      <c r="F35" s="113" t="s">
        <v>2019</v>
      </c>
      <c r="G35" s="100" t="s">
        <v>266</v>
      </c>
      <c r="H35" s="101" t="s">
        <v>2010</v>
      </c>
      <c r="I35" s="98" t="s">
        <v>2021</v>
      </c>
      <c r="J35" s="102">
        <v>1</v>
      </c>
      <c r="K35" s="103" t="s">
        <v>1810</v>
      </c>
      <c r="L35" s="124">
        <v>3</v>
      </c>
      <c r="M35" s="125" t="s">
        <v>1604</v>
      </c>
      <c r="N35" s="106" t="str">
        <f t="shared" si="1"/>
        <v>13</v>
      </c>
      <c r="O35" s="107"/>
      <c r="P35" s="114" t="s">
        <v>2020</v>
      </c>
      <c r="Q35" s="107"/>
      <c r="R35" s="115" t="s">
        <v>1608</v>
      </c>
      <c r="S35" s="92" t="s">
        <v>1572</v>
      </c>
      <c r="T35" s="110"/>
      <c r="U35" s="94" t="s">
        <v>1608</v>
      </c>
      <c r="V35" s="107"/>
      <c r="W35" s="117">
        <v>7600023</v>
      </c>
      <c r="X35" s="115" t="s">
        <v>1608</v>
      </c>
      <c r="Y35" s="98" t="s">
        <v>2021</v>
      </c>
      <c r="Z35" s="103" t="s">
        <v>1810</v>
      </c>
      <c r="AA35" s="125" t="s">
        <v>1604</v>
      </c>
      <c r="AB35" s="116"/>
      <c r="AG35" s="88" t="s">
        <v>1778</v>
      </c>
      <c r="AH35" s="88" t="s">
        <v>1779</v>
      </c>
    </row>
    <row r="36" spans="2:34" ht="17.45" customHeight="1">
      <c r="B36" s="96" t="e">
        <f t="shared" si="0"/>
        <v>#REF!</v>
      </c>
      <c r="C36" s="112">
        <v>35479</v>
      </c>
      <c r="D36" s="98" t="s">
        <v>1880</v>
      </c>
      <c r="E36" s="98">
        <v>7601213</v>
      </c>
      <c r="F36" s="113" t="s">
        <v>1869</v>
      </c>
      <c r="G36" s="100" t="s">
        <v>157</v>
      </c>
      <c r="H36" s="101" t="s">
        <v>1872</v>
      </c>
      <c r="I36" s="98" t="s">
        <v>1880</v>
      </c>
      <c r="J36" s="102">
        <v>1</v>
      </c>
      <c r="K36" s="103" t="s">
        <v>1810</v>
      </c>
      <c r="L36" s="124">
        <v>4</v>
      </c>
      <c r="M36" s="125" t="s">
        <v>1609</v>
      </c>
      <c r="N36" s="106" t="str">
        <f t="shared" si="1"/>
        <v>14</v>
      </c>
      <c r="O36" s="107"/>
      <c r="P36" s="114" t="s">
        <v>1871</v>
      </c>
      <c r="Q36" s="107"/>
      <c r="R36" s="115" t="s">
        <v>1610</v>
      </c>
      <c r="S36" s="92" t="s">
        <v>1573</v>
      </c>
      <c r="T36" s="110"/>
      <c r="U36" s="94" t="s">
        <v>1610</v>
      </c>
      <c r="V36" s="107"/>
      <c r="W36" s="117">
        <v>7600167</v>
      </c>
      <c r="X36" s="115" t="s">
        <v>1610</v>
      </c>
      <c r="Y36" s="98" t="s">
        <v>1880</v>
      </c>
      <c r="Z36" s="103" t="s">
        <v>1810</v>
      </c>
      <c r="AA36" s="125" t="s">
        <v>1609</v>
      </c>
      <c r="AB36" s="127" t="s">
        <v>1703</v>
      </c>
      <c r="AG36" s="88" t="s">
        <v>1778</v>
      </c>
      <c r="AH36" s="88" t="s">
        <v>1779</v>
      </c>
    </row>
    <row r="37" spans="2:34" ht="17.45" customHeight="1">
      <c r="B37" s="96" t="e">
        <f t="shared" si="0"/>
        <v>#REF!</v>
      </c>
      <c r="C37" s="112">
        <v>41445</v>
      </c>
      <c r="D37" s="98" t="s">
        <v>1875</v>
      </c>
      <c r="E37" s="98">
        <v>7600746</v>
      </c>
      <c r="F37" s="99" t="s">
        <v>1869</v>
      </c>
      <c r="G37" s="100" t="s">
        <v>163</v>
      </c>
      <c r="H37" s="101" t="s">
        <v>1872</v>
      </c>
      <c r="I37" s="98" t="s">
        <v>1875</v>
      </c>
      <c r="J37" s="126">
        <v>1</v>
      </c>
      <c r="K37" s="126" t="s">
        <v>1810</v>
      </c>
      <c r="L37" s="124">
        <v>4</v>
      </c>
      <c r="M37" s="125" t="s">
        <v>1609</v>
      </c>
      <c r="N37" s="106" t="str">
        <f t="shared" si="1"/>
        <v>14</v>
      </c>
      <c r="O37" s="107"/>
      <c r="P37" s="114" t="s">
        <v>1871</v>
      </c>
      <c r="Q37" s="107"/>
      <c r="R37" s="115" t="s">
        <v>1610</v>
      </c>
      <c r="S37" s="92" t="s">
        <v>1573</v>
      </c>
      <c r="T37" s="110"/>
      <c r="U37" s="94" t="s">
        <v>1610</v>
      </c>
      <c r="V37" s="107"/>
      <c r="W37" s="117">
        <v>7600167</v>
      </c>
      <c r="X37" s="115" t="s">
        <v>1610</v>
      </c>
      <c r="Y37" s="98" t="s">
        <v>1875</v>
      </c>
      <c r="Z37" s="126" t="s">
        <v>1810</v>
      </c>
      <c r="AA37" s="125" t="s">
        <v>1609</v>
      </c>
      <c r="AB37" s="127" t="s">
        <v>1625</v>
      </c>
      <c r="AC37" s="147"/>
      <c r="AD37" s="147"/>
      <c r="AE37" s="147"/>
      <c r="AF37" s="147"/>
      <c r="AG37" s="88" t="s">
        <v>1778</v>
      </c>
      <c r="AH37" s="88" t="s">
        <v>1779</v>
      </c>
    </row>
    <row r="38" spans="2:34" ht="17.45" customHeight="1">
      <c r="B38" s="96" t="e">
        <f t="shared" si="0"/>
        <v>#REF!</v>
      </c>
      <c r="C38" s="112">
        <v>35571</v>
      </c>
      <c r="D38" s="98" t="s">
        <v>1878</v>
      </c>
      <c r="E38" s="98">
        <v>7600943</v>
      </c>
      <c r="F38" s="113" t="s">
        <v>1869</v>
      </c>
      <c r="G38" s="100" t="s">
        <v>167</v>
      </c>
      <c r="H38" s="101" t="s">
        <v>1872</v>
      </c>
      <c r="I38" s="98" t="s">
        <v>1878</v>
      </c>
      <c r="J38" s="102">
        <v>1</v>
      </c>
      <c r="K38" s="103" t="s">
        <v>1810</v>
      </c>
      <c r="L38" s="124">
        <v>4</v>
      </c>
      <c r="M38" s="125" t="s">
        <v>1609</v>
      </c>
      <c r="N38" s="106" t="str">
        <f t="shared" si="1"/>
        <v>14</v>
      </c>
      <c r="O38" s="107"/>
      <c r="P38" s="114" t="s">
        <v>1871</v>
      </c>
      <c r="Q38" s="107"/>
      <c r="R38" s="115" t="s">
        <v>1610</v>
      </c>
      <c r="S38" s="92" t="s">
        <v>1573</v>
      </c>
      <c r="T38" s="110"/>
      <c r="U38" s="94" t="s">
        <v>1610</v>
      </c>
      <c r="V38" s="107"/>
      <c r="W38" s="117">
        <v>7600167</v>
      </c>
      <c r="X38" s="115" t="s">
        <v>1610</v>
      </c>
      <c r="Y38" s="98" t="s">
        <v>1878</v>
      </c>
      <c r="Z38" s="103" t="s">
        <v>1810</v>
      </c>
      <c r="AA38" s="125" t="s">
        <v>1609</v>
      </c>
      <c r="AB38" s="127" t="s">
        <v>1617</v>
      </c>
      <c r="AC38" s="147"/>
      <c r="AD38" s="147"/>
      <c r="AE38" s="147"/>
      <c r="AF38" s="147"/>
      <c r="AG38" s="88" t="s">
        <v>1778</v>
      </c>
      <c r="AH38" s="88" t="s">
        <v>1779</v>
      </c>
    </row>
    <row r="39" spans="2:34" ht="17.45" customHeight="1">
      <c r="B39" s="96" t="e">
        <f t="shared" si="0"/>
        <v>#REF!</v>
      </c>
      <c r="C39" s="112">
        <v>40876</v>
      </c>
      <c r="D39" s="98" t="s">
        <v>1873</v>
      </c>
      <c r="E39" s="98">
        <v>7600633</v>
      </c>
      <c r="F39" s="113" t="s">
        <v>1869</v>
      </c>
      <c r="G39" s="100" t="s">
        <v>170</v>
      </c>
      <c r="H39" s="101" t="s">
        <v>1872</v>
      </c>
      <c r="I39" s="98" t="s">
        <v>1873</v>
      </c>
      <c r="J39" s="102">
        <v>1</v>
      </c>
      <c r="K39" s="103" t="s">
        <v>1810</v>
      </c>
      <c r="L39" s="124">
        <v>4</v>
      </c>
      <c r="M39" s="125" t="s">
        <v>1609</v>
      </c>
      <c r="N39" s="106" t="str">
        <f t="shared" si="1"/>
        <v>14</v>
      </c>
      <c r="O39" s="107"/>
      <c r="P39" s="114" t="s">
        <v>1871</v>
      </c>
      <c r="Q39" s="107"/>
      <c r="R39" s="115" t="s">
        <v>1610</v>
      </c>
      <c r="S39" s="92" t="s">
        <v>1573</v>
      </c>
      <c r="T39" s="110"/>
      <c r="U39" s="94" t="s">
        <v>1610</v>
      </c>
      <c r="V39" s="107"/>
      <c r="W39" s="117">
        <v>7600167</v>
      </c>
      <c r="X39" s="115" t="s">
        <v>1610</v>
      </c>
      <c r="Y39" s="98" t="s">
        <v>1873</v>
      </c>
      <c r="Z39" s="103" t="s">
        <v>1810</v>
      </c>
      <c r="AA39" s="125" t="s">
        <v>1609</v>
      </c>
      <c r="AB39" s="127" t="s">
        <v>1702</v>
      </c>
      <c r="AG39" s="88" t="s">
        <v>1778</v>
      </c>
      <c r="AH39" s="88" t="s">
        <v>1779</v>
      </c>
    </row>
    <row r="40" spans="2:34" ht="17.45" customHeight="1">
      <c r="B40" s="96" t="e">
        <f t="shared" si="0"/>
        <v>#REF!</v>
      </c>
      <c r="C40" s="146">
        <v>36779</v>
      </c>
      <c r="D40" s="98" t="s">
        <v>1871</v>
      </c>
      <c r="E40" s="98">
        <v>7600167</v>
      </c>
      <c r="F40" s="113" t="s">
        <v>1869</v>
      </c>
      <c r="G40" s="100" t="s">
        <v>173</v>
      </c>
      <c r="H40" s="101" t="s">
        <v>1872</v>
      </c>
      <c r="I40" s="98" t="s">
        <v>1871</v>
      </c>
      <c r="J40" s="102">
        <v>1</v>
      </c>
      <c r="K40" s="103" t="s">
        <v>1810</v>
      </c>
      <c r="L40" s="124">
        <v>4</v>
      </c>
      <c r="M40" s="125" t="s">
        <v>1609</v>
      </c>
      <c r="N40" s="106" t="str">
        <f t="shared" si="1"/>
        <v>14</v>
      </c>
      <c r="O40" s="107"/>
      <c r="P40" s="114" t="s">
        <v>1871</v>
      </c>
      <c r="Q40" s="107"/>
      <c r="R40" s="115" t="s">
        <v>1610</v>
      </c>
      <c r="S40" s="92" t="s">
        <v>1573</v>
      </c>
      <c r="T40" s="110"/>
      <c r="U40" s="94" t="s">
        <v>1610</v>
      </c>
      <c r="V40" s="107"/>
      <c r="W40" s="117">
        <v>7600167</v>
      </c>
      <c r="X40" s="115" t="s">
        <v>1610</v>
      </c>
      <c r="Y40" s="98" t="s">
        <v>1871</v>
      </c>
      <c r="Z40" s="103" t="s">
        <v>1810</v>
      </c>
      <c r="AA40" s="125" t="s">
        <v>1609</v>
      </c>
      <c r="AB40" s="127" t="s">
        <v>1749</v>
      </c>
      <c r="AG40" s="88" t="s">
        <v>1778</v>
      </c>
      <c r="AH40" s="88" t="s">
        <v>1779</v>
      </c>
    </row>
    <row r="41" spans="2:34" ht="17.45" customHeight="1">
      <c r="B41" s="96" t="e">
        <f t="shared" si="0"/>
        <v>#REF!</v>
      </c>
      <c r="C41" s="112">
        <v>41626</v>
      </c>
      <c r="D41" s="98" t="s">
        <v>1876</v>
      </c>
      <c r="E41" s="98">
        <v>7600776</v>
      </c>
      <c r="F41" s="113" t="s">
        <v>1869</v>
      </c>
      <c r="G41" s="100" t="s">
        <v>176</v>
      </c>
      <c r="H41" s="101" t="s">
        <v>1872</v>
      </c>
      <c r="I41" s="98" t="s">
        <v>1876</v>
      </c>
      <c r="J41" s="126">
        <v>1</v>
      </c>
      <c r="K41" s="124" t="s">
        <v>1810</v>
      </c>
      <c r="L41" s="124">
        <v>4</v>
      </c>
      <c r="M41" s="125" t="s">
        <v>1609</v>
      </c>
      <c r="N41" s="106" t="str">
        <f t="shared" si="1"/>
        <v>14</v>
      </c>
      <c r="O41" s="107"/>
      <c r="P41" s="114" t="s">
        <v>1871</v>
      </c>
      <c r="Q41" s="107"/>
      <c r="R41" s="115" t="s">
        <v>1610</v>
      </c>
      <c r="S41" s="92" t="s">
        <v>1573</v>
      </c>
      <c r="T41" s="110"/>
      <c r="U41" s="94" t="s">
        <v>1610</v>
      </c>
      <c r="V41" s="107"/>
      <c r="W41" s="117">
        <v>7600167</v>
      </c>
      <c r="X41" s="115" t="s">
        <v>1610</v>
      </c>
      <c r="Y41" s="98" t="s">
        <v>1876</v>
      </c>
      <c r="Z41" s="124" t="s">
        <v>1810</v>
      </c>
      <c r="AA41" s="125" t="s">
        <v>1609</v>
      </c>
      <c r="AB41" s="127" t="s">
        <v>1667</v>
      </c>
      <c r="AC41" s="147"/>
      <c r="AD41" s="147"/>
      <c r="AE41" s="147"/>
      <c r="AF41" s="147"/>
      <c r="AG41" s="88" t="s">
        <v>1778</v>
      </c>
      <c r="AH41" s="88" t="s">
        <v>1779</v>
      </c>
    </row>
    <row r="42" spans="2:34" ht="17.45" customHeight="1">
      <c r="B42" s="96" t="e">
        <f t="shared" si="0"/>
        <v>#REF!</v>
      </c>
      <c r="C42" s="112">
        <v>44096</v>
      </c>
      <c r="D42" s="98" t="s">
        <v>1879</v>
      </c>
      <c r="E42" s="98">
        <v>7601126</v>
      </c>
      <c r="F42" s="113" t="s">
        <v>1869</v>
      </c>
      <c r="G42" s="100" t="s">
        <v>178</v>
      </c>
      <c r="H42" s="101" t="s">
        <v>1872</v>
      </c>
      <c r="I42" s="98" t="s">
        <v>1879</v>
      </c>
      <c r="J42" s="102">
        <v>1</v>
      </c>
      <c r="K42" s="103" t="s">
        <v>1810</v>
      </c>
      <c r="L42" s="124">
        <v>4</v>
      </c>
      <c r="M42" s="125" t="s">
        <v>1609</v>
      </c>
      <c r="N42" s="106" t="str">
        <f t="shared" si="1"/>
        <v>14</v>
      </c>
      <c r="O42" s="107"/>
      <c r="P42" s="114" t="s">
        <v>1871</v>
      </c>
      <c r="Q42" s="107"/>
      <c r="R42" s="115" t="s">
        <v>1610</v>
      </c>
      <c r="S42" s="92" t="s">
        <v>1573</v>
      </c>
      <c r="T42" s="110"/>
      <c r="U42" s="94" t="s">
        <v>1610</v>
      </c>
      <c r="V42" s="107"/>
      <c r="W42" s="117">
        <v>7600167</v>
      </c>
      <c r="X42" s="115" t="s">
        <v>1610</v>
      </c>
      <c r="Y42" s="98" t="s">
        <v>1879</v>
      </c>
      <c r="Z42" s="103" t="s">
        <v>1810</v>
      </c>
      <c r="AA42" s="125" t="s">
        <v>1609</v>
      </c>
      <c r="AB42" s="127" t="s">
        <v>1731</v>
      </c>
      <c r="AC42" s="147"/>
      <c r="AD42" s="147"/>
      <c r="AE42" s="147"/>
      <c r="AF42" s="147"/>
      <c r="AG42" s="88" t="s">
        <v>1778</v>
      </c>
      <c r="AH42" s="88" t="s">
        <v>1779</v>
      </c>
    </row>
    <row r="43" spans="2:34" s="147" customFormat="1" ht="17.45" customHeight="1">
      <c r="B43" s="96" t="e">
        <f t="shared" si="0"/>
        <v>#REF!</v>
      </c>
      <c r="C43" s="112">
        <v>40889</v>
      </c>
      <c r="D43" s="98" t="s">
        <v>1874</v>
      </c>
      <c r="E43" s="98">
        <v>7600641</v>
      </c>
      <c r="F43" s="113" t="s">
        <v>1869</v>
      </c>
      <c r="G43" s="100" t="s">
        <v>179</v>
      </c>
      <c r="H43" s="101" t="s">
        <v>1872</v>
      </c>
      <c r="I43" s="98" t="s">
        <v>1874</v>
      </c>
      <c r="J43" s="102">
        <v>1</v>
      </c>
      <c r="K43" s="103" t="s">
        <v>1810</v>
      </c>
      <c r="L43" s="124">
        <v>4</v>
      </c>
      <c r="M43" s="125" t="s">
        <v>1609</v>
      </c>
      <c r="N43" s="106" t="str">
        <f t="shared" si="1"/>
        <v>14</v>
      </c>
      <c r="O43" s="107"/>
      <c r="P43" s="114" t="s">
        <v>1871</v>
      </c>
      <c r="Q43" s="107"/>
      <c r="R43" s="115" t="s">
        <v>1610</v>
      </c>
      <c r="S43" s="92" t="s">
        <v>1573</v>
      </c>
      <c r="T43" s="110"/>
      <c r="U43" s="94" t="s">
        <v>1610</v>
      </c>
      <c r="V43" s="107"/>
      <c r="W43" s="117">
        <v>7600167</v>
      </c>
      <c r="X43" s="115" t="s">
        <v>1610</v>
      </c>
      <c r="Y43" s="98" t="s">
        <v>1874</v>
      </c>
      <c r="Z43" s="103" t="s">
        <v>1810</v>
      </c>
      <c r="AA43" s="125" t="s">
        <v>1609</v>
      </c>
      <c r="AB43" s="127" t="s">
        <v>1636</v>
      </c>
      <c r="AG43" s="88" t="s">
        <v>1778</v>
      </c>
      <c r="AH43" s="88" t="s">
        <v>1779</v>
      </c>
    </row>
    <row r="44" spans="2:34" s="147" customFormat="1" ht="17.45" customHeight="1">
      <c r="B44" s="96" t="e">
        <f t="shared" si="0"/>
        <v>#REF!</v>
      </c>
      <c r="C44" s="112">
        <v>42333</v>
      </c>
      <c r="D44" s="98" t="s">
        <v>1877</v>
      </c>
      <c r="E44" s="98">
        <v>7600888</v>
      </c>
      <c r="F44" s="99" t="s">
        <v>1869</v>
      </c>
      <c r="G44" s="100" t="s">
        <v>181</v>
      </c>
      <c r="H44" s="101" t="s">
        <v>1872</v>
      </c>
      <c r="I44" s="98" t="s">
        <v>1877</v>
      </c>
      <c r="J44" s="126">
        <v>1</v>
      </c>
      <c r="K44" s="126" t="s">
        <v>1810</v>
      </c>
      <c r="L44" s="126">
        <v>4</v>
      </c>
      <c r="M44" s="125" t="s">
        <v>1609</v>
      </c>
      <c r="N44" s="106" t="str">
        <f t="shared" si="1"/>
        <v>14</v>
      </c>
      <c r="O44" s="107"/>
      <c r="P44" s="114" t="s">
        <v>1871</v>
      </c>
      <c r="Q44" s="107"/>
      <c r="R44" s="115" t="s">
        <v>1610</v>
      </c>
      <c r="S44" s="92" t="s">
        <v>1573</v>
      </c>
      <c r="T44" s="110"/>
      <c r="U44" s="94" t="s">
        <v>1610</v>
      </c>
      <c r="V44" s="107"/>
      <c r="W44" s="117">
        <v>7600167</v>
      </c>
      <c r="X44" s="115" t="s">
        <v>1610</v>
      </c>
      <c r="Y44" s="98" t="s">
        <v>1877</v>
      </c>
      <c r="Z44" s="126" t="s">
        <v>1810</v>
      </c>
      <c r="AA44" s="125" t="s">
        <v>1609</v>
      </c>
      <c r="AB44" s="127" t="s">
        <v>1662</v>
      </c>
      <c r="AG44" s="88" t="s">
        <v>1778</v>
      </c>
      <c r="AH44" s="88" t="s">
        <v>1779</v>
      </c>
    </row>
    <row r="45" spans="2:34" s="147" customFormat="1" ht="17.45" customHeight="1">
      <c r="B45" s="96" t="e">
        <f t="shared" si="0"/>
        <v>#REF!</v>
      </c>
      <c r="C45" s="112">
        <v>44180</v>
      </c>
      <c r="D45" s="98" t="s">
        <v>2199</v>
      </c>
      <c r="E45" s="98">
        <v>7601148</v>
      </c>
      <c r="F45" s="99" t="s">
        <v>2196</v>
      </c>
      <c r="G45" s="100" t="s">
        <v>119</v>
      </c>
      <c r="H45" s="101" t="s">
        <v>1938</v>
      </c>
      <c r="I45" s="98" t="s">
        <v>2199</v>
      </c>
      <c r="J45" s="126">
        <v>1</v>
      </c>
      <c r="K45" s="126" t="s">
        <v>1810</v>
      </c>
      <c r="L45" s="126">
        <v>4</v>
      </c>
      <c r="M45" s="125" t="s">
        <v>1609</v>
      </c>
      <c r="N45" s="106" t="str">
        <f t="shared" si="1"/>
        <v>14</v>
      </c>
      <c r="O45" s="107"/>
      <c r="P45" s="114" t="s">
        <v>2198</v>
      </c>
      <c r="Q45" s="107"/>
      <c r="R45" s="115" t="s">
        <v>1612</v>
      </c>
      <c r="S45" s="92" t="s">
        <v>1573</v>
      </c>
      <c r="T45" s="110"/>
      <c r="U45" s="94" t="s">
        <v>1612</v>
      </c>
      <c r="V45" s="107"/>
      <c r="W45" s="117">
        <v>7600990</v>
      </c>
      <c r="X45" s="115" t="s">
        <v>1612</v>
      </c>
      <c r="Y45" s="98" t="s">
        <v>2199</v>
      </c>
      <c r="Z45" s="126" t="s">
        <v>1810</v>
      </c>
      <c r="AA45" s="125" t="s">
        <v>1609</v>
      </c>
      <c r="AB45" s="116"/>
      <c r="AC45" s="129"/>
      <c r="AD45" s="74"/>
      <c r="AE45" s="74"/>
      <c r="AF45" s="74"/>
      <c r="AG45" s="88" t="s">
        <v>1778</v>
      </c>
      <c r="AH45" s="88" t="s">
        <v>1779</v>
      </c>
    </row>
    <row r="46" spans="2:34" s="147" customFormat="1" ht="17.45" customHeight="1">
      <c r="B46" s="96" t="e">
        <f t="shared" si="0"/>
        <v>#REF!</v>
      </c>
      <c r="C46" s="112">
        <v>38344</v>
      </c>
      <c r="D46" s="98" t="s">
        <v>2198</v>
      </c>
      <c r="E46" s="98">
        <v>7600990</v>
      </c>
      <c r="F46" s="113" t="s">
        <v>2196</v>
      </c>
      <c r="G46" s="100" t="s">
        <v>125</v>
      </c>
      <c r="H46" s="101" t="s">
        <v>1938</v>
      </c>
      <c r="I46" s="98" t="s">
        <v>2198</v>
      </c>
      <c r="J46" s="126">
        <v>1</v>
      </c>
      <c r="K46" s="124" t="s">
        <v>1810</v>
      </c>
      <c r="L46" s="124">
        <v>4</v>
      </c>
      <c r="M46" s="125" t="s">
        <v>1609</v>
      </c>
      <c r="N46" s="106" t="str">
        <f t="shared" si="1"/>
        <v>14</v>
      </c>
      <c r="O46" s="107"/>
      <c r="P46" s="114" t="s">
        <v>2198</v>
      </c>
      <c r="Q46" s="107"/>
      <c r="R46" s="115" t="s">
        <v>1612</v>
      </c>
      <c r="S46" s="92" t="s">
        <v>1573</v>
      </c>
      <c r="T46" s="110"/>
      <c r="U46" s="94" t="s">
        <v>1612</v>
      </c>
      <c r="V46" s="107"/>
      <c r="W46" s="117">
        <v>7600990</v>
      </c>
      <c r="X46" s="115" t="s">
        <v>1612</v>
      </c>
      <c r="Y46" s="98" t="s">
        <v>2198</v>
      </c>
      <c r="Z46" s="124" t="s">
        <v>1810</v>
      </c>
      <c r="AA46" s="125" t="s">
        <v>1609</v>
      </c>
      <c r="AB46" s="116"/>
      <c r="AC46" s="129"/>
      <c r="AD46" s="74"/>
      <c r="AE46" s="74"/>
      <c r="AF46" s="74"/>
      <c r="AG46" s="88" t="s">
        <v>1778</v>
      </c>
      <c r="AH46" s="88" t="s">
        <v>1779</v>
      </c>
    </row>
    <row r="47" spans="2:34" s="147" customFormat="1" ht="17.45" customHeight="1">
      <c r="B47" s="96" t="e">
        <f t="shared" si="0"/>
        <v>#REF!</v>
      </c>
      <c r="C47" s="112">
        <v>43060</v>
      </c>
      <c r="D47" s="98" t="s">
        <v>1985</v>
      </c>
      <c r="E47" s="98">
        <v>7600993</v>
      </c>
      <c r="F47" s="113" t="s">
        <v>1983</v>
      </c>
      <c r="G47" s="100" t="s">
        <v>208</v>
      </c>
      <c r="H47" s="101" t="s">
        <v>1972</v>
      </c>
      <c r="I47" s="98" t="s">
        <v>1985</v>
      </c>
      <c r="J47" s="102">
        <v>1</v>
      </c>
      <c r="K47" s="103" t="s">
        <v>1810</v>
      </c>
      <c r="L47" s="124">
        <v>5</v>
      </c>
      <c r="M47" s="125" t="s">
        <v>1613</v>
      </c>
      <c r="N47" s="106" t="str">
        <f t="shared" si="1"/>
        <v>15</v>
      </c>
      <c r="O47" s="107"/>
      <c r="P47" s="114" t="s">
        <v>1984</v>
      </c>
      <c r="Q47" s="107"/>
      <c r="R47" s="115" t="s">
        <v>1614</v>
      </c>
      <c r="S47" s="92" t="s">
        <v>1574</v>
      </c>
      <c r="T47" s="110"/>
      <c r="U47" s="94" t="s">
        <v>1614</v>
      </c>
      <c r="V47" s="107"/>
      <c r="W47" s="117">
        <v>7600983</v>
      </c>
      <c r="X47" s="115" t="s">
        <v>1614</v>
      </c>
      <c r="Y47" s="98" t="s">
        <v>1985</v>
      </c>
      <c r="Z47" s="103" t="s">
        <v>1810</v>
      </c>
      <c r="AA47" s="125" t="s">
        <v>1613</v>
      </c>
      <c r="AB47" s="116"/>
      <c r="AC47" s="129"/>
      <c r="AD47" s="74"/>
      <c r="AE47" s="74"/>
      <c r="AF47" s="74"/>
      <c r="AG47" s="88" t="s">
        <v>1778</v>
      </c>
      <c r="AH47" s="88" t="s">
        <v>1779</v>
      </c>
    </row>
    <row r="48" spans="2:34" s="147" customFormat="1" ht="17.45" customHeight="1">
      <c r="B48" s="96" t="e">
        <f t="shared" si="0"/>
        <v>#REF!</v>
      </c>
      <c r="C48" s="112">
        <v>38993</v>
      </c>
      <c r="D48" s="98" t="s">
        <v>1984</v>
      </c>
      <c r="E48" s="98">
        <v>7600983</v>
      </c>
      <c r="F48" s="113" t="s">
        <v>1983</v>
      </c>
      <c r="G48" s="100" t="s">
        <v>214</v>
      </c>
      <c r="H48" s="101" t="s">
        <v>1974</v>
      </c>
      <c r="I48" s="98" t="s">
        <v>1984</v>
      </c>
      <c r="J48" s="126">
        <v>1</v>
      </c>
      <c r="K48" s="124" t="s">
        <v>1810</v>
      </c>
      <c r="L48" s="124">
        <v>5</v>
      </c>
      <c r="M48" s="125" t="s">
        <v>1613</v>
      </c>
      <c r="N48" s="106" t="str">
        <f t="shared" si="1"/>
        <v>15</v>
      </c>
      <c r="O48" s="107"/>
      <c r="P48" s="114" t="s">
        <v>1984</v>
      </c>
      <c r="Q48" s="107"/>
      <c r="R48" s="115" t="s">
        <v>1614</v>
      </c>
      <c r="S48" s="92" t="s">
        <v>1574</v>
      </c>
      <c r="T48" s="110"/>
      <c r="U48" s="94" t="s">
        <v>1614</v>
      </c>
      <c r="V48" s="107"/>
      <c r="W48" s="117">
        <v>7600983</v>
      </c>
      <c r="X48" s="115" t="s">
        <v>1614</v>
      </c>
      <c r="Y48" s="98" t="s">
        <v>1984</v>
      </c>
      <c r="Z48" s="124" t="s">
        <v>1810</v>
      </c>
      <c r="AA48" s="125" t="s">
        <v>1613</v>
      </c>
      <c r="AB48" s="116"/>
      <c r="AC48" s="129"/>
      <c r="AD48" s="74"/>
      <c r="AE48" s="74"/>
      <c r="AF48" s="74"/>
      <c r="AG48" s="88" t="s">
        <v>1778</v>
      </c>
      <c r="AH48" s="88" t="s">
        <v>1779</v>
      </c>
    </row>
    <row r="49" spans="2:34" ht="17.45" customHeight="1">
      <c r="B49" s="96" t="e">
        <f t="shared" si="0"/>
        <v>#REF!</v>
      </c>
      <c r="C49" s="112">
        <v>36714</v>
      </c>
      <c r="D49" s="98" t="s">
        <v>2008</v>
      </c>
      <c r="E49" s="98">
        <v>7600154</v>
      </c>
      <c r="F49" s="113" t="s">
        <v>2006</v>
      </c>
      <c r="G49" s="100" t="s">
        <v>224</v>
      </c>
      <c r="H49" s="101" t="s">
        <v>1996</v>
      </c>
      <c r="I49" s="98" t="s">
        <v>2008</v>
      </c>
      <c r="J49" s="102">
        <v>1</v>
      </c>
      <c r="K49" s="103" t="s">
        <v>1810</v>
      </c>
      <c r="L49" s="124">
        <v>5</v>
      </c>
      <c r="M49" s="125" t="s">
        <v>1613</v>
      </c>
      <c r="N49" s="106" t="str">
        <f t="shared" si="1"/>
        <v>15</v>
      </c>
      <c r="O49" s="107"/>
      <c r="P49" s="114" t="s">
        <v>2007</v>
      </c>
      <c r="Q49" s="107"/>
      <c r="R49" s="115" t="s">
        <v>1616</v>
      </c>
      <c r="S49" s="92" t="s">
        <v>1574</v>
      </c>
      <c r="T49" s="110"/>
      <c r="U49" s="94" t="s">
        <v>1616</v>
      </c>
      <c r="V49" s="107"/>
      <c r="W49" s="117">
        <v>7600012</v>
      </c>
      <c r="X49" s="115" t="s">
        <v>1616</v>
      </c>
      <c r="Y49" s="98" t="s">
        <v>2008</v>
      </c>
      <c r="Z49" s="103" t="s">
        <v>1810</v>
      </c>
      <c r="AA49" s="125" t="s">
        <v>1613</v>
      </c>
      <c r="AB49" s="116"/>
      <c r="AG49" s="88" t="s">
        <v>1778</v>
      </c>
      <c r="AH49" s="88" t="s">
        <v>1779</v>
      </c>
    </row>
    <row r="50" spans="2:34" ht="17.45" customHeight="1">
      <c r="B50" s="96" t="e">
        <f t="shared" si="0"/>
        <v>#REF!</v>
      </c>
      <c r="C50" s="148">
        <v>40714</v>
      </c>
      <c r="D50" s="98" t="s">
        <v>2013</v>
      </c>
      <c r="E50" s="118">
        <v>7600860</v>
      </c>
      <c r="F50" s="149" t="s">
        <v>2006</v>
      </c>
      <c r="G50" s="150" t="s">
        <v>231</v>
      </c>
      <c r="H50" s="101" t="s">
        <v>1996</v>
      </c>
      <c r="I50" s="98" t="s">
        <v>2013</v>
      </c>
      <c r="J50" s="102">
        <v>1</v>
      </c>
      <c r="K50" s="103" t="s">
        <v>1810</v>
      </c>
      <c r="L50" s="124">
        <v>5</v>
      </c>
      <c r="M50" s="125" t="s">
        <v>1613</v>
      </c>
      <c r="N50" s="106" t="str">
        <f t="shared" si="1"/>
        <v>15</v>
      </c>
      <c r="O50" s="107"/>
      <c r="P50" s="114" t="s">
        <v>2007</v>
      </c>
      <c r="Q50" s="107"/>
      <c r="R50" s="115" t="s">
        <v>1616</v>
      </c>
      <c r="S50" s="92" t="s">
        <v>1574</v>
      </c>
      <c r="T50" s="110"/>
      <c r="U50" s="94" t="s">
        <v>1616</v>
      </c>
      <c r="V50" s="107"/>
      <c r="W50" s="117">
        <v>7600012</v>
      </c>
      <c r="X50" s="115" t="s">
        <v>1616</v>
      </c>
      <c r="Y50" s="98" t="s">
        <v>2013</v>
      </c>
      <c r="Z50" s="103" t="s">
        <v>1810</v>
      </c>
      <c r="AA50" s="125" t="s">
        <v>1613</v>
      </c>
      <c r="AB50" s="116"/>
      <c r="AG50" s="88" t="s">
        <v>1778</v>
      </c>
      <c r="AH50" s="88" t="s">
        <v>1779</v>
      </c>
    </row>
    <row r="51" spans="2:34" ht="17.45" customHeight="1">
      <c r="B51" s="96" t="e">
        <f t="shared" si="0"/>
        <v>#REF!</v>
      </c>
      <c r="C51" s="112">
        <v>42387</v>
      </c>
      <c r="D51" s="98" t="s">
        <v>2014</v>
      </c>
      <c r="E51" s="98">
        <v>7600887</v>
      </c>
      <c r="F51" s="113" t="s">
        <v>2006</v>
      </c>
      <c r="G51" s="100" t="s">
        <v>235</v>
      </c>
      <c r="H51" s="151" t="s">
        <v>1996</v>
      </c>
      <c r="I51" s="98" t="s">
        <v>2014</v>
      </c>
      <c r="J51" s="126">
        <v>1</v>
      </c>
      <c r="K51" s="124" t="s">
        <v>1810</v>
      </c>
      <c r="L51" s="124">
        <v>5</v>
      </c>
      <c r="M51" s="125" t="s">
        <v>1613</v>
      </c>
      <c r="N51" s="106" t="str">
        <f t="shared" si="1"/>
        <v>15</v>
      </c>
      <c r="O51" s="107"/>
      <c r="P51" s="114" t="s">
        <v>2007</v>
      </c>
      <c r="Q51" s="107"/>
      <c r="R51" s="115" t="s">
        <v>1616</v>
      </c>
      <c r="S51" s="92" t="s">
        <v>1574</v>
      </c>
      <c r="T51" s="110"/>
      <c r="U51" s="94" t="s">
        <v>1616</v>
      </c>
      <c r="V51" s="107"/>
      <c r="W51" s="117">
        <v>7600012</v>
      </c>
      <c r="X51" s="115" t="s">
        <v>1616</v>
      </c>
      <c r="Y51" s="98" t="s">
        <v>2014</v>
      </c>
      <c r="Z51" s="124" t="s">
        <v>1810</v>
      </c>
      <c r="AA51" s="125" t="s">
        <v>1613</v>
      </c>
      <c r="AB51" s="116"/>
      <c r="AG51" s="88" t="s">
        <v>1778</v>
      </c>
      <c r="AH51" s="88" t="s">
        <v>1779</v>
      </c>
    </row>
    <row r="52" spans="2:34" ht="17.45" customHeight="1">
      <c r="B52" s="96" t="e">
        <f t="shared" si="0"/>
        <v>#REF!</v>
      </c>
      <c r="C52" s="112">
        <v>40800</v>
      </c>
      <c r="D52" s="98" t="s">
        <v>2016</v>
      </c>
      <c r="E52" s="98">
        <v>7601199</v>
      </c>
      <c r="F52" s="113" t="s">
        <v>2006</v>
      </c>
      <c r="G52" s="100" t="s">
        <v>237</v>
      </c>
      <c r="H52" s="151" t="s">
        <v>2002</v>
      </c>
      <c r="I52" s="98" t="s">
        <v>2016</v>
      </c>
      <c r="J52" s="126">
        <v>1</v>
      </c>
      <c r="K52" s="124" t="s">
        <v>1810</v>
      </c>
      <c r="L52" s="124">
        <v>5</v>
      </c>
      <c r="M52" s="125" t="s">
        <v>1613</v>
      </c>
      <c r="N52" s="106" t="str">
        <f t="shared" si="1"/>
        <v>15</v>
      </c>
      <c r="O52" s="107"/>
      <c r="P52" s="114" t="s">
        <v>2007</v>
      </c>
      <c r="Q52" s="107"/>
      <c r="R52" s="115" t="s">
        <v>1616</v>
      </c>
      <c r="S52" s="92" t="s">
        <v>1574</v>
      </c>
      <c r="T52" s="110"/>
      <c r="U52" s="94" t="s">
        <v>1616</v>
      </c>
      <c r="V52" s="107"/>
      <c r="W52" s="211">
        <v>7600012</v>
      </c>
      <c r="X52" s="115" t="s">
        <v>1616</v>
      </c>
      <c r="Y52" s="98" t="s">
        <v>2016</v>
      </c>
      <c r="Z52" s="124" t="s">
        <v>1810</v>
      </c>
      <c r="AA52" s="125" t="s">
        <v>1613</v>
      </c>
      <c r="AB52" s="116"/>
      <c r="AG52" s="88" t="s">
        <v>1778</v>
      </c>
      <c r="AH52" s="88" t="s">
        <v>1779</v>
      </c>
    </row>
    <row r="53" spans="2:34" ht="17.45" customHeight="1">
      <c r="B53" s="96" t="e">
        <f t="shared" si="0"/>
        <v>#REF!</v>
      </c>
      <c r="C53" s="112">
        <v>40869</v>
      </c>
      <c r="D53" s="98" t="s">
        <v>2009</v>
      </c>
      <c r="E53" s="98">
        <v>7600602</v>
      </c>
      <c r="F53" s="113" t="s">
        <v>2006</v>
      </c>
      <c r="G53" s="100" t="s">
        <v>240</v>
      </c>
      <c r="H53" s="101" t="s">
        <v>1996</v>
      </c>
      <c r="I53" s="98" t="s">
        <v>2009</v>
      </c>
      <c r="J53" s="102">
        <v>1</v>
      </c>
      <c r="K53" s="103" t="s">
        <v>1810</v>
      </c>
      <c r="L53" s="124">
        <v>5</v>
      </c>
      <c r="M53" s="125" t="s">
        <v>1613</v>
      </c>
      <c r="N53" s="106" t="str">
        <f t="shared" si="1"/>
        <v>15</v>
      </c>
      <c r="O53" s="107"/>
      <c r="P53" s="114" t="s">
        <v>2007</v>
      </c>
      <c r="Q53" s="107"/>
      <c r="R53" s="115" t="s">
        <v>1616</v>
      </c>
      <c r="S53" s="92" t="s">
        <v>1574</v>
      </c>
      <c r="T53" s="110"/>
      <c r="U53" s="94" t="s">
        <v>1616</v>
      </c>
      <c r="V53" s="107"/>
      <c r="W53" s="117">
        <v>7600012</v>
      </c>
      <c r="X53" s="115" t="s">
        <v>1616</v>
      </c>
      <c r="Y53" s="98" t="s">
        <v>2009</v>
      </c>
      <c r="Z53" s="103" t="s">
        <v>1810</v>
      </c>
      <c r="AA53" s="125" t="s">
        <v>1613</v>
      </c>
      <c r="AB53" s="116"/>
      <c r="AG53" s="88" t="s">
        <v>1778</v>
      </c>
      <c r="AH53" s="88" t="s">
        <v>1779</v>
      </c>
    </row>
    <row r="54" spans="2:34" ht="17.45" customHeight="1">
      <c r="B54" s="96" t="e">
        <f t="shared" si="0"/>
        <v>#REF!</v>
      </c>
      <c r="C54" s="112">
        <v>38623</v>
      </c>
      <c r="D54" s="98" t="s">
        <v>2011</v>
      </c>
      <c r="E54" s="98">
        <v>7600854</v>
      </c>
      <c r="F54" s="113" t="s">
        <v>2006</v>
      </c>
      <c r="G54" s="100" t="s">
        <v>243</v>
      </c>
      <c r="H54" s="101" t="s">
        <v>1996</v>
      </c>
      <c r="I54" s="98" t="s">
        <v>2011</v>
      </c>
      <c r="J54" s="102">
        <v>1</v>
      </c>
      <c r="K54" s="103" t="s">
        <v>1810</v>
      </c>
      <c r="L54" s="124">
        <v>5</v>
      </c>
      <c r="M54" s="125" t="s">
        <v>1613</v>
      </c>
      <c r="N54" s="106" t="str">
        <f t="shared" si="1"/>
        <v>15</v>
      </c>
      <c r="O54" s="107"/>
      <c r="P54" s="114" t="s">
        <v>2007</v>
      </c>
      <c r="Q54" s="107"/>
      <c r="R54" s="115" t="s">
        <v>1616</v>
      </c>
      <c r="S54" s="92" t="s">
        <v>1574</v>
      </c>
      <c r="T54" s="110"/>
      <c r="U54" s="94" t="s">
        <v>1616</v>
      </c>
      <c r="V54" s="107"/>
      <c r="W54" s="117">
        <v>7600012</v>
      </c>
      <c r="X54" s="115" t="s">
        <v>1616</v>
      </c>
      <c r="Y54" s="98" t="s">
        <v>2011</v>
      </c>
      <c r="Z54" s="103" t="s">
        <v>1810</v>
      </c>
      <c r="AA54" s="125" t="s">
        <v>1613</v>
      </c>
      <c r="AB54" s="116"/>
      <c r="AG54" s="88" t="s">
        <v>1778</v>
      </c>
      <c r="AH54" s="88" t="s">
        <v>1779</v>
      </c>
    </row>
    <row r="55" spans="2:34" ht="17.45" customHeight="1">
      <c r="B55" s="96" t="e">
        <f t="shared" si="0"/>
        <v>#REF!</v>
      </c>
      <c r="C55" s="112">
        <v>43018</v>
      </c>
      <c r="D55" s="98" t="s">
        <v>2015</v>
      </c>
      <c r="E55" s="98">
        <v>7601197</v>
      </c>
      <c r="F55" s="113" t="s">
        <v>2006</v>
      </c>
      <c r="G55" s="100" t="s">
        <v>246</v>
      </c>
      <c r="H55" s="151" t="s">
        <v>2002</v>
      </c>
      <c r="I55" s="98" t="s">
        <v>2015</v>
      </c>
      <c r="J55" s="126">
        <v>1</v>
      </c>
      <c r="K55" s="124" t="s">
        <v>1810</v>
      </c>
      <c r="L55" s="124">
        <v>5</v>
      </c>
      <c r="M55" s="125" t="s">
        <v>1613</v>
      </c>
      <c r="N55" s="106" t="str">
        <f t="shared" si="1"/>
        <v>15</v>
      </c>
      <c r="O55" s="107"/>
      <c r="P55" s="114" t="s">
        <v>2007</v>
      </c>
      <c r="Q55" s="107"/>
      <c r="R55" s="115" t="s">
        <v>1616</v>
      </c>
      <c r="S55" s="92" t="s">
        <v>1574</v>
      </c>
      <c r="T55" s="110"/>
      <c r="U55" s="94" t="s">
        <v>1616</v>
      </c>
      <c r="V55" s="107"/>
      <c r="W55" s="211">
        <v>7600012</v>
      </c>
      <c r="X55" s="115" t="s">
        <v>1616</v>
      </c>
      <c r="Y55" s="98" t="s">
        <v>2015</v>
      </c>
      <c r="Z55" s="124" t="s">
        <v>1810</v>
      </c>
      <c r="AA55" s="125" t="s">
        <v>1613</v>
      </c>
      <c r="AB55" s="116"/>
      <c r="AG55" s="88" t="s">
        <v>1778</v>
      </c>
      <c r="AH55" s="88" t="s">
        <v>1779</v>
      </c>
    </row>
    <row r="56" spans="2:34" ht="17.45" customHeight="1">
      <c r="B56" s="96" t="e">
        <f t="shared" si="0"/>
        <v>#REF!</v>
      </c>
      <c r="C56" s="112">
        <v>35468</v>
      </c>
      <c r="D56" s="98" t="s">
        <v>2007</v>
      </c>
      <c r="E56" s="98">
        <v>7600012</v>
      </c>
      <c r="F56" s="113" t="s">
        <v>2006</v>
      </c>
      <c r="G56" s="100" t="s">
        <v>249</v>
      </c>
      <c r="H56" s="101" t="s">
        <v>1996</v>
      </c>
      <c r="I56" s="98" t="s">
        <v>2007</v>
      </c>
      <c r="J56" s="102">
        <v>1</v>
      </c>
      <c r="K56" s="103" t="s">
        <v>1810</v>
      </c>
      <c r="L56" s="124">
        <v>5</v>
      </c>
      <c r="M56" s="125" t="s">
        <v>1613</v>
      </c>
      <c r="N56" s="106" t="str">
        <f t="shared" si="1"/>
        <v>15</v>
      </c>
      <c r="O56" s="107"/>
      <c r="P56" s="114" t="s">
        <v>2007</v>
      </c>
      <c r="Q56" s="107"/>
      <c r="R56" s="115" t="s">
        <v>1616</v>
      </c>
      <c r="S56" s="92" t="s">
        <v>1574</v>
      </c>
      <c r="T56" s="110"/>
      <c r="U56" s="94" t="s">
        <v>1616</v>
      </c>
      <c r="V56" s="107"/>
      <c r="W56" s="117">
        <v>7600012</v>
      </c>
      <c r="X56" s="115" t="s">
        <v>1616</v>
      </c>
      <c r="Y56" s="98" t="s">
        <v>2007</v>
      </c>
      <c r="Z56" s="103" t="s">
        <v>1810</v>
      </c>
      <c r="AA56" s="125" t="s">
        <v>1613</v>
      </c>
      <c r="AB56" s="116"/>
      <c r="AG56" s="88" t="s">
        <v>1778</v>
      </c>
      <c r="AH56" s="88" t="s">
        <v>1779</v>
      </c>
    </row>
    <row r="57" spans="2:34" ht="17.45" customHeight="1">
      <c r="B57" s="96" t="e">
        <f t="shared" si="0"/>
        <v>#REF!</v>
      </c>
      <c r="C57" s="112">
        <v>40907</v>
      </c>
      <c r="D57" s="98" t="s">
        <v>2093</v>
      </c>
      <c r="E57" s="98">
        <v>7600816</v>
      </c>
      <c r="F57" s="113" t="s">
        <v>2087</v>
      </c>
      <c r="G57" s="100" t="s">
        <v>216</v>
      </c>
      <c r="H57" s="101" t="s">
        <v>2101</v>
      </c>
      <c r="I57" s="98" t="s">
        <v>2093</v>
      </c>
      <c r="J57" s="102">
        <v>1</v>
      </c>
      <c r="K57" s="103" t="s">
        <v>1810</v>
      </c>
      <c r="L57" s="124">
        <v>5</v>
      </c>
      <c r="M57" s="125" t="s">
        <v>1613</v>
      </c>
      <c r="N57" s="106" t="str">
        <f t="shared" si="1"/>
        <v>15</v>
      </c>
      <c r="O57" s="107"/>
      <c r="P57" s="114" t="s">
        <v>2089</v>
      </c>
      <c r="Q57" s="107"/>
      <c r="R57" s="115" t="s">
        <v>1617</v>
      </c>
      <c r="S57" s="92" t="s">
        <v>1574</v>
      </c>
      <c r="T57" s="110"/>
      <c r="U57" s="94" t="s">
        <v>1617</v>
      </c>
      <c r="V57" s="107"/>
      <c r="W57" s="117">
        <v>7600442</v>
      </c>
      <c r="X57" s="115" t="s">
        <v>1617</v>
      </c>
      <c r="Y57" s="98" t="s">
        <v>2093</v>
      </c>
      <c r="Z57" s="103" t="s">
        <v>1810</v>
      </c>
      <c r="AA57" s="125" t="s">
        <v>1613</v>
      </c>
      <c r="AB57" s="116"/>
      <c r="AG57" s="88" t="s">
        <v>1778</v>
      </c>
      <c r="AH57" s="88" t="s">
        <v>1779</v>
      </c>
    </row>
    <row r="58" spans="2:34" ht="17.45" customHeight="1">
      <c r="B58" s="96" t="e">
        <f t="shared" si="0"/>
        <v>#REF!</v>
      </c>
      <c r="C58" s="112">
        <v>38841</v>
      </c>
      <c r="D58" s="98" t="s">
        <v>2089</v>
      </c>
      <c r="E58" s="98">
        <v>7600442</v>
      </c>
      <c r="F58" s="113" t="s">
        <v>2087</v>
      </c>
      <c r="G58" s="100" t="s">
        <v>218</v>
      </c>
      <c r="H58" s="101" t="s">
        <v>2101</v>
      </c>
      <c r="I58" s="98" t="s">
        <v>2089</v>
      </c>
      <c r="J58" s="102">
        <v>1</v>
      </c>
      <c r="K58" s="103" t="s">
        <v>1810</v>
      </c>
      <c r="L58" s="124">
        <v>5</v>
      </c>
      <c r="M58" s="125" t="s">
        <v>1613</v>
      </c>
      <c r="N58" s="106" t="str">
        <f t="shared" si="1"/>
        <v>15</v>
      </c>
      <c r="O58" s="107"/>
      <c r="P58" s="114" t="s">
        <v>2089</v>
      </c>
      <c r="Q58" s="107"/>
      <c r="R58" s="115" t="s">
        <v>1617</v>
      </c>
      <c r="S58" s="92" t="s">
        <v>1574</v>
      </c>
      <c r="T58" s="110"/>
      <c r="U58" s="94" t="s">
        <v>1617</v>
      </c>
      <c r="V58" s="107"/>
      <c r="W58" s="117">
        <v>7600442</v>
      </c>
      <c r="X58" s="115" t="s">
        <v>1617</v>
      </c>
      <c r="Y58" s="98" t="s">
        <v>2089</v>
      </c>
      <c r="Z58" s="103" t="s">
        <v>1810</v>
      </c>
      <c r="AA58" s="125" t="s">
        <v>1613</v>
      </c>
      <c r="AB58" s="116"/>
      <c r="AG58" s="88" t="s">
        <v>1778</v>
      </c>
      <c r="AH58" s="88" t="s">
        <v>1779</v>
      </c>
    </row>
    <row r="59" spans="2:34" ht="17.45" customHeight="1">
      <c r="B59" s="96" t="e">
        <f t="shared" si="0"/>
        <v>#REF!</v>
      </c>
      <c r="C59" s="112">
        <v>40836</v>
      </c>
      <c r="D59" s="98" t="s">
        <v>2091</v>
      </c>
      <c r="E59" s="98">
        <v>7600601</v>
      </c>
      <c r="F59" s="99" t="s">
        <v>2087</v>
      </c>
      <c r="G59" s="100" t="s">
        <v>221</v>
      </c>
      <c r="H59" s="101" t="s">
        <v>2101</v>
      </c>
      <c r="I59" s="98" t="s">
        <v>2091</v>
      </c>
      <c r="J59" s="102">
        <v>1</v>
      </c>
      <c r="K59" s="103" t="s">
        <v>1810</v>
      </c>
      <c r="L59" s="124">
        <v>5</v>
      </c>
      <c r="M59" s="125" t="s">
        <v>1613</v>
      </c>
      <c r="N59" s="106" t="str">
        <f t="shared" si="1"/>
        <v>15</v>
      </c>
      <c r="O59" s="107"/>
      <c r="P59" s="114" t="s">
        <v>2089</v>
      </c>
      <c r="Q59" s="107"/>
      <c r="R59" s="115" t="s">
        <v>1617</v>
      </c>
      <c r="S59" s="92" t="s">
        <v>1574</v>
      </c>
      <c r="T59" s="110"/>
      <c r="U59" s="94" t="s">
        <v>1617</v>
      </c>
      <c r="V59" s="107"/>
      <c r="W59" s="117">
        <v>7600442</v>
      </c>
      <c r="X59" s="115" t="s">
        <v>1617</v>
      </c>
      <c r="Y59" s="98" t="s">
        <v>2091</v>
      </c>
      <c r="Z59" s="103" t="s">
        <v>1810</v>
      </c>
      <c r="AA59" s="125" t="s">
        <v>1613</v>
      </c>
      <c r="AB59" s="116"/>
      <c r="AG59" s="88" t="s">
        <v>1778</v>
      </c>
      <c r="AH59" s="88" t="s">
        <v>1779</v>
      </c>
    </row>
    <row r="60" spans="2:34" ht="17.45" customHeight="1">
      <c r="B60" s="96" t="e">
        <f t="shared" si="0"/>
        <v>#REF!</v>
      </c>
      <c r="C60" s="112">
        <v>36867</v>
      </c>
      <c r="D60" s="98" t="s">
        <v>1919</v>
      </c>
      <c r="E60" s="98">
        <v>7600192</v>
      </c>
      <c r="F60" s="113" t="s">
        <v>1916</v>
      </c>
      <c r="G60" s="100" t="s">
        <v>183</v>
      </c>
      <c r="H60" s="101" t="s">
        <v>1899</v>
      </c>
      <c r="I60" s="98" t="s">
        <v>1919</v>
      </c>
      <c r="J60" s="102">
        <v>1</v>
      </c>
      <c r="K60" s="103" t="s">
        <v>1810</v>
      </c>
      <c r="L60" s="124">
        <v>6</v>
      </c>
      <c r="M60" s="125" t="s">
        <v>1618</v>
      </c>
      <c r="N60" s="106" t="str">
        <f t="shared" si="1"/>
        <v>16</v>
      </c>
      <c r="O60" s="107"/>
      <c r="P60" s="114" t="s">
        <v>1917</v>
      </c>
      <c r="Q60" s="107"/>
      <c r="R60" s="115" t="s">
        <v>1619</v>
      </c>
      <c r="S60" s="92" t="s">
        <v>1575</v>
      </c>
      <c r="T60" s="110"/>
      <c r="U60" s="94" t="s">
        <v>1619</v>
      </c>
      <c r="V60" s="107"/>
      <c r="W60" s="117">
        <v>7600109</v>
      </c>
      <c r="X60" s="115" t="s">
        <v>1619</v>
      </c>
      <c r="Y60" s="98" t="s">
        <v>1919</v>
      </c>
      <c r="Z60" s="103" t="s">
        <v>1810</v>
      </c>
      <c r="AA60" s="125" t="s">
        <v>1618</v>
      </c>
      <c r="AB60" s="127" t="s">
        <v>1697</v>
      </c>
      <c r="AG60" s="88" t="s">
        <v>1778</v>
      </c>
      <c r="AH60" s="88" t="s">
        <v>1779</v>
      </c>
    </row>
    <row r="61" spans="2:34" ht="17.45" customHeight="1">
      <c r="B61" s="96" t="e">
        <f t="shared" si="0"/>
        <v>#REF!</v>
      </c>
      <c r="C61" s="148">
        <v>41240</v>
      </c>
      <c r="D61" s="98" t="s">
        <v>1921</v>
      </c>
      <c r="E61" s="98">
        <v>7600692</v>
      </c>
      <c r="F61" s="113" t="s">
        <v>1916</v>
      </c>
      <c r="G61" s="100" t="s">
        <v>189</v>
      </c>
      <c r="H61" s="101" t="s">
        <v>1899</v>
      </c>
      <c r="I61" s="98" t="s">
        <v>1921</v>
      </c>
      <c r="J61" s="126">
        <v>1</v>
      </c>
      <c r="K61" s="124" t="s">
        <v>1810</v>
      </c>
      <c r="L61" s="124">
        <v>6</v>
      </c>
      <c r="M61" s="125" t="s">
        <v>1618</v>
      </c>
      <c r="N61" s="106" t="str">
        <f t="shared" si="1"/>
        <v>16</v>
      </c>
      <c r="O61" s="107"/>
      <c r="P61" s="114" t="s">
        <v>1917</v>
      </c>
      <c r="Q61" s="107"/>
      <c r="R61" s="115" t="s">
        <v>1619</v>
      </c>
      <c r="S61" s="92" t="s">
        <v>1575</v>
      </c>
      <c r="T61" s="110"/>
      <c r="U61" s="94" t="s">
        <v>1619</v>
      </c>
      <c r="V61" s="107"/>
      <c r="W61" s="117">
        <v>7600109</v>
      </c>
      <c r="X61" s="115" t="s">
        <v>1619</v>
      </c>
      <c r="Y61" s="98" t="s">
        <v>1921</v>
      </c>
      <c r="Z61" s="124" t="s">
        <v>1810</v>
      </c>
      <c r="AA61" s="125" t="s">
        <v>1618</v>
      </c>
      <c r="AB61" s="127" t="s">
        <v>1656</v>
      </c>
      <c r="AG61" s="88" t="s">
        <v>1778</v>
      </c>
      <c r="AH61" s="88" t="s">
        <v>1779</v>
      </c>
    </row>
    <row r="62" spans="2:34" ht="17.45" customHeight="1">
      <c r="B62" s="96" t="e">
        <f t="shared" si="0"/>
        <v>#REF!</v>
      </c>
      <c r="C62" s="112">
        <v>41486</v>
      </c>
      <c r="D62" s="98" t="s">
        <v>1923</v>
      </c>
      <c r="E62" s="98">
        <v>7600752</v>
      </c>
      <c r="F62" s="113" t="s">
        <v>1916</v>
      </c>
      <c r="G62" s="100" t="s">
        <v>1922</v>
      </c>
      <c r="H62" s="101" t="s">
        <v>1899</v>
      </c>
      <c r="I62" s="98" t="s">
        <v>1923</v>
      </c>
      <c r="J62" s="126">
        <v>1</v>
      </c>
      <c r="K62" s="124" t="s">
        <v>1810</v>
      </c>
      <c r="L62" s="124">
        <v>6</v>
      </c>
      <c r="M62" s="125" t="s">
        <v>1618</v>
      </c>
      <c r="N62" s="106" t="str">
        <f t="shared" si="1"/>
        <v>16</v>
      </c>
      <c r="O62" s="107"/>
      <c r="P62" s="114" t="s">
        <v>1917</v>
      </c>
      <c r="Q62" s="107"/>
      <c r="R62" s="115" t="s">
        <v>1619</v>
      </c>
      <c r="S62" s="92" t="s">
        <v>1575</v>
      </c>
      <c r="T62" s="110"/>
      <c r="U62" s="94" t="s">
        <v>1619</v>
      </c>
      <c r="V62" s="107"/>
      <c r="W62" s="117">
        <v>7600109</v>
      </c>
      <c r="X62" s="115" t="s">
        <v>1619</v>
      </c>
      <c r="Y62" s="98" t="s">
        <v>1923</v>
      </c>
      <c r="Z62" s="124" t="s">
        <v>1810</v>
      </c>
      <c r="AA62" s="125" t="s">
        <v>1618</v>
      </c>
      <c r="AB62" s="127" t="s">
        <v>1651</v>
      </c>
      <c r="AG62" s="88" t="s">
        <v>1778</v>
      </c>
      <c r="AH62" s="88" t="s">
        <v>1779</v>
      </c>
    </row>
    <row r="63" spans="2:34" ht="17.45" customHeight="1">
      <c r="B63" s="96" t="e">
        <f t="shared" si="0"/>
        <v>#REF!</v>
      </c>
      <c r="C63" s="112">
        <v>41607</v>
      </c>
      <c r="D63" s="98" t="s">
        <v>1924</v>
      </c>
      <c r="E63" s="98">
        <v>7600762</v>
      </c>
      <c r="F63" s="113" t="s">
        <v>1916</v>
      </c>
      <c r="G63" s="100" t="s">
        <v>192</v>
      </c>
      <c r="H63" s="101" t="s">
        <v>1899</v>
      </c>
      <c r="I63" s="98" t="s">
        <v>1924</v>
      </c>
      <c r="J63" s="126">
        <v>1</v>
      </c>
      <c r="K63" s="124" t="s">
        <v>1810</v>
      </c>
      <c r="L63" s="124">
        <v>6</v>
      </c>
      <c r="M63" s="125" t="s">
        <v>1618</v>
      </c>
      <c r="N63" s="106" t="str">
        <f t="shared" si="1"/>
        <v>16</v>
      </c>
      <c r="O63" s="107"/>
      <c r="P63" s="114" t="s">
        <v>1917</v>
      </c>
      <c r="Q63" s="107"/>
      <c r="R63" s="115" t="s">
        <v>1619</v>
      </c>
      <c r="S63" s="92" t="s">
        <v>1575</v>
      </c>
      <c r="T63" s="110"/>
      <c r="U63" s="94" t="s">
        <v>1619</v>
      </c>
      <c r="V63" s="107"/>
      <c r="W63" s="117">
        <v>7600109</v>
      </c>
      <c r="X63" s="115" t="s">
        <v>1619</v>
      </c>
      <c r="Y63" s="98" t="s">
        <v>1924</v>
      </c>
      <c r="Z63" s="124" t="s">
        <v>1810</v>
      </c>
      <c r="AA63" s="125" t="s">
        <v>1618</v>
      </c>
      <c r="AB63" s="127" t="s">
        <v>1643</v>
      </c>
      <c r="AG63" s="88" t="s">
        <v>1778</v>
      </c>
      <c r="AH63" s="88" t="s">
        <v>1779</v>
      </c>
    </row>
    <row r="64" spans="2:34" ht="17.45" customHeight="1">
      <c r="B64" s="96" t="e">
        <f t="shared" si="0"/>
        <v>#REF!</v>
      </c>
      <c r="C64" s="112">
        <v>36307</v>
      </c>
      <c r="D64" s="98" t="s">
        <v>1917</v>
      </c>
      <c r="E64" s="98">
        <v>7600109</v>
      </c>
      <c r="F64" s="99" t="s">
        <v>1916</v>
      </c>
      <c r="G64" s="100" t="s">
        <v>195</v>
      </c>
      <c r="H64" s="101" t="s">
        <v>1899</v>
      </c>
      <c r="I64" s="98" t="s">
        <v>1917</v>
      </c>
      <c r="J64" s="102">
        <v>1</v>
      </c>
      <c r="K64" s="103" t="s">
        <v>1810</v>
      </c>
      <c r="L64" s="124">
        <v>6</v>
      </c>
      <c r="M64" s="125" t="s">
        <v>1618</v>
      </c>
      <c r="N64" s="106" t="str">
        <f t="shared" si="1"/>
        <v>16</v>
      </c>
      <c r="O64" s="107"/>
      <c r="P64" s="114" t="s">
        <v>1917</v>
      </c>
      <c r="Q64" s="107"/>
      <c r="R64" s="115" t="s">
        <v>1619</v>
      </c>
      <c r="S64" s="92" t="s">
        <v>1575</v>
      </c>
      <c r="T64" s="110"/>
      <c r="U64" s="94" t="s">
        <v>1619</v>
      </c>
      <c r="V64" s="107"/>
      <c r="W64" s="117">
        <v>7600109</v>
      </c>
      <c r="X64" s="115" t="s">
        <v>1619</v>
      </c>
      <c r="Y64" s="98" t="s">
        <v>1917</v>
      </c>
      <c r="Z64" s="103" t="s">
        <v>1810</v>
      </c>
      <c r="AA64" s="125" t="s">
        <v>1618</v>
      </c>
      <c r="AB64" s="127" t="s">
        <v>1907</v>
      </c>
      <c r="AG64" s="88" t="s">
        <v>1778</v>
      </c>
      <c r="AH64" s="88" t="s">
        <v>1779</v>
      </c>
    </row>
    <row r="65" spans="2:34" ht="17.45" customHeight="1">
      <c r="B65" s="96" t="e">
        <f t="shared" si="0"/>
        <v>#REF!</v>
      </c>
      <c r="C65" s="112">
        <v>42873</v>
      </c>
      <c r="D65" s="98" t="s">
        <v>1928</v>
      </c>
      <c r="E65" s="98">
        <v>7601198</v>
      </c>
      <c r="F65" s="99" t="s">
        <v>1916</v>
      </c>
      <c r="G65" s="100" t="s">
        <v>197</v>
      </c>
      <c r="H65" s="101" t="s">
        <v>1911</v>
      </c>
      <c r="I65" s="98" t="s">
        <v>1928</v>
      </c>
      <c r="J65" s="126">
        <v>1</v>
      </c>
      <c r="K65" s="124" t="s">
        <v>1810</v>
      </c>
      <c r="L65" s="124">
        <v>6</v>
      </c>
      <c r="M65" s="125" t="s">
        <v>1618</v>
      </c>
      <c r="N65" s="106" t="str">
        <f t="shared" si="1"/>
        <v>16</v>
      </c>
      <c r="O65" s="107"/>
      <c r="P65" s="114" t="s">
        <v>1917</v>
      </c>
      <c r="Q65" s="107"/>
      <c r="R65" s="115" t="s">
        <v>1619</v>
      </c>
      <c r="S65" s="92" t="s">
        <v>1575</v>
      </c>
      <c r="T65" s="110"/>
      <c r="U65" s="94" t="s">
        <v>1619</v>
      </c>
      <c r="V65" s="107"/>
      <c r="W65" s="117">
        <v>7600109</v>
      </c>
      <c r="X65" s="115" t="s">
        <v>1619</v>
      </c>
      <c r="Y65" s="98" t="s">
        <v>1928</v>
      </c>
      <c r="Z65" s="124" t="s">
        <v>1810</v>
      </c>
      <c r="AA65" s="125" t="s">
        <v>1618</v>
      </c>
      <c r="AB65" s="152" t="s">
        <v>1655</v>
      </c>
      <c r="AG65" s="88" t="s">
        <v>1778</v>
      </c>
      <c r="AH65" s="88" t="s">
        <v>1779</v>
      </c>
    </row>
    <row r="66" spans="2:34" ht="17.45" customHeight="1">
      <c r="B66" s="96" t="e">
        <f t="shared" si="0"/>
        <v>#REF!</v>
      </c>
      <c r="C66" s="112">
        <v>42270</v>
      </c>
      <c r="D66" s="98" t="s">
        <v>1926</v>
      </c>
      <c r="E66" s="98">
        <v>7600871</v>
      </c>
      <c r="F66" s="99" t="s">
        <v>1916</v>
      </c>
      <c r="G66" s="100" t="s">
        <v>200</v>
      </c>
      <c r="H66" s="101" t="s">
        <v>1899</v>
      </c>
      <c r="I66" s="98" t="s">
        <v>1926</v>
      </c>
      <c r="J66" s="126">
        <v>1</v>
      </c>
      <c r="K66" s="124" t="s">
        <v>1810</v>
      </c>
      <c r="L66" s="124">
        <v>6</v>
      </c>
      <c r="M66" s="125" t="s">
        <v>1618</v>
      </c>
      <c r="N66" s="106" t="str">
        <f t="shared" si="1"/>
        <v>16</v>
      </c>
      <c r="O66" s="107"/>
      <c r="P66" s="114" t="s">
        <v>1917</v>
      </c>
      <c r="Q66" s="107"/>
      <c r="R66" s="115" t="s">
        <v>1619</v>
      </c>
      <c r="S66" s="92" t="s">
        <v>1575</v>
      </c>
      <c r="T66" s="110"/>
      <c r="U66" s="94" t="s">
        <v>1619</v>
      </c>
      <c r="V66" s="107"/>
      <c r="W66" s="117">
        <v>7600109</v>
      </c>
      <c r="X66" s="115" t="s">
        <v>1619</v>
      </c>
      <c r="Y66" s="98" t="s">
        <v>1926</v>
      </c>
      <c r="Z66" s="124" t="s">
        <v>1810</v>
      </c>
      <c r="AA66" s="125" t="s">
        <v>1618</v>
      </c>
      <c r="AB66" s="127" t="s">
        <v>1733</v>
      </c>
      <c r="AG66" s="88" t="s">
        <v>1778</v>
      </c>
      <c r="AH66" s="88" t="s">
        <v>1779</v>
      </c>
    </row>
    <row r="67" spans="2:34" ht="17.45" customHeight="1">
      <c r="B67" s="96" t="e">
        <f t="shared" si="0"/>
        <v>#REF!</v>
      </c>
      <c r="C67" s="112">
        <v>42870</v>
      </c>
      <c r="D67" s="98" t="s">
        <v>1927</v>
      </c>
      <c r="E67" s="98">
        <v>7600963</v>
      </c>
      <c r="F67" s="113" t="s">
        <v>1916</v>
      </c>
      <c r="G67" s="100" t="s">
        <v>203</v>
      </c>
      <c r="H67" s="101" t="s">
        <v>1899</v>
      </c>
      <c r="I67" s="98" t="s">
        <v>1927</v>
      </c>
      <c r="J67" s="126">
        <v>1</v>
      </c>
      <c r="K67" s="124" t="s">
        <v>1810</v>
      </c>
      <c r="L67" s="124">
        <v>6</v>
      </c>
      <c r="M67" s="125" t="s">
        <v>1618</v>
      </c>
      <c r="N67" s="106" t="str">
        <f t="shared" si="1"/>
        <v>16</v>
      </c>
      <c r="O67" s="107"/>
      <c r="P67" s="114" t="s">
        <v>1917</v>
      </c>
      <c r="Q67" s="107"/>
      <c r="R67" s="115" t="s">
        <v>1619</v>
      </c>
      <c r="S67" s="92" t="s">
        <v>1575</v>
      </c>
      <c r="T67" s="110"/>
      <c r="U67" s="94" t="s">
        <v>1619</v>
      </c>
      <c r="V67" s="107"/>
      <c r="W67" s="117">
        <v>7600109</v>
      </c>
      <c r="X67" s="115" t="s">
        <v>1619</v>
      </c>
      <c r="Y67" s="98" t="s">
        <v>1927</v>
      </c>
      <c r="Z67" s="124" t="s">
        <v>1810</v>
      </c>
      <c r="AA67" s="125" t="s">
        <v>1618</v>
      </c>
      <c r="AB67" s="127" t="s">
        <v>1698</v>
      </c>
      <c r="AG67" s="88" t="s">
        <v>1778</v>
      </c>
      <c r="AH67" s="88" t="s">
        <v>1779</v>
      </c>
    </row>
    <row r="68" spans="2:34" ht="17.45" customHeight="1">
      <c r="B68" s="96" t="e">
        <f t="shared" si="0"/>
        <v>#REF!</v>
      </c>
      <c r="C68" s="112">
        <v>41264</v>
      </c>
      <c r="D68" s="98" t="s">
        <v>1925</v>
      </c>
      <c r="E68" s="98">
        <v>7600808</v>
      </c>
      <c r="F68" s="113" t="s">
        <v>1916</v>
      </c>
      <c r="G68" s="100" t="s">
        <v>204</v>
      </c>
      <c r="H68" s="101" t="s">
        <v>1899</v>
      </c>
      <c r="I68" s="98" t="s">
        <v>1925</v>
      </c>
      <c r="J68" s="102">
        <v>1</v>
      </c>
      <c r="K68" s="103" t="s">
        <v>1810</v>
      </c>
      <c r="L68" s="124">
        <v>6</v>
      </c>
      <c r="M68" s="125" t="s">
        <v>1618</v>
      </c>
      <c r="N68" s="106" t="str">
        <f t="shared" si="1"/>
        <v>16</v>
      </c>
      <c r="O68" s="107"/>
      <c r="P68" s="114" t="s">
        <v>1917</v>
      </c>
      <c r="Q68" s="107"/>
      <c r="R68" s="115" t="s">
        <v>1619</v>
      </c>
      <c r="S68" s="92" t="s">
        <v>1575</v>
      </c>
      <c r="T68" s="110"/>
      <c r="U68" s="94" t="s">
        <v>1619</v>
      </c>
      <c r="V68" s="107"/>
      <c r="W68" s="117">
        <v>7600109</v>
      </c>
      <c r="X68" s="115" t="s">
        <v>1619</v>
      </c>
      <c r="Y68" s="98" t="s">
        <v>1925</v>
      </c>
      <c r="Z68" s="103" t="s">
        <v>1810</v>
      </c>
      <c r="AA68" s="125" t="s">
        <v>1618</v>
      </c>
      <c r="AB68" s="127" t="s">
        <v>1918</v>
      </c>
      <c r="AG68" s="88" t="s">
        <v>1778</v>
      </c>
      <c r="AH68" s="88" t="s">
        <v>1779</v>
      </c>
    </row>
    <row r="69" spans="2:34" ht="17.45" customHeight="1">
      <c r="B69" s="96" t="e">
        <f t="shared" ref="B69:B130" si="2">B68+1</f>
        <v>#REF!</v>
      </c>
      <c r="C69" s="112">
        <v>41787</v>
      </c>
      <c r="D69" s="98" t="s">
        <v>2285</v>
      </c>
      <c r="E69" s="98">
        <v>7600788</v>
      </c>
      <c r="F69" s="113" t="s">
        <v>1916</v>
      </c>
      <c r="G69" s="100" t="s">
        <v>206</v>
      </c>
      <c r="H69" s="101" t="s">
        <v>1899</v>
      </c>
      <c r="I69" s="98" t="s">
        <v>2285</v>
      </c>
      <c r="J69" s="126">
        <v>1</v>
      </c>
      <c r="K69" s="124" t="s">
        <v>1810</v>
      </c>
      <c r="L69" s="124">
        <v>6</v>
      </c>
      <c r="M69" s="125" t="s">
        <v>1618</v>
      </c>
      <c r="N69" s="106" t="str">
        <f t="shared" ref="N69:N132" si="3">J69&amp;L69</f>
        <v>16</v>
      </c>
      <c r="O69" s="107"/>
      <c r="P69" s="114" t="s">
        <v>1917</v>
      </c>
      <c r="Q69" s="107"/>
      <c r="R69" s="115" t="s">
        <v>1619</v>
      </c>
      <c r="S69" s="92" t="s">
        <v>1575</v>
      </c>
      <c r="T69" s="110"/>
      <c r="U69" s="94" t="s">
        <v>1619</v>
      </c>
      <c r="V69" s="107"/>
      <c r="W69" s="117">
        <v>7600109</v>
      </c>
      <c r="X69" s="115" t="s">
        <v>1619</v>
      </c>
      <c r="Y69" s="98" t="s">
        <v>2285</v>
      </c>
      <c r="Z69" s="124" t="s">
        <v>1810</v>
      </c>
      <c r="AA69" s="125" t="s">
        <v>1618</v>
      </c>
      <c r="AB69" s="127" t="s">
        <v>1599</v>
      </c>
      <c r="AG69" s="88" t="s">
        <v>1778</v>
      </c>
      <c r="AH69" s="88" t="s">
        <v>1779</v>
      </c>
    </row>
    <row r="70" spans="2:34" ht="17.45" customHeight="1">
      <c r="B70" s="96" t="e">
        <f t="shared" si="2"/>
        <v>#REF!</v>
      </c>
      <c r="C70" s="112">
        <v>40057</v>
      </c>
      <c r="D70" s="98" t="s">
        <v>2299</v>
      </c>
      <c r="E70" s="98">
        <v>7600515</v>
      </c>
      <c r="F70" s="113" t="s">
        <v>2287</v>
      </c>
      <c r="G70" s="100" t="s">
        <v>268</v>
      </c>
      <c r="H70" s="101" t="s">
        <v>2288</v>
      </c>
      <c r="I70" s="98" t="s">
        <v>2299</v>
      </c>
      <c r="J70" s="102">
        <v>1</v>
      </c>
      <c r="K70" s="103" t="s">
        <v>1810</v>
      </c>
      <c r="L70" s="124">
        <v>6</v>
      </c>
      <c r="M70" s="125" t="s">
        <v>1618</v>
      </c>
      <c r="N70" s="106" t="str">
        <f t="shared" si="3"/>
        <v>16</v>
      </c>
      <c r="O70" s="107"/>
      <c r="P70" s="114" t="s">
        <v>2289</v>
      </c>
      <c r="Q70" s="107"/>
      <c r="R70" s="115" t="s">
        <v>1621</v>
      </c>
      <c r="S70" s="92" t="s">
        <v>1575</v>
      </c>
      <c r="T70" s="110"/>
      <c r="U70" s="94" t="s">
        <v>1621</v>
      </c>
      <c r="V70" s="107"/>
      <c r="W70" s="117">
        <v>7600403</v>
      </c>
      <c r="X70" s="115" t="s">
        <v>1621</v>
      </c>
      <c r="Y70" s="98" t="s">
        <v>2299</v>
      </c>
      <c r="Z70" s="103" t="s">
        <v>1810</v>
      </c>
      <c r="AA70" s="125" t="s">
        <v>1618</v>
      </c>
      <c r="AB70" s="116"/>
      <c r="AG70" s="88" t="s">
        <v>1778</v>
      </c>
      <c r="AH70" s="88" t="s">
        <v>1779</v>
      </c>
    </row>
    <row r="71" spans="2:34" ht="17.45" customHeight="1">
      <c r="B71" s="96" t="e">
        <f t="shared" si="2"/>
        <v>#REF!</v>
      </c>
      <c r="C71" s="112">
        <v>38595</v>
      </c>
      <c r="D71" s="98" t="s">
        <v>2289</v>
      </c>
      <c r="E71" s="98">
        <v>7600403</v>
      </c>
      <c r="F71" s="113" t="s">
        <v>2287</v>
      </c>
      <c r="G71" s="100" t="s">
        <v>275</v>
      </c>
      <c r="H71" s="101" t="s">
        <v>2288</v>
      </c>
      <c r="I71" s="98" t="s">
        <v>2289</v>
      </c>
      <c r="J71" s="102">
        <v>1</v>
      </c>
      <c r="K71" s="103" t="s">
        <v>1810</v>
      </c>
      <c r="L71" s="124">
        <v>6</v>
      </c>
      <c r="M71" s="125" t="s">
        <v>1618</v>
      </c>
      <c r="N71" s="106" t="str">
        <f t="shared" si="3"/>
        <v>16</v>
      </c>
      <c r="O71" s="107"/>
      <c r="P71" s="114" t="s">
        <v>2289</v>
      </c>
      <c r="Q71" s="107"/>
      <c r="R71" s="115" t="s">
        <v>1621</v>
      </c>
      <c r="S71" s="92" t="s">
        <v>1575</v>
      </c>
      <c r="T71" s="110"/>
      <c r="U71" s="94" t="s">
        <v>1621</v>
      </c>
      <c r="V71" s="107"/>
      <c r="W71" s="117">
        <v>7600403</v>
      </c>
      <c r="X71" s="115" t="s">
        <v>1621</v>
      </c>
      <c r="Y71" s="98" t="s">
        <v>2289</v>
      </c>
      <c r="Z71" s="103" t="s">
        <v>1810</v>
      </c>
      <c r="AA71" s="125" t="s">
        <v>1618</v>
      </c>
      <c r="AB71" s="116"/>
      <c r="AG71" s="88" t="s">
        <v>1778</v>
      </c>
      <c r="AH71" s="88" t="s">
        <v>1779</v>
      </c>
    </row>
    <row r="72" spans="2:34" ht="17.45" customHeight="1">
      <c r="B72" s="96" t="e">
        <f t="shared" si="2"/>
        <v>#REF!</v>
      </c>
      <c r="C72" s="112">
        <v>39384</v>
      </c>
      <c r="D72" s="98" t="s">
        <v>2300</v>
      </c>
      <c r="E72" s="98">
        <v>7600470</v>
      </c>
      <c r="F72" s="113" t="s">
        <v>2287</v>
      </c>
      <c r="G72" s="100" t="s">
        <v>279</v>
      </c>
      <c r="H72" s="101" t="s">
        <v>2288</v>
      </c>
      <c r="I72" s="98" t="s">
        <v>2300</v>
      </c>
      <c r="J72" s="102">
        <v>1</v>
      </c>
      <c r="K72" s="103" t="s">
        <v>1810</v>
      </c>
      <c r="L72" s="124">
        <v>6</v>
      </c>
      <c r="M72" s="125" t="s">
        <v>1618</v>
      </c>
      <c r="N72" s="106" t="str">
        <f t="shared" si="3"/>
        <v>16</v>
      </c>
      <c r="O72" s="107"/>
      <c r="P72" s="114" t="s">
        <v>2289</v>
      </c>
      <c r="Q72" s="107"/>
      <c r="R72" s="115" t="s">
        <v>1621</v>
      </c>
      <c r="S72" s="92" t="s">
        <v>1575</v>
      </c>
      <c r="T72" s="110"/>
      <c r="U72" s="94" t="s">
        <v>1621</v>
      </c>
      <c r="V72" s="107"/>
      <c r="W72" s="117">
        <v>7600403</v>
      </c>
      <c r="X72" s="115" t="s">
        <v>1621</v>
      </c>
      <c r="Y72" s="98" t="s">
        <v>2300</v>
      </c>
      <c r="Z72" s="103" t="s">
        <v>1810</v>
      </c>
      <c r="AA72" s="125" t="s">
        <v>1618</v>
      </c>
      <c r="AB72" s="116"/>
      <c r="AG72" s="88" t="s">
        <v>1778</v>
      </c>
      <c r="AH72" s="88" t="s">
        <v>1779</v>
      </c>
    </row>
    <row r="73" spans="2:34" ht="17.45" customHeight="1">
      <c r="B73" s="96" t="e">
        <f t="shared" si="2"/>
        <v>#REF!</v>
      </c>
      <c r="C73" s="112">
        <v>38617</v>
      </c>
      <c r="D73" s="98" t="s">
        <v>2286</v>
      </c>
      <c r="E73" s="98">
        <v>7600405</v>
      </c>
      <c r="F73" s="113" t="s">
        <v>2287</v>
      </c>
      <c r="G73" s="100" t="s">
        <v>283</v>
      </c>
      <c r="H73" s="101" t="s">
        <v>2288</v>
      </c>
      <c r="I73" s="98" t="s">
        <v>2286</v>
      </c>
      <c r="J73" s="102">
        <v>1</v>
      </c>
      <c r="K73" s="103" t="s">
        <v>1810</v>
      </c>
      <c r="L73" s="124">
        <v>6</v>
      </c>
      <c r="M73" s="125" t="s">
        <v>1618</v>
      </c>
      <c r="N73" s="106" t="str">
        <f t="shared" si="3"/>
        <v>16</v>
      </c>
      <c r="O73" s="107"/>
      <c r="P73" s="114" t="s">
        <v>2289</v>
      </c>
      <c r="Q73" s="107"/>
      <c r="R73" s="115" t="s">
        <v>1621</v>
      </c>
      <c r="S73" s="92" t="s">
        <v>1575</v>
      </c>
      <c r="T73" s="110"/>
      <c r="U73" s="94" t="s">
        <v>1621</v>
      </c>
      <c r="V73" s="107"/>
      <c r="W73" s="117">
        <v>7600403</v>
      </c>
      <c r="X73" s="115" t="s">
        <v>1621</v>
      </c>
      <c r="Y73" s="98" t="s">
        <v>2286</v>
      </c>
      <c r="Z73" s="103" t="s">
        <v>1810</v>
      </c>
      <c r="AA73" s="125" t="s">
        <v>1618</v>
      </c>
      <c r="AB73" s="116"/>
      <c r="AG73" s="88" t="s">
        <v>1778</v>
      </c>
      <c r="AH73" s="88" t="s">
        <v>1779</v>
      </c>
    </row>
    <row r="74" spans="2:34" ht="17.45" customHeight="1">
      <c r="B74" s="96" t="e">
        <f t="shared" si="2"/>
        <v>#REF!</v>
      </c>
      <c r="C74" s="112">
        <v>40542</v>
      </c>
      <c r="D74" s="98" t="s">
        <v>2168</v>
      </c>
      <c r="E74" s="98">
        <v>7600560</v>
      </c>
      <c r="F74" s="113" t="s">
        <v>2163</v>
      </c>
      <c r="G74" s="100" t="s">
        <v>101</v>
      </c>
      <c r="H74" s="101" t="s">
        <v>1815</v>
      </c>
      <c r="I74" s="98" t="s">
        <v>2168</v>
      </c>
      <c r="J74" s="102">
        <v>1</v>
      </c>
      <c r="K74" s="103" t="s">
        <v>1810</v>
      </c>
      <c r="L74" s="124">
        <v>7</v>
      </c>
      <c r="M74" s="125" t="s">
        <v>1622</v>
      </c>
      <c r="N74" s="106" t="str">
        <f t="shared" si="3"/>
        <v>17</v>
      </c>
      <c r="O74" s="107"/>
      <c r="P74" s="114" t="s">
        <v>2164</v>
      </c>
      <c r="Q74" s="107"/>
      <c r="R74" s="115" t="s">
        <v>1626</v>
      </c>
      <c r="S74" s="92" t="s">
        <v>1576</v>
      </c>
      <c r="T74" s="110"/>
      <c r="U74" s="94" t="s">
        <v>1626</v>
      </c>
      <c r="V74" s="107"/>
      <c r="W74" s="117">
        <v>7600007</v>
      </c>
      <c r="X74" s="115" t="s">
        <v>1626</v>
      </c>
      <c r="Y74" s="98" t="s">
        <v>2168</v>
      </c>
      <c r="Z74" s="103" t="s">
        <v>1810</v>
      </c>
      <c r="AA74" s="125" t="s">
        <v>1622</v>
      </c>
      <c r="AB74" s="116"/>
      <c r="AG74" s="88" t="s">
        <v>1778</v>
      </c>
      <c r="AH74" s="88" t="s">
        <v>1779</v>
      </c>
    </row>
    <row r="75" spans="2:34" ht="17.45" customHeight="1">
      <c r="B75" s="96" t="e">
        <f t="shared" si="2"/>
        <v>#REF!</v>
      </c>
      <c r="C75" s="112">
        <v>36972</v>
      </c>
      <c r="D75" s="98" t="s">
        <v>2166</v>
      </c>
      <c r="E75" s="98">
        <v>7600219</v>
      </c>
      <c r="F75" s="113" t="s">
        <v>2163</v>
      </c>
      <c r="G75" s="100" t="s">
        <v>108</v>
      </c>
      <c r="H75" s="101" t="s">
        <v>1815</v>
      </c>
      <c r="I75" s="98" t="s">
        <v>2166</v>
      </c>
      <c r="J75" s="102">
        <v>1</v>
      </c>
      <c r="K75" s="103" t="s">
        <v>1810</v>
      </c>
      <c r="L75" s="124">
        <v>7</v>
      </c>
      <c r="M75" s="125" t="s">
        <v>1622</v>
      </c>
      <c r="N75" s="106" t="str">
        <f t="shared" si="3"/>
        <v>17</v>
      </c>
      <c r="O75" s="107"/>
      <c r="P75" s="114" t="s">
        <v>2164</v>
      </c>
      <c r="Q75" s="107"/>
      <c r="R75" s="115" t="s">
        <v>1626</v>
      </c>
      <c r="S75" s="92" t="s">
        <v>1576</v>
      </c>
      <c r="T75" s="110"/>
      <c r="U75" s="94" t="s">
        <v>1626</v>
      </c>
      <c r="V75" s="107"/>
      <c r="W75" s="117">
        <v>7600007</v>
      </c>
      <c r="X75" s="115" t="s">
        <v>1626</v>
      </c>
      <c r="Y75" s="98" t="s">
        <v>2166</v>
      </c>
      <c r="Z75" s="103" t="s">
        <v>1810</v>
      </c>
      <c r="AA75" s="125" t="s">
        <v>1622</v>
      </c>
      <c r="AB75" s="116"/>
      <c r="AG75" s="88" t="s">
        <v>1778</v>
      </c>
      <c r="AH75" s="88" t="s">
        <v>1779</v>
      </c>
    </row>
    <row r="76" spans="2:34" ht="17.45" customHeight="1">
      <c r="B76" s="96" t="e">
        <f t="shared" si="2"/>
        <v>#REF!</v>
      </c>
      <c r="C76" s="112">
        <v>35455</v>
      </c>
      <c r="D76" s="98" t="s">
        <v>2164</v>
      </c>
      <c r="E76" s="98">
        <v>7600007</v>
      </c>
      <c r="F76" s="113" t="s">
        <v>2163</v>
      </c>
      <c r="G76" s="100" t="s">
        <v>111</v>
      </c>
      <c r="H76" s="101" t="s">
        <v>1815</v>
      </c>
      <c r="I76" s="98" t="s">
        <v>2164</v>
      </c>
      <c r="J76" s="102">
        <v>1</v>
      </c>
      <c r="K76" s="103" t="s">
        <v>1810</v>
      </c>
      <c r="L76" s="124">
        <v>7</v>
      </c>
      <c r="M76" s="125" t="s">
        <v>1622</v>
      </c>
      <c r="N76" s="106" t="str">
        <f t="shared" si="3"/>
        <v>17</v>
      </c>
      <c r="O76" s="107"/>
      <c r="P76" s="114" t="s">
        <v>2164</v>
      </c>
      <c r="Q76" s="107"/>
      <c r="R76" s="115" t="s">
        <v>1626</v>
      </c>
      <c r="S76" s="92" t="s">
        <v>1576</v>
      </c>
      <c r="T76" s="110"/>
      <c r="U76" s="94" t="s">
        <v>1626</v>
      </c>
      <c r="V76" s="107"/>
      <c r="W76" s="117">
        <v>7600007</v>
      </c>
      <c r="X76" s="115" t="s">
        <v>1626</v>
      </c>
      <c r="Y76" s="98" t="s">
        <v>2164</v>
      </c>
      <c r="Z76" s="103" t="s">
        <v>1810</v>
      </c>
      <c r="AA76" s="125" t="s">
        <v>1622</v>
      </c>
      <c r="AB76" s="116"/>
      <c r="AG76" s="88" t="s">
        <v>1778</v>
      </c>
      <c r="AH76" s="88" t="s">
        <v>1779</v>
      </c>
    </row>
    <row r="77" spans="2:34" ht="17.45" customHeight="1">
      <c r="B77" s="96" t="e">
        <f t="shared" si="2"/>
        <v>#REF!</v>
      </c>
      <c r="C77" s="112">
        <v>40892</v>
      </c>
      <c r="D77" s="98" t="s">
        <v>2170</v>
      </c>
      <c r="E77" s="98">
        <v>7600642</v>
      </c>
      <c r="F77" s="113" t="s">
        <v>2163</v>
      </c>
      <c r="G77" s="100" t="s">
        <v>114</v>
      </c>
      <c r="H77" s="101" t="s">
        <v>1815</v>
      </c>
      <c r="I77" s="98" t="s">
        <v>2170</v>
      </c>
      <c r="J77" s="102">
        <v>1</v>
      </c>
      <c r="K77" s="103" t="s">
        <v>1810</v>
      </c>
      <c r="L77" s="124">
        <v>7</v>
      </c>
      <c r="M77" s="125" t="s">
        <v>1622</v>
      </c>
      <c r="N77" s="106" t="str">
        <f t="shared" si="3"/>
        <v>17</v>
      </c>
      <c r="O77" s="107"/>
      <c r="P77" s="114" t="s">
        <v>2164</v>
      </c>
      <c r="Q77" s="107"/>
      <c r="R77" s="115" t="s">
        <v>1626</v>
      </c>
      <c r="S77" s="92" t="s">
        <v>1576</v>
      </c>
      <c r="T77" s="110"/>
      <c r="U77" s="94" t="s">
        <v>1626</v>
      </c>
      <c r="V77" s="107"/>
      <c r="W77" s="117">
        <v>7600007</v>
      </c>
      <c r="X77" s="115" t="s">
        <v>1626</v>
      </c>
      <c r="Y77" s="98" t="s">
        <v>2170</v>
      </c>
      <c r="Z77" s="103" t="s">
        <v>1810</v>
      </c>
      <c r="AA77" s="125" t="s">
        <v>1622</v>
      </c>
      <c r="AB77" s="116"/>
      <c r="AG77" s="88" t="s">
        <v>1778</v>
      </c>
      <c r="AH77" s="88" t="s">
        <v>1779</v>
      </c>
    </row>
    <row r="78" spans="2:34" ht="17.45" customHeight="1">
      <c r="B78" s="96" t="e">
        <f t="shared" si="2"/>
        <v>#REF!</v>
      </c>
      <c r="C78" s="112">
        <v>41627</v>
      </c>
      <c r="D78" s="98" t="s">
        <v>2171</v>
      </c>
      <c r="E78" s="98">
        <v>7600778</v>
      </c>
      <c r="F78" s="113" t="s">
        <v>2163</v>
      </c>
      <c r="G78" s="100" t="s">
        <v>117</v>
      </c>
      <c r="H78" s="101" t="s">
        <v>1815</v>
      </c>
      <c r="I78" s="98" t="s">
        <v>2171</v>
      </c>
      <c r="J78" s="126">
        <v>1</v>
      </c>
      <c r="K78" s="124" t="s">
        <v>1810</v>
      </c>
      <c r="L78" s="124">
        <v>7</v>
      </c>
      <c r="M78" s="125" t="s">
        <v>1622</v>
      </c>
      <c r="N78" s="106" t="str">
        <f t="shared" si="3"/>
        <v>17</v>
      </c>
      <c r="O78" s="107"/>
      <c r="P78" s="114" t="s">
        <v>2164</v>
      </c>
      <c r="Q78" s="107"/>
      <c r="R78" s="115" t="s">
        <v>1626</v>
      </c>
      <c r="S78" s="92" t="s">
        <v>1576</v>
      </c>
      <c r="T78" s="110"/>
      <c r="U78" s="94" t="s">
        <v>1626</v>
      </c>
      <c r="V78" s="107"/>
      <c r="W78" s="117">
        <v>7600007</v>
      </c>
      <c r="X78" s="115" t="s">
        <v>1626</v>
      </c>
      <c r="Y78" s="98" t="s">
        <v>2171</v>
      </c>
      <c r="Z78" s="124" t="s">
        <v>1810</v>
      </c>
      <c r="AA78" s="125" t="s">
        <v>1622</v>
      </c>
      <c r="AB78" s="116"/>
      <c r="AG78" s="88" t="s">
        <v>1778</v>
      </c>
      <c r="AH78" s="88" t="s">
        <v>1779</v>
      </c>
    </row>
    <row r="79" spans="2:34" ht="17.45" customHeight="1">
      <c r="B79" s="96" t="e">
        <f t="shared" si="2"/>
        <v>#REF!</v>
      </c>
      <c r="C79" s="112">
        <v>45204</v>
      </c>
      <c r="D79" s="98" t="s">
        <v>1962</v>
      </c>
      <c r="E79" s="98">
        <v>7601234</v>
      </c>
      <c r="F79" s="153" t="s">
        <v>1959</v>
      </c>
      <c r="G79" s="101" t="s">
        <v>287</v>
      </c>
      <c r="H79" s="154" t="s">
        <v>1969</v>
      </c>
      <c r="I79" s="98" t="s">
        <v>1962</v>
      </c>
      <c r="J79" s="126">
        <v>1</v>
      </c>
      <c r="K79" s="124" t="s">
        <v>1810</v>
      </c>
      <c r="L79" s="124">
        <v>7</v>
      </c>
      <c r="M79" s="125" t="s">
        <v>1622</v>
      </c>
      <c r="N79" s="106" t="str">
        <f t="shared" si="3"/>
        <v>17</v>
      </c>
      <c r="O79" s="107"/>
      <c r="P79" s="114" t="s">
        <v>1960</v>
      </c>
      <c r="Q79" s="107"/>
      <c r="R79" s="115" t="s">
        <v>1623</v>
      </c>
      <c r="S79" s="92" t="s">
        <v>1576</v>
      </c>
      <c r="T79" s="110"/>
      <c r="U79" s="94" t="s">
        <v>1623</v>
      </c>
      <c r="V79" s="107"/>
      <c r="W79" s="117">
        <v>7601105</v>
      </c>
      <c r="X79" s="115" t="s">
        <v>1623</v>
      </c>
      <c r="Y79" s="98" t="s">
        <v>1962</v>
      </c>
      <c r="Z79" s="124" t="s">
        <v>1810</v>
      </c>
      <c r="AA79" s="125" t="s">
        <v>1622</v>
      </c>
      <c r="AB79" s="116"/>
      <c r="AG79" s="88" t="s">
        <v>1778</v>
      </c>
      <c r="AH79" s="88" t="s">
        <v>1779</v>
      </c>
    </row>
    <row r="80" spans="2:34" ht="17.45" customHeight="1">
      <c r="B80" s="96" t="e">
        <f t="shared" si="2"/>
        <v>#REF!</v>
      </c>
      <c r="C80" s="112">
        <v>43892</v>
      </c>
      <c r="D80" s="98" t="s">
        <v>1960</v>
      </c>
      <c r="E80" s="98">
        <v>7601105</v>
      </c>
      <c r="F80" s="113" t="s">
        <v>1959</v>
      </c>
      <c r="G80" s="100" t="s">
        <v>294</v>
      </c>
      <c r="H80" s="101" t="s">
        <v>1969</v>
      </c>
      <c r="I80" s="98" t="s">
        <v>1960</v>
      </c>
      <c r="J80" s="102">
        <v>1</v>
      </c>
      <c r="K80" s="103" t="s">
        <v>1810</v>
      </c>
      <c r="L80" s="124">
        <v>7</v>
      </c>
      <c r="M80" s="125" t="s">
        <v>1622</v>
      </c>
      <c r="N80" s="106" t="str">
        <f t="shared" si="3"/>
        <v>17</v>
      </c>
      <c r="O80" s="107"/>
      <c r="P80" s="114" t="s">
        <v>1960</v>
      </c>
      <c r="Q80" s="107"/>
      <c r="R80" s="115" t="s">
        <v>1623</v>
      </c>
      <c r="S80" s="92" t="s">
        <v>1576</v>
      </c>
      <c r="T80" s="110"/>
      <c r="U80" s="94" t="s">
        <v>1623</v>
      </c>
      <c r="V80" s="107"/>
      <c r="W80" s="117">
        <v>7601105</v>
      </c>
      <c r="X80" s="115" t="s">
        <v>1623</v>
      </c>
      <c r="Y80" s="98" t="s">
        <v>1960</v>
      </c>
      <c r="Z80" s="103" t="s">
        <v>1810</v>
      </c>
      <c r="AA80" s="125" t="s">
        <v>1622</v>
      </c>
      <c r="AB80" s="116"/>
      <c r="AG80" s="88" t="s">
        <v>1778</v>
      </c>
      <c r="AH80" s="88" t="s">
        <v>1779</v>
      </c>
    </row>
    <row r="81" spans="2:34" ht="17.45" customHeight="1">
      <c r="B81" s="96" t="e">
        <f t="shared" si="2"/>
        <v>#REF!</v>
      </c>
      <c r="C81" s="112">
        <v>41149</v>
      </c>
      <c r="D81" s="98" t="s">
        <v>2082</v>
      </c>
      <c r="E81" s="98">
        <v>7600671</v>
      </c>
      <c r="F81" s="113" t="s">
        <v>2081</v>
      </c>
      <c r="G81" s="100" t="s">
        <v>297</v>
      </c>
      <c r="H81" s="101" t="s">
        <v>2088</v>
      </c>
      <c r="I81" s="98" t="s">
        <v>2082</v>
      </c>
      <c r="J81" s="102">
        <v>1</v>
      </c>
      <c r="K81" s="103" t="s">
        <v>1810</v>
      </c>
      <c r="L81" s="124">
        <v>7</v>
      </c>
      <c r="M81" s="125" t="s">
        <v>1622</v>
      </c>
      <c r="N81" s="106" t="str">
        <f t="shared" si="3"/>
        <v>17</v>
      </c>
      <c r="O81" s="107"/>
      <c r="P81" s="114" t="s">
        <v>2082</v>
      </c>
      <c r="Q81" s="107"/>
      <c r="R81" s="115" t="s">
        <v>1625</v>
      </c>
      <c r="S81" s="92" t="s">
        <v>1576</v>
      </c>
      <c r="T81" s="110"/>
      <c r="U81" s="94" t="s">
        <v>1625</v>
      </c>
      <c r="V81" s="107"/>
      <c r="W81" s="117">
        <v>7600671</v>
      </c>
      <c r="X81" s="115" t="s">
        <v>1625</v>
      </c>
      <c r="Y81" s="98" t="s">
        <v>2082</v>
      </c>
      <c r="Z81" s="103" t="s">
        <v>1810</v>
      </c>
      <c r="AA81" s="125" t="s">
        <v>1622</v>
      </c>
      <c r="AB81" s="116"/>
      <c r="AG81" s="88" t="s">
        <v>1778</v>
      </c>
      <c r="AH81" s="88" t="s">
        <v>1779</v>
      </c>
    </row>
    <row r="82" spans="2:34" ht="17.45" customHeight="1">
      <c r="B82" s="96" t="e">
        <f t="shared" si="2"/>
        <v>#REF!</v>
      </c>
      <c r="C82" s="112">
        <v>37256</v>
      </c>
      <c r="D82" s="98" t="s">
        <v>2105</v>
      </c>
      <c r="E82" s="98">
        <v>7600258</v>
      </c>
      <c r="F82" s="113" t="s">
        <v>2104</v>
      </c>
      <c r="G82" s="100" t="s">
        <v>303</v>
      </c>
      <c r="H82" s="101" t="s">
        <v>2110</v>
      </c>
      <c r="I82" s="98" t="s">
        <v>2105</v>
      </c>
      <c r="J82" s="102">
        <v>1</v>
      </c>
      <c r="K82" s="103" t="s">
        <v>1810</v>
      </c>
      <c r="L82" s="124">
        <v>7</v>
      </c>
      <c r="M82" s="125" t="s">
        <v>1622</v>
      </c>
      <c r="N82" s="106" t="str">
        <f t="shared" si="3"/>
        <v>17</v>
      </c>
      <c r="O82" s="107"/>
      <c r="P82" s="114" t="s">
        <v>2105</v>
      </c>
      <c r="Q82" s="107"/>
      <c r="R82" s="115" t="s">
        <v>1627</v>
      </c>
      <c r="S82" s="92" t="s">
        <v>1576</v>
      </c>
      <c r="T82" s="110"/>
      <c r="U82" s="94" t="s">
        <v>1627</v>
      </c>
      <c r="V82" s="107"/>
      <c r="W82" s="117">
        <v>7600258</v>
      </c>
      <c r="X82" s="115" t="s">
        <v>1627</v>
      </c>
      <c r="Y82" s="98" t="s">
        <v>2105</v>
      </c>
      <c r="Z82" s="103" t="s">
        <v>1810</v>
      </c>
      <c r="AA82" s="125" t="s">
        <v>1622</v>
      </c>
      <c r="AB82" s="116"/>
      <c r="AG82" s="88" t="s">
        <v>1778</v>
      </c>
      <c r="AH82" s="88" t="s">
        <v>1779</v>
      </c>
    </row>
    <row r="83" spans="2:34" ht="17.45" customHeight="1">
      <c r="B83" s="96" t="e">
        <f t="shared" si="2"/>
        <v>#REF!</v>
      </c>
      <c r="C83" s="112">
        <v>37224</v>
      </c>
      <c r="D83" s="98" t="s">
        <v>2109</v>
      </c>
      <c r="E83" s="98">
        <v>7600277</v>
      </c>
      <c r="F83" s="113" t="s">
        <v>2104</v>
      </c>
      <c r="G83" s="100" t="s">
        <v>310</v>
      </c>
      <c r="H83" s="101" t="s">
        <v>2110</v>
      </c>
      <c r="I83" s="98" t="s">
        <v>2109</v>
      </c>
      <c r="J83" s="102">
        <v>1</v>
      </c>
      <c r="K83" s="103" t="s">
        <v>1810</v>
      </c>
      <c r="L83" s="124">
        <v>7</v>
      </c>
      <c r="M83" s="125" t="s">
        <v>1622</v>
      </c>
      <c r="N83" s="106" t="str">
        <f t="shared" si="3"/>
        <v>17</v>
      </c>
      <c r="O83" s="107"/>
      <c r="P83" s="114" t="s">
        <v>2105</v>
      </c>
      <c r="Q83" s="107"/>
      <c r="R83" s="115" t="s">
        <v>1627</v>
      </c>
      <c r="S83" s="92" t="s">
        <v>1576</v>
      </c>
      <c r="T83" s="110"/>
      <c r="U83" s="94" t="s">
        <v>1627</v>
      </c>
      <c r="V83" s="107"/>
      <c r="W83" s="117">
        <v>7600258</v>
      </c>
      <c r="X83" s="115" t="s">
        <v>1627</v>
      </c>
      <c r="Y83" s="98" t="s">
        <v>2109</v>
      </c>
      <c r="Z83" s="103" t="s">
        <v>1810</v>
      </c>
      <c r="AA83" s="125" t="s">
        <v>1622</v>
      </c>
      <c r="AB83" s="116"/>
      <c r="AG83" s="88" t="s">
        <v>1778</v>
      </c>
      <c r="AH83" s="88" t="s">
        <v>1779</v>
      </c>
    </row>
    <row r="84" spans="2:34" ht="17.45" customHeight="1">
      <c r="B84" s="96" t="e">
        <f t="shared" si="2"/>
        <v>#REF!</v>
      </c>
      <c r="C84" s="112">
        <v>37181</v>
      </c>
      <c r="D84" s="98" t="s">
        <v>2107</v>
      </c>
      <c r="E84" s="98">
        <v>7600263</v>
      </c>
      <c r="F84" s="113" t="s">
        <v>2104</v>
      </c>
      <c r="G84" s="100" t="s">
        <v>313</v>
      </c>
      <c r="H84" s="101" t="s">
        <v>2110</v>
      </c>
      <c r="I84" s="98" t="s">
        <v>2107</v>
      </c>
      <c r="J84" s="102">
        <v>1</v>
      </c>
      <c r="K84" s="103" t="s">
        <v>1810</v>
      </c>
      <c r="L84" s="124">
        <v>7</v>
      </c>
      <c r="M84" s="125" t="s">
        <v>1622</v>
      </c>
      <c r="N84" s="106" t="str">
        <f t="shared" si="3"/>
        <v>17</v>
      </c>
      <c r="O84" s="107"/>
      <c r="P84" s="114" t="s">
        <v>2105</v>
      </c>
      <c r="Q84" s="107"/>
      <c r="R84" s="115" t="s">
        <v>1627</v>
      </c>
      <c r="S84" s="92" t="s">
        <v>1576</v>
      </c>
      <c r="T84" s="110"/>
      <c r="U84" s="94" t="s">
        <v>1627</v>
      </c>
      <c r="V84" s="107"/>
      <c r="W84" s="117">
        <v>7600258</v>
      </c>
      <c r="X84" s="115" t="s">
        <v>1627</v>
      </c>
      <c r="Y84" s="98" t="s">
        <v>2107</v>
      </c>
      <c r="Z84" s="103" t="s">
        <v>1810</v>
      </c>
      <c r="AA84" s="125" t="s">
        <v>1622</v>
      </c>
      <c r="AB84" s="116"/>
      <c r="AG84" s="88" t="s">
        <v>1778</v>
      </c>
      <c r="AH84" s="88" t="s">
        <v>1779</v>
      </c>
    </row>
    <row r="85" spans="2:34" ht="17.45" customHeight="1">
      <c r="B85" s="96" t="e">
        <f t="shared" si="2"/>
        <v>#REF!</v>
      </c>
      <c r="C85" s="112">
        <v>37589</v>
      </c>
      <c r="D85" s="98" t="s">
        <v>1882</v>
      </c>
      <c r="E85" s="98">
        <v>7600332</v>
      </c>
      <c r="F85" s="113" t="s">
        <v>1881</v>
      </c>
      <c r="G85" s="100" t="s">
        <v>440</v>
      </c>
      <c r="H85" s="101" t="s">
        <v>1883</v>
      </c>
      <c r="I85" s="98" t="s">
        <v>1882</v>
      </c>
      <c r="J85" s="102">
        <v>2</v>
      </c>
      <c r="K85" s="103" t="s">
        <v>1784</v>
      </c>
      <c r="L85" s="124">
        <v>1</v>
      </c>
      <c r="M85" s="125" t="s">
        <v>1628</v>
      </c>
      <c r="N85" s="106" t="str">
        <f t="shared" si="3"/>
        <v>21</v>
      </c>
      <c r="O85" s="107"/>
      <c r="P85" s="114" t="s">
        <v>1882</v>
      </c>
      <c r="Q85" s="107"/>
      <c r="R85" s="115" t="s">
        <v>1633</v>
      </c>
      <c r="S85" s="92" t="s">
        <v>1630</v>
      </c>
      <c r="T85" s="110"/>
      <c r="U85" s="94" t="s">
        <v>1633</v>
      </c>
      <c r="V85" s="107"/>
      <c r="W85" s="117">
        <v>7600332</v>
      </c>
      <c r="X85" s="115" t="s">
        <v>1633</v>
      </c>
      <c r="Y85" s="98" t="s">
        <v>1882</v>
      </c>
      <c r="Z85" s="103" t="s">
        <v>1784</v>
      </c>
      <c r="AA85" s="125" t="s">
        <v>1628</v>
      </c>
      <c r="AB85" s="127" t="s">
        <v>1632</v>
      </c>
      <c r="AC85" s="132"/>
      <c r="AD85" s="132"/>
      <c r="AE85" s="132"/>
      <c r="AF85" s="132"/>
      <c r="AG85" s="88" t="s">
        <v>1778</v>
      </c>
      <c r="AH85" s="88" t="s">
        <v>1779</v>
      </c>
    </row>
    <row r="86" spans="2:34" ht="17.45" customHeight="1">
      <c r="B86" s="96" t="e">
        <f t="shared" si="2"/>
        <v>#REF!</v>
      </c>
      <c r="C86" s="112">
        <v>41999</v>
      </c>
      <c r="D86" s="98" t="s">
        <v>1884</v>
      </c>
      <c r="E86" s="98">
        <v>7600845</v>
      </c>
      <c r="F86" s="113" t="s">
        <v>1881</v>
      </c>
      <c r="G86" s="100" t="s">
        <v>445</v>
      </c>
      <c r="H86" s="101" t="s">
        <v>1883</v>
      </c>
      <c r="I86" s="98" t="s">
        <v>1884</v>
      </c>
      <c r="J86" s="126">
        <v>2</v>
      </c>
      <c r="K86" s="124" t="s">
        <v>1784</v>
      </c>
      <c r="L86" s="124">
        <v>1</v>
      </c>
      <c r="M86" s="125" t="s">
        <v>1628</v>
      </c>
      <c r="N86" s="106" t="str">
        <f t="shared" si="3"/>
        <v>21</v>
      </c>
      <c r="O86" s="107"/>
      <c r="P86" s="114" t="s">
        <v>1882</v>
      </c>
      <c r="Q86" s="107"/>
      <c r="R86" s="115" t="s">
        <v>1633</v>
      </c>
      <c r="S86" s="92" t="s">
        <v>1630</v>
      </c>
      <c r="T86" s="110"/>
      <c r="U86" s="94" t="s">
        <v>1633</v>
      </c>
      <c r="V86" s="107"/>
      <c r="W86" s="117">
        <v>7600332</v>
      </c>
      <c r="X86" s="115" t="s">
        <v>1633</v>
      </c>
      <c r="Y86" s="98" t="s">
        <v>1884</v>
      </c>
      <c r="Z86" s="124" t="s">
        <v>1784</v>
      </c>
      <c r="AA86" s="125" t="s">
        <v>1628</v>
      </c>
      <c r="AB86" s="127" t="s">
        <v>1627</v>
      </c>
      <c r="AG86" s="88" t="s">
        <v>1778</v>
      </c>
      <c r="AH86" s="88" t="s">
        <v>1779</v>
      </c>
    </row>
    <row r="87" spans="2:34" ht="17.45" customHeight="1">
      <c r="B87" s="96" t="e">
        <f t="shared" si="2"/>
        <v>#REF!</v>
      </c>
      <c r="C87" s="112">
        <v>36783</v>
      </c>
      <c r="D87" s="98" t="s">
        <v>2030</v>
      </c>
      <c r="E87" s="98">
        <v>7600187</v>
      </c>
      <c r="F87" s="113" t="s">
        <v>2027</v>
      </c>
      <c r="G87" s="100" t="s">
        <v>507</v>
      </c>
      <c r="H87" s="101" t="s">
        <v>2017</v>
      </c>
      <c r="I87" s="98" t="s">
        <v>2030</v>
      </c>
      <c r="J87" s="102">
        <v>2</v>
      </c>
      <c r="K87" s="103" t="s">
        <v>1784</v>
      </c>
      <c r="L87" s="124">
        <v>1</v>
      </c>
      <c r="M87" s="125" t="s">
        <v>1628</v>
      </c>
      <c r="N87" s="106" t="str">
        <f t="shared" si="3"/>
        <v>21</v>
      </c>
      <c r="O87" s="107"/>
      <c r="P87" s="114" t="s">
        <v>2028</v>
      </c>
      <c r="Q87" s="107"/>
      <c r="R87" s="115" t="s">
        <v>1629</v>
      </c>
      <c r="S87" s="92" t="s">
        <v>1630</v>
      </c>
      <c r="T87" s="110"/>
      <c r="U87" s="94" t="s">
        <v>1629</v>
      </c>
      <c r="V87" s="107"/>
      <c r="W87" s="117">
        <v>7600152</v>
      </c>
      <c r="X87" s="115" t="s">
        <v>1629</v>
      </c>
      <c r="Y87" s="98" t="s">
        <v>2030</v>
      </c>
      <c r="Z87" s="103" t="s">
        <v>1784</v>
      </c>
      <c r="AA87" s="125" t="s">
        <v>1628</v>
      </c>
      <c r="AB87" s="116"/>
      <c r="AG87" s="88" t="s">
        <v>1778</v>
      </c>
      <c r="AH87" s="88" t="s">
        <v>1779</v>
      </c>
    </row>
    <row r="88" spans="2:34" ht="17.45" customHeight="1">
      <c r="B88" s="96" t="e">
        <f t="shared" si="2"/>
        <v>#REF!</v>
      </c>
      <c r="C88" s="112">
        <v>36648</v>
      </c>
      <c r="D88" s="98" t="s">
        <v>2028</v>
      </c>
      <c r="E88" s="98">
        <v>7600152</v>
      </c>
      <c r="F88" s="113" t="s">
        <v>2027</v>
      </c>
      <c r="G88" s="100" t="s">
        <v>514</v>
      </c>
      <c r="H88" s="101" t="s">
        <v>2017</v>
      </c>
      <c r="I88" s="98" t="s">
        <v>2028</v>
      </c>
      <c r="J88" s="102">
        <v>2</v>
      </c>
      <c r="K88" s="103" t="s">
        <v>1784</v>
      </c>
      <c r="L88" s="124">
        <v>1</v>
      </c>
      <c r="M88" s="125" t="s">
        <v>1628</v>
      </c>
      <c r="N88" s="106" t="str">
        <f t="shared" si="3"/>
        <v>21</v>
      </c>
      <c r="O88" s="107"/>
      <c r="P88" s="114" t="s">
        <v>2028</v>
      </c>
      <c r="Q88" s="107"/>
      <c r="R88" s="115" t="s">
        <v>1629</v>
      </c>
      <c r="S88" s="92" t="s">
        <v>1630</v>
      </c>
      <c r="T88" s="110"/>
      <c r="U88" s="94" t="s">
        <v>1629</v>
      </c>
      <c r="V88" s="107"/>
      <c r="W88" s="117">
        <v>7600152</v>
      </c>
      <c r="X88" s="115" t="s">
        <v>1629</v>
      </c>
      <c r="Y88" s="98" t="s">
        <v>2028</v>
      </c>
      <c r="Z88" s="103" t="s">
        <v>1784</v>
      </c>
      <c r="AA88" s="125" t="s">
        <v>1628</v>
      </c>
      <c r="AB88" s="116"/>
      <c r="AG88" s="88" t="s">
        <v>1778</v>
      </c>
      <c r="AH88" s="88" t="s">
        <v>1779</v>
      </c>
    </row>
    <row r="89" spans="2:34" ht="17.45" customHeight="1">
      <c r="B89" s="96" t="e">
        <f t="shared" si="2"/>
        <v>#REF!</v>
      </c>
      <c r="C89" s="112">
        <v>40542</v>
      </c>
      <c r="D89" s="98" t="s">
        <v>2032</v>
      </c>
      <c r="E89" s="98">
        <v>7600566</v>
      </c>
      <c r="F89" s="113" t="s">
        <v>2027</v>
      </c>
      <c r="G89" s="100" t="s">
        <v>521</v>
      </c>
      <c r="H89" s="101" t="s">
        <v>2017</v>
      </c>
      <c r="I89" s="98" t="s">
        <v>2032</v>
      </c>
      <c r="J89" s="102">
        <v>2</v>
      </c>
      <c r="K89" s="103" t="s">
        <v>1784</v>
      </c>
      <c r="L89" s="124">
        <v>1</v>
      </c>
      <c r="M89" s="125" t="s">
        <v>1628</v>
      </c>
      <c r="N89" s="106" t="str">
        <f t="shared" si="3"/>
        <v>21</v>
      </c>
      <c r="O89" s="107"/>
      <c r="P89" s="114" t="s">
        <v>2028</v>
      </c>
      <c r="Q89" s="107"/>
      <c r="R89" s="115" t="s">
        <v>1629</v>
      </c>
      <c r="S89" s="92" t="s">
        <v>1630</v>
      </c>
      <c r="T89" s="110"/>
      <c r="U89" s="94" t="s">
        <v>1629</v>
      </c>
      <c r="V89" s="107"/>
      <c r="W89" s="117">
        <v>7600152</v>
      </c>
      <c r="X89" s="115" t="s">
        <v>1629</v>
      </c>
      <c r="Y89" s="98" t="s">
        <v>2032</v>
      </c>
      <c r="Z89" s="103" t="s">
        <v>1784</v>
      </c>
      <c r="AA89" s="125" t="s">
        <v>1628</v>
      </c>
      <c r="AB89" s="116"/>
      <c r="AG89" s="88" t="s">
        <v>1778</v>
      </c>
      <c r="AH89" s="88" t="s">
        <v>1779</v>
      </c>
    </row>
    <row r="90" spans="2:34" ht="17.45" customHeight="1">
      <c r="B90" s="96" t="e">
        <f t="shared" si="2"/>
        <v>#REF!</v>
      </c>
      <c r="C90" s="112">
        <v>37961</v>
      </c>
      <c r="D90" s="98" t="s">
        <v>2031</v>
      </c>
      <c r="E90" s="98">
        <v>7600353</v>
      </c>
      <c r="F90" s="113" t="s">
        <v>2027</v>
      </c>
      <c r="G90" s="100" t="s">
        <v>526</v>
      </c>
      <c r="H90" s="101" t="s">
        <v>2017</v>
      </c>
      <c r="I90" s="98" t="s">
        <v>2031</v>
      </c>
      <c r="J90" s="102">
        <v>2</v>
      </c>
      <c r="K90" s="103" t="s">
        <v>1784</v>
      </c>
      <c r="L90" s="124">
        <v>1</v>
      </c>
      <c r="M90" s="125" t="s">
        <v>1628</v>
      </c>
      <c r="N90" s="106" t="str">
        <f t="shared" si="3"/>
        <v>21</v>
      </c>
      <c r="O90" s="107"/>
      <c r="P90" s="114" t="s">
        <v>2028</v>
      </c>
      <c r="Q90" s="107"/>
      <c r="R90" s="115" t="s">
        <v>1629</v>
      </c>
      <c r="S90" s="92" t="s">
        <v>1630</v>
      </c>
      <c r="T90" s="110"/>
      <c r="U90" s="94" t="s">
        <v>1629</v>
      </c>
      <c r="V90" s="107"/>
      <c r="W90" s="117">
        <v>7600152</v>
      </c>
      <c r="X90" s="115" t="s">
        <v>1629</v>
      </c>
      <c r="Y90" s="98" t="s">
        <v>2031</v>
      </c>
      <c r="Z90" s="103" t="s">
        <v>1784</v>
      </c>
      <c r="AA90" s="125" t="s">
        <v>1628</v>
      </c>
      <c r="AB90" s="155"/>
      <c r="AG90" s="88" t="s">
        <v>1778</v>
      </c>
      <c r="AH90" s="88" t="s">
        <v>1779</v>
      </c>
    </row>
    <row r="91" spans="2:34" ht="17.45" customHeight="1">
      <c r="B91" s="96" t="e">
        <f t="shared" si="2"/>
        <v>#REF!</v>
      </c>
      <c r="C91" s="112">
        <v>40661</v>
      </c>
      <c r="D91" s="98" t="s">
        <v>2103</v>
      </c>
      <c r="E91" s="98">
        <v>7600954</v>
      </c>
      <c r="F91" s="113" t="s">
        <v>2100</v>
      </c>
      <c r="G91" s="100" t="s">
        <v>401</v>
      </c>
      <c r="H91" s="101" t="s">
        <v>2222</v>
      </c>
      <c r="I91" s="98" t="s">
        <v>2103</v>
      </c>
      <c r="J91" s="126">
        <v>2</v>
      </c>
      <c r="K91" s="124" t="s">
        <v>1784</v>
      </c>
      <c r="L91" s="124">
        <v>1</v>
      </c>
      <c r="M91" s="125" t="s">
        <v>1628</v>
      </c>
      <c r="N91" s="106" t="str">
        <f t="shared" si="3"/>
        <v>21</v>
      </c>
      <c r="O91" s="107"/>
      <c r="P91" s="114" t="s">
        <v>2102</v>
      </c>
      <c r="Q91" s="61"/>
      <c r="R91" s="115" t="s">
        <v>1632</v>
      </c>
      <c r="S91" s="92" t="s">
        <v>1630</v>
      </c>
      <c r="T91" s="110"/>
      <c r="U91" s="94" t="s">
        <v>1632</v>
      </c>
      <c r="V91" s="61"/>
      <c r="W91" s="117">
        <v>7600953</v>
      </c>
      <c r="X91" s="115" t="s">
        <v>1632</v>
      </c>
      <c r="Y91" s="98" t="s">
        <v>2103</v>
      </c>
      <c r="Z91" s="124" t="s">
        <v>1784</v>
      </c>
      <c r="AA91" s="125" t="s">
        <v>1628</v>
      </c>
      <c r="AB91" s="155"/>
      <c r="AG91" s="88" t="s">
        <v>1778</v>
      </c>
      <c r="AH91" s="88" t="s">
        <v>1779</v>
      </c>
    </row>
    <row r="92" spans="2:34" ht="17.45" customHeight="1">
      <c r="B92" s="96" t="e">
        <f t="shared" si="2"/>
        <v>#REF!</v>
      </c>
      <c r="C92" s="112">
        <v>42751</v>
      </c>
      <c r="D92" s="98" t="s">
        <v>2102</v>
      </c>
      <c r="E92" s="98">
        <v>7600953</v>
      </c>
      <c r="F92" s="113" t="s">
        <v>2100</v>
      </c>
      <c r="G92" s="100" t="s">
        <v>407</v>
      </c>
      <c r="H92" s="101" t="s">
        <v>2222</v>
      </c>
      <c r="I92" s="98" t="s">
        <v>2102</v>
      </c>
      <c r="J92" s="126">
        <v>2</v>
      </c>
      <c r="K92" s="124" t="s">
        <v>1784</v>
      </c>
      <c r="L92" s="124">
        <v>1</v>
      </c>
      <c r="M92" s="125" t="s">
        <v>1628</v>
      </c>
      <c r="N92" s="106" t="str">
        <f t="shared" si="3"/>
        <v>21</v>
      </c>
      <c r="O92" s="107"/>
      <c r="P92" s="114" t="s">
        <v>2102</v>
      </c>
      <c r="Q92" s="61"/>
      <c r="R92" s="115" t="s">
        <v>1632</v>
      </c>
      <c r="S92" s="92" t="s">
        <v>1630</v>
      </c>
      <c r="T92" s="110"/>
      <c r="U92" s="94" t="s">
        <v>1632</v>
      </c>
      <c r="V92" s="61"/>
      <c r="W92" s="117">
        <v>7600953</v>
      </c>
      <c r="X92" s="115" t="s">
        <v>1632</v>
      </c>
      <c r="Y92" s="98" t="s">
        <v>2102</v>
      </c>
      <c r="Z92" s="124" t="s">
        <v>1784</v>
      </c>
      <c r="AA92" s="125" t="s">
        <v>1628</v>
      </c>
      <c r="AB92" s="155"/>
      <c r="AG92" s="88" t="s">
        <v>1778</v>
      </c>
      <c r="AH92" s="88" t="s">
        <v>1779</v>
      </c>
    </row>
    <row r="93" spans="2:34" ht="17.45" customHeight="1">
      <c r="B93" s="96" t="e">
        <f t="shared" si="2"/>
        <v>#REF!</v>
      </c>
      <c r="C93" s="112">
        <v>44379</v>
      </c>
      <c r="D93" s="98" t="s">
        <v>1799</v>
      </c>
      <c r="E93" s="98">
        <v>7601165</v>
      </c>
      <c r="F93" s="113" t="s">
        <v>1793</v>
      </c>
      <c r="G93" s="100" t="s">
        <v>316</v>
      </c>
      <c r="H93" s="101" t="s">
        <v>1782</v>
      </c>
      <c r="I93" s="98" t="s">
        <v>1799</v>
      </c>
      <c r="J93" s="102">
        <v>2</v>
      </c>
      <c r="K93" s="103" t="s">
        <v>1784</v>
      </c>
      <c r="L93" s="124">
        <v>2</v>
      </c>
      <c r="M93" s="125" t="s">
        <v>1634</v>
      </c>
      <c r="N93" s="106" t="str">
        <f t="shared" si="3"/>
        <v>22</v>
      </c>
      <c r="O93" s="107"/>
      <c r="P93" s="114" t="s">
        <v>1794</v>
      </c>
      <c r="Q93" s="107"/>
      <c r="R93" s="115" t="s">
        <v>1635</v>
      </c>
      <c r="S93" s="92" t="s">
        <v>1578</v>
      </c>
      <c r="T93" s="110"/>
      <c r="U93" s="94" t="s">
        <v>1635</v>
      </c>
      <c r="V93" s="107"/>
      <c r="W93" s="117">
        <v>7601062</v>
      </c>
      <c r="X93" s="115" t="s">
        <v>1635</v>
      </c>
      <c r="Y93" s="98" t="s">
        <v>1799</v>
      </c>
      <c r="Z93" s="103" t="s">
        <v>1784</v>
      </c>
      <c r="AA93" s="125" t="s">
        <v>1634</v>
      </c>
      <c r="AB93" s="110" t="s">
        <v>1659</v>
      </c>
      <c r="AG93" s="88" t="s">
        <v>1778</v>
      </c>
      <c r="AH93" s="88" t="s">
        <v>1779</v>
      </c>
    </row>
    <row r="94" spans="2:34" ht="17.45" customHeight="1">
      <c r="B94" s="96" t="e">
        <f t="shared" si="2"/>
        <v>#REF!</v>
      </c>
      <c r="C94" s="112">
        <v>43368</v>
      </c>
      <c r="D94" s="98" t="s">
        <v>1794</v>
      </c>
      <c r="E94" s="98">
        <v>7601062</v>
      </c>
      <c r="F94" s="113" t="s">
        <v>1793</v>
      </c>
      <c r="G94" s="100" t="s">
        <v>322</v>
      </c>
      <c r="H94" s="101" t="s">
        <v>1782</v>
      </c>
      <c r="I94" s="98" t="s">
        <v>1794</v>
      </c>
      <c r="J94" s="102">
        <v>2</v>
      </c>
      <c r="K94" s="103" t="s">
        <v>1784</v>
      </c>
      <c r="L94" s="124">
        <v>2</v>
      </c>
      <c r="M94" s="125" t="s">
        <v>1634</v>
      </c>
      <c r="N94" s="106" t="str">
        <f t="shared" si="3"/>
        <v>22</v>
      </c>
      <c r="O94" s="107"/>
      <c r="P94" s="114" t="s">
        <v>1794</v>
      </c>
      <c r="Q94" s="107"/>
      <c r="R94" s="115" t="s">
        <v>1635</v>
      </c>
      <c r="S94" s="92" t="s">
        <v>1578</v>
      </c>
      <c r="T94" s="110"/>
      <c r="U94" s="94" t="s">
        <v>1635</v>
      </c>
      <c r="V94" s="107"/>
      <c r="W94" s="117">
        <v>7601062</v>
      </c>
      <c r="X94" s="115" t="s">
        <v>1635</v>
      </c>
      <c r="Y94" s="98" t="s">
        <v>1794</v>
      </c>
      <c r="Z94" s="103" t="s">
        <v>1784</v>
      </c>
      <c r="AA94" s="125" t="s">
        <v>1634</v>
      </c>
      <c r="AB94" s="110" t="s">
        <v>1641</v>
      </c>
      <c r="AG94" s="88" t="s">
        <v>1778</v>
      </c>
      <c r="AH94" s="88" t="s">
        <v>1779</v>
      </c>
    </row>
    <row r="95" spans="2:34" ht="17.45" customHeight="1">
      <c r="B95" s="96" t="e">
        <f t="shared" si="2"/>
        <v>#REF!</v>
      </c>
      <c r="C95" s="112">
        <v>38971</v>
      </c>
      <c r="D95" s="98" t="s">
        <v>2072</v>
      </c>
      <c r="E95" s="98">
        <v>7600449</v>
      </c>
      <c r="F95" s="113" t="s">
        <v>2068</v>
      </c>
      <c r="G95" s="100" t="s">
        <v>325</v>
      </c>
      <c r="H95" s="101" t="s">
        <v>2074</v>
      </c>
      <c r="I95" s="98" t="s">
        <v>2072</v>
      </c>
      <c r="J95" s="126">
        <v>2</v>
      </c>
      <c r="K95" s="124" t="s">
        <v>1784</v>
      </c>
      <c r="L95" s="124">
        <v>2</v>
      </c>
      <c r="M95" s="125" t="s">
        <v>1634</v>
      </c>
      <c r="N95" s="106" t="str">
        <f t="shared" si="3"/>
        <v>22</v>
      </c>
      <c r="O95" s="107"/>
      <c r="P95" s="114" t="s">
        <v>2070</v>
      </c>
      <c r="Q95" s="107"/>
      <c r="R95" s="115" t="s">
        <v>1636</v>
      </c>
      <c r="S95" s="92" t="s">
        <v>1578</v>
      </c>
      <c r="T95" s="110"/>
      <c r="U95" s="94" t="s">
        <v>1636</v>
      </c>
      <c r="V95" s="107"/>
      <c r="W95" s="117">
        <v>7600382</v>
      </c>
      <c r="X95" s="115" t="s">
        <v>1636</v>
      </c>
      <c r="Y95" s="98" t="s">
        <v>2072</v>
      </c>
      <c r="Z95" s="124" t="s">
        <v>1784</v>
      </c>
      <c r="AA95" s="125" t="s">
        <v>1634</v>
      </c>
      <c r="AB95" s="155"/>
      <c r="AG95" s="88" t="s">
        <v>1778</v>
      </c>
      <c r="AH95" s="88" t="s">
        <v>1779</v>
      </c>
    </row>
    <row r="96" spans="2:34" ht="17.45" customHeight="1">
      <c r="B96" s="96" t="e">
        <f t="shared" si="2"/>
        <v>#REF!</v>
      </c>
      <c r="C96" s="112">
        <v>36875</v>
      </c>
      <c r="D96" s="98" t="s">
        <v>2080</v>
      </c>
      <c r="E96" s="98">
        <v>7601236</v>
      </c>
      <c r="F96" s="153" t="s">
        <v>2068</v>
      </c>
      <c r="G96" s="101" t="s">
        <v>331</v>
      </c>
      <c r="H96" s="154" t="s">
        <v>2074</v>
      </c>
      <c r="I96" s="98" t="s">
        <v>2080</v>
      </c>
      <c r="J96" s="126">
        <v>2</v>
      </c>
      <c r="K96" s="124" t="s">
        <v>1784</v>
      </c>
      <c r="L96" s="124">
        <v>2</v>
      </c>
      <c r="M96" s="125" t="s">
        <v>1634</v>
      </c>
      <c r="N96" s="106" t="str">
        <f t="shared" si="3"/>
        <v>22</v>
      </c>
      <c r="O96" s="107"/>
      <c r="P96" s="114" t="s">
        <v>2070</v>
      </c>
      <c r="Q96" s="107"/>
      <c r="R96" s="115" t="s">
        <v>1636</v>
      </c>
      <c r="S96" s="92" t="s">
        <v>1578</v>
      </c>
      <c r="T96" s="110"/>
      <c r="U96" s="94" t="s">
        <v>1636</v>
      </c>
      <c r="V96" s="107"/>
      <c r="W96" s="117">
        <v>7600382</v>
      </c>
      <c r="X96" s="115" t="s">
        <v>1636</v>
      </c>
      <c r="Y96" s="98" t="s">
        <v>2080</v>
      </c>
      <c r="Z96" s="124" t="s">
        <v>1784</v>
      </c>
      <c r="AA96" s="125" t="s">
        <v>1634</v>
      </c>
      <c r="AB96" s="155"/>
      <c r="AG96" s="88" t="s">
        <v>1778</v>
      </c>
      <c r="AH96" s="88" t="s">
        <v>1779</v>
      </c>
    </row>
    <row r="97" spans="2:34" ht="17.45" customHeight="1">
      <c r="B97" s="96" t="e">
        <f t="shared" si="2"/>
        <v>#REF!</v>
      </c>
      <c r="C97" s="112">
        <v>36443</v>
      </c>
      <c r="D97" s="98" t="s">
        <v>2077</v>
      </c>
      <c r="E97" s="98">
        <v>7601235</v>
      </c>
      <c r="F97" s="153" t="s">
        <v>2068</v>
      </c>
      <c r="G97" s="101" t="s">
        <v>335</v>
      </c>
      <c r="H97" s="154" t="s">
        <v>2074</v>
      </c>
      <c r="I97" s="98" t="s">
        <v>2077</v>
      </c>
      <c r="J97" s="126">
        <v>2</v>
      </c>
      <c r="K97" s="124" t="s">
        <v>1784</v>
      </c>
      <c r="L97" s="124">
        <v>2</v>
      </c>
      <c r="M97" s="125" t="s">
        <v>1634</v>
      </c>
      <c r="N97" s="106" t="str">
        <f t="shared" si="3"/>
        <v>22</v>
      </c>
      <c r="O97" s="107"/>
      <c r="P97" s="114" t="s">
        <v>2070</v>
      </c>
      <c r="Q97" s="107"/>
      <c r="R97" s="115" t="s">
        <v>1636</v>
      </c>
      <c r="S97" s="92" t="s">
        <v>1578</v>
      </c>
      <c r="T97" s="110"/>
      <c r="U97" s="94" t="s">
        <v>1636</v>
      </c>
      <c r="V97" s="107"/>
      <c r="W97" s="117">
        <v>7600382</v>
      </c>
      <c r="X97" s="115" t="s">
        <v>1636</v>
      </c>
      <c r="Y97" s="98" t="s">
        <v>2077</v>
      </c>
      <c r="Z97" s="124" t="s">
        <v>1784</v>
      </c>
      <c r="AA97" s="125" t="s">
        <v>1634</v>
      </c>
      <c r="AB97" s="155"/>
      <c r="AG97" s="88" t="s">
        <v>1778</v>
      </c>
      <c r="AH97" s="88" t="s">
        <v>1779</v>
      </c>
    </row>
    <row r="98" spans="2:34" ht="17.45" customHeight="1">
      <c r="B98" s="96" t="e">
        <f t="shared" si="2"/>
        <v>#REF!</v>
      </c>
      <c r="C98" s="112">
        <v>38818</v>
      </c>
      <c r="D98" s="98" t="s">
        <v>2076</v>
      </c>
      <c r="E98" s="98">
        <v>7601112</v>
      </c>
      <c r="F98" s="224" t="s">
        <v>2068</v>
      </c>
      <c r="G98" s="101" t="s">
        <v>339</v>
      </c>
      <c r="H98" s="154" t="s">
        <v>2074</v>
      </c>
      <c r="I98" s="98" t="s">
        <v>2076</v>
      </c>
      <c r="J98" s="126">
        <v>2</v>
      </c>
      <c r="K98" s="124" t="s">
        <v>1784</v>
      </c>
      <c r="L98" s="124">
        <v>2</v>
      </c>
      <c r="M98" s="125" t="s">
        <v>1634</v>
      </c>
      <c r="N98" s="106" t="str">
        <f t="shared" si="3"/>
        <v>22</v>
      </c>
      <c r="O98" s="107"/>
      <c r="P98" s="114" t="s">
        <v>2070</v>
      </c>
      <c r="Q98" s="107"/>
      <c r="R98" s="115" t="s">
        <v>1636</v>
      </c>
      <c r="S98" s="92" t="s">
        <v>1578</v>
      </c>
      <c r="T98" s="110"/>
      <c r="U98" s="94" t="s">
        <v>1636</v>
      </c>
      <c r="V98" s="107"/>
      <c r="W98" s="117">
        <v>7600382</v>
      </c>
      <c r="X98" s="115" t="s">
        <v>1636</v>
      </c>
      <c r="Y98" s="98" t="s">
        <v>2076</v>
      </c>
      <c r="Z98" s="124" t="s">
        <v>1784</v>
      </c>
      <c r="AA98" s="125" t="s">
        <v>1634</v>
      </c>
      <c r="AB98" s="155"/>
      <c r="AG98" s="88" t="s">
        <v>1778</v>
      </c>
      <c r="AH98" s="88" t="s">
        <v>1779</v>
      </c>
    </row>
    <row r="99" spans="2:34" s="88" customFormat="1" ht="17.45" customHeight="1">
      <c r="B99" s="96" t="e">
        <f t="shared" si="2"/>
        <v>#REF!</v>
      </c>
      <c r="C99" s="112">
        <v>42720</v>
      </c>
      <c r="D99" s="98" t="s">
        <v>2073</v>
      </c>
      <c r="E99" s="98">
        <v>7600550</v>
      </c>
      <c r="F99" s="113" t="s">
        <v>2068</v>
      </c>
      <c r="G99" s="100" t="s">
        <v>342</v>
      </c>
      <c r="H99" s="101" t="s">
        <v>2074</v>
      </c>
      <c r="I99" s="98" t="s">
        <v>2073</v>
      </c>
      <c r="J99" s="102">
        <v>2</v>
      </c>
      <c r="K99" s="103" t="s">
        <v>1784</v>
      </c>
      <c r="L99" s="124">
        <v>2</v>
      </c>
      <c r="M99" s="125" t="s">
        <v>1634</v>
      </c>
      <c r="N99" s="106" t="str">
        <f t="shared" si="3"/>
        <v>22</v>
      </c>
      <c r="O99" s="107"/>
      <c r="P99" s="114" t="s">
        <v>2070</v>
      </c>
      <c r="Q99" s="107"/>
      <c r="R99" s="115" t="s">
        <v>1636</v>
      </c>
      <c r="S99" s="92" t="s">
        <v>1578</v>
      </c>
      <c r="T99" s="110"/>
      <c r="U99" s="94" t="s">
        <v>1636</v>
      </c>
      <c r="V99" s="107"/>
      <c r="W99" s="117">
        <v>7600382</v>
      </c>
      <c r="X99" s="115" t="s">
        <v>1636</v>
      </c>
      <c r="Y99" s="98" t="s">
        <v>2073</v>
      </c>
      <c r="Z99" s="103" t="s">
        <v>1784</v>
      </c>
      <c r="AA99" s="125" t="s">
        <v>1634</v>
      </c>
      <c r="AB99" s="155"/>
      <c r="AC99" s="129"/>
      <c r="AD99" s="74"/>
      <c r="AE99" s="74"/>
      <c r="AF99" s="74"/>
      <c r="AG99" s="88" t="s">
        <v>1778</v>
      </c>
      <c r="AH99" s="88" t="s">
        <v>1779</v>
      </c>
    </row>
    <row r="100" spans="2:34" ht="17.45" customHeight="1">
      <c r="B100" s="96" t="e">
        <f t="shared" si="2"/>
        <v>#REF!</v>
      </c>
      <c r="C100" s="112">
        <v>40889</v>
      </c>
      <c r="D100" s="98" t="s">
        <v>2075</v>
      </c>
      <c r="E100" s="98">
        <v>7600610</v>
      </c>
      <c r="F100" s="113" t="s">
        <v>2068</v>
      </c>
      <c r="G100" s="100" t="s">
        <v>345</v>
      </c>
      <c r="H100" s="101" t="s">
        <v>2074</v>
      </c>
      <c r="I100" s="98" t="s">
        <v>2075</v>
      </c>
      <c r="J100" s="102">
        <v>2</v>
      </c>
      <c r="K100" s="103" t="s">
        <v>1784</v>
      </c>
      <c r="L100" s="124">
        <v>2</v>
      </c>
      <c r="M100" s="125" t="s">
        <v>1634</v>
      </c>
      <c r="N100" s="106" t="str">
        <f t="shared" si="3"/>
        <v>22</v>
      </c>
      <c r="O100" s="107"/>
      <c r="P100" s="114" t="s">
        <v>2070</v>
      </c>
      <c r="Q100" s="107"/>
      <c r="R100" s="115" t="s">
        <v>1636</v>
      </c>
      <c r="S100" s="92" t="s">
        <v>1578</v>
      </c>
      <c r="T100" s="110"/>
      <c r="U100" s="94" t="s">
        <v>1636</v>
      </c>
      <c r="V100" s="107"/>
      <c r="W100" s="117">
        <v>7600382</v>
      </c>
      <c r="X100" s="115" t="s">
        <v>1636</v>
      </c>
      <c r="Y100" s="98" t="s">
        <v>2075</v>
      </c>
      <c r="Z100" s="103" t="s">
        <v>1784</v>
      </c>
      <c r="AA100" s="125" t="s">
        <v>1634</v>
      </c>
      <c r="AB100" s="155"/>
      <c r="AC100" s="88"/>
      <c r="AD100" s="88"/>
      <c r="AE100" s="88"/>
      <c r="AF100" s="88"/>
      <c r="AG100" s="88" t="s">
        <v>1778</v>
      </c>
      <c r="AH100" s="88" t="s">
        <v>1779</v>
      </c>
    </row>
    <row r="101" spans="2:34" ht="17.45" customHeight="1">
      <c r="B101" s="96" t="e">
        <f t="shared" si="2"/>
        <v>#REF!</v>
      </c>
      <c r="C101" s="112">
        <v>38786</v>
      </c>
      <c r="D101" s="98" t="s">
        <v>2070</v>
      </c>
      <c r="E101" s="98">
        <v>7600382</v>
      </c>
      <c r="F101" s="113" t="s">
        <v>2068</v>
      </c>
      <c r="G101" s="100" t="s">
        <v>348</v>
      </c>
      <c r="H101" s="101" t="s">
        <v>2074</v>
      </c>
      <c r="I101" s="98" t="s">
        <v>2070</v>
      </c>
      <c r="J101" s="126">
        <v>2</v>
      </c>
      <c r="K101" s="124" t="s">
        <v>1784</v>
      </c>
      <c r="L101" s="124">
        <v>2</v>
      </c>
      <c r="M101" s="125" t="s">
        <v>1634</v>
      </c>
      <c r="N101" s="106" t="str">
        <f t="shared" si="3"/>
        <v>22</v>
      </c>
      <c r="O101" s="107"/>
      <c r="P101" s="114" t="s">
        <v>2070</v>
      </c>
      <c r="Q101" s="107"/>
      <c r="R101" s="115" t="s">
        <v>1636</v>
      </c>
      <c r="S101" s="92" t="s">
        <v>1578</v>
      </c>
      <c r="T101" s="110"/>
      <c r="U101" s="94" t="s">
        <v>1636</v>
      </c>
      <c r="V101" s="107"/>
      <c r="W101" s="117">
        <v>7600382</v>
      </c>
      <c r="X101" s="115" t="s">
        <v>1636</v>
      </c>
      <c r="Y101" s="98" t="s">
        <v>2070</v>
      </c>
      <c r="Z101" s="124" t="s">
        <v>1784</v>
      </c>
      <c r="AA101" s="125" t="s">
        <v>1634</v>
      </c>
      <c r="AB101" s="155"/>
      <c r="AG101" s="88" t="s">
        <v>1778</v>
      </c>
      <c r="AH101" s="88" t="s">
        <v>1779</v>
      </c>
    </row>
    <row r="102" spans="2:34" ht="17.45" customHeight="1">
      <c r="B102" s="96" t="e">
        <f t="shared" si="2"/>
        <v>#REF!</v>
      </c>
      <c r="C102" s="112">
        <v>38881</v>
      </c>
      <c r="D102" s="98" t="s">
        <v>2255</v>
      </c>
      <c r="E102" s="98">
        <v>7600446</v>
      </c>
      <c r="F102" s="113" t="s">
        <v>2253</v>
      </c>
      <c r="G102" s="100" t="s">
        <v>352</v>
      </c>
      <c r="H102" s="101" t="s">
        <v>2256</v>
      </c>
      <c r="I102" s="98" t="s">
        <v>2255</v>
      </c>
      <c r="J102" s="126">
        <v>2</v>
      </c>
      <c r="K102" s="124" t="s">
        <v>1784</v>
      </c>
      <c r="L102" s="124">
        <v>2</v>
      </c>
      <c r="M102" s="125" t="s">
        <v>1634</v>
      </c>
      <c r="N102" s="106" t="str">
        <f t="shared" si="3"/>
        <v>22</v>
      </c>
      <c r="O102" s="107"/>
      <c r="P102" s="114" t="s">
        <v>2254</v>
      </c>
      <c r="Q102" s="107"/>
      <c r="R102" s="115" t="s">
        <v>1637</v>
      </c>
      <c r="S102" s="92" t="s">
        <v>1578</v>
      </c>
      <c r="T102" s="110"/>
      <c r="U102" s="94" t="s">
        <v>1637</v>
      </c>
      <c r="V102" s="107"/>
      <c r="W102" s="117">
        <v>7600440</v>
      </c>
      <c r="X102" s="115" t="s">
        <v>1637</v>
      </c>
      <c r="Y102" s="98" t="s">
        <v>2255</v>
      </c>
      <c r="Z102" s="124" t="s">
        <v>1784</v>
      </c>
      <c r="AA102" s="125" t="s">
        <v>1634</v>
      </c>
      <c r="AB102" s="155"/>
      <c r="AG102" s="88" t="s">
        <v>1778</v>
      </c>
      <c r="AH102" s="88" t="s">
        <v>1779</v>
      </c>
    </row>
    <row r="103" spans="2:34" ht="17.45" customHeight="1">
      <c r="B103" s="96" t="e">
        <f t="shared" si="2"/>
        <v>#REF!</v>
      </c>
      <c r="C103" s="112">
        <v>41272</v>
      </c>
      <c r="D103" s="98" t="s">
        <v>2258</v>
      </c>
      <c r="E103" s="98">
        <v>7600691</v>
      </c>
      <c r="F103" s="113" t="s">
        <v>2253</v>
      </c>
      <c r="G103" s="100" t="s">
        <v>359</v>
      </c>
      <c r="H103" s="101" t="s">
        <v>2256</v>
      </c>
      <c r="I103" s="98" t="s">
        <v>2258</v>
      </c>
      <c r="J103" s="126">
        <v>2</v>
      </c>
      <c r="K103" s="124" t="s">
        <v>1784</v>
      </c>
      <c r="L103" s="124">
        <v>2</v>
      </c>
      <c r="M103" s="125" t="s">
        <v>1634</v>
      </c>
      <c r="N103" s="106" t="str">
        <f t="shared" si="3"/>
        <v>22</v>
      </c>
      <c r="O103" s="107"/>
      <c r="P103" s="114" t="s">
        <v>2254</v>
      </c>
      <c r="Q103" s="107"/>
      <c r="R103" s="115" t="s">
        <v>1637</v>
      </c>
      <c r="S103" s="92" t="s">
        <v>1578</v>
      </c>
      <c r="T103" s="110"/>
      <c r="U103" s="94" t="s">
        <v>1637</v>
      </c>
      <c r="V103" s="107"/>
      <c r="W103" s="117">
        <v>7600440</v>
      </c>
      <c r="X103" s="115" t="s">
        <v>1637</v>
      </c>
      <c r="Y103" s="98" t="s">
        <v>2258</v>
      </c>
      <c r="Z103" s="124" t="s">
        <v>1784</v>
      </c>
      <c r="AA103" s="125" t="s">
        <v>1634</v>
      </c>
      <c r="AB103" s="155"/>
      <c r="AG103" s="88" t="s">
        <v>1778</v>
      </c>
      <c r="AH103" s="88" t="s">
        <v>1779</v>
      </c>
    </row>
    <row r="104" spans="2:34" ht="17.45" customHeight="1">
      <c r="B104" s="96" t="e">
        <f t="shared" si="2"/>
        <v>#REF!</v>
      </c>
      <c r="C104" s="112">
        <v>38792</v>
      </c>
      <c r="D104" s="98" t="s">
        <v>2254</v>
      </c>
      <c r="E104" s="98">
        <v>7600440</v>
      </c>
      <c r="F104" s="113" t="s">
        <v>2253</v>
      </c>
      <c r="G104" s="100" t="s">
        <v>363</v>
      </c>
      <c r="H104" s="101" t="s">
        <v>2256</v>
      </c>
      <c r="I104" s="98" t="s">
        <v>2254</v>
      </c>
      <c r="J104" s="126">
        <v>2</v>
      </c>
      <c r="K104" s="124" t="s">
        <v>1784</v>
      </c>
      <c r="L104" s="124">
        <v>2</v>
      </c>
      <c r="M104" s="125" t="s">
        <v>1634</v>
      </c>
      <c r="N104" s="106" t="str">
        <f t="shared" si="3"/>
        <v>22</v>
      </c>
      <c r="O104" s="107"/>
      <c r="P104" s="114" t="s">
        <v>2254</v>
      </c>
      <c r="Q104" s="107"/>
      <c r="R104" s="115" t="s">
        <v>1637</v>
      </c>
      <c r="S104" s="92" t="s">
        <v>1578</v>
      </c>
      <c r="T104" s="110"/>
      <c r="U104" s="94" t="s">
        <v>1637</v>
      </c>
      <c r="V104" s="107"/>
      <c r="W104" s="117">
        <v>7600440</v>
      </c>
      <c r="X104" s="115" t="s">
        <v>1637</v>
      </c>
      <c r="Y104" s="98" t="s">
        <v>2254</v>
      </c>
      <c r="Z104" s="124" t="s">
        <v>1784</v>
      </c>
      <c r="AA104" s="125" t="s">
        <v>1634</v>
      </c>
      <c r="AB104" s="155"/>
      <c r="AG104" s="88" t="s">
        <v>1778</v>
      </c>
      <c r="AH104" s="88" t="s">
        <v>1779</v>
      </c>
    </row>
    <row r="105" spans="2:34" ht="17.45" customHeight="1">
      <c r="B105" s="96" t="e">
        <f t="shared" si="2"/>
        <v>#REF!</v>
      </c>
      <c r="C105" s="112">
        <v>40827</v>
      </c>
      <c r="D105" s="98" t="s">
        <v>2257</v>
      </c>
      <c r="E105" s="98">
        <v>7600598</v>
      </c>
      <c r="F105" s="113" t="s">
        <v>2253</v>
      </c>
      <c r="G105" s="100" t="s">
        <v>367</v>
      </c>
      <c r="H105" s="101" t="s">
        <v>2256</v>
      </c>
      <c r="I105" s="98" t="s">
        <v>2257</v>
      </c>
      <c r="J105" s="126">
        <v>2</v>
      </c>
      <c r="K105" s="124" t="s">
        <v>1784</v>
      </c>
      <c r="L105" s="124">
        <v>2</v>
      </c>
      <c r="M105" s="125" t="s">
        <v>1634</v>
      </c>
      <c r="N105" s="106" t="str">
        <f t="shared" si="3"/>
        <v>22</v>
      </c>
      <c r="O105" s="107"/>
      <c r="P105" s="114" t="s">
        <v>2254</v>
      </c>
      <c r="Q105" s="107"/>
      <c r="R105" s="115" t="s">
        <v>1637</v>
      </c>
      <c r="S105" s="92" t="s">
        <v>1578</v>
      </c>
      <c r="T105" s="110"/>
      <c r="U105" s="94" t="s">
        <v>1637</v>
      </c>
      <c r="V105" s="107"/>
      <c r="W105" s="117">
        <v>7600440</v>
      </c>
      <c r="X105" s="115" t="s">
        <v>1637</v>
      </c>
      <c r="Y105" s="98" t="s">
        <v>2257</v>
      </c>
      <c r="Z105" s="124" t="s">
        <v>1784</v>
      </c>
      <c r="AA105" s="125" t="s">
        <v>1634</v>
      </c>
      <c r="AB105" s="155"/>
      <c r="AG105" s="88" t="s">
        <v>1778</v>
      </c>
      <c r="AH105" s="88" t="s">
        <v>1779</v>
      </c>
    </row>
    <row r="106" spans="2:34" ht="17.45" customHeight="1">
      <c r="B106" s="96" t="e">
        <f>#REF!+1</f>
        <v>#REF!</v>
      </c>
      <c r="C106" s="112">
        <v>40046</v>
      </c>
      <c r="D106" s="98" t="s">
        <v>1832</v>
      </c>
      <c r="E106" s="98">
        <v>7600824</v>
      </c>
      <c r="F106" s="113" t="s">
        <v>1831</v>
      </c>
      <c r="G106" s="100" t="s">
        <v>475</v>
      </c>
      <c r="H106" s="101" t="s">
        <v>1843</v>
      </c>
      <c r="I106" s="98" t="s">
        <v>1832</v>
      </c>
      <c r="J106" s="126">
        <v>2</v>
      </c>
      <c r="K106" s="124" t="s">
        <v>1784</v>
      </c>
      <c r="L106" s="124">
        <v>3</v>
      </c>
      <c r="M106" s="125" t="s">
        <v>1638</v>
      </c>
      <c r="N106" s="106" t="str">
        <f t="shared" si="3"/>
        <v>23</v>
      </c>
      <c r="O106" s="107"/>
      <c r="P106" s="114" t="s">
        <v>1832</v>
      </c>
      <c r="Q106" s="107"/>
      <c r="R106" s="115" t="s">
        <v>1641</v>
      </c>
      <c r="S106" s="92" t="s">
        <v>1579</v>
      </c>
      <c r="T106" s="110"/>
      <c r="U106" s="94" t="s">
        <v>1641</v>
      </c>
      <c r="V106" s="107"/>
      <c r="W106" s="117">
        <v>7600824</v>
      </c>
      <c r="X106" s="115" t="s">
        <v>1641</v>
      </c>
      <c r="Y106" s="98" t="s">
        <v>1832</v>
      </c>
      <c r="Z106" s="124" t="s">
        <v>1784</v>
      </c>
      <c r="AA106" s="125" t="s">
        <v>1638</v>
      </c>
      <c r="AB106" s="110" t="s">
        <v>1653</v>
      </c>
      <c r="AG106" s="88" t="s">
        <v>1778</v>
      </c>
      <c r="AH106" s="88" t="s">
        <v>1779</v>
      </c>
    </row>
    <row r="107" spans="2:34" ht="17.45" customHeight="1">
      <c r="B107" s="96" t="e">
        <f t="shared" si="2"/>
        <v>#REF!</v>
      </c>
      <c r="C107" s="112">
        <v>40803</v>
      </c>
      <c r="D107" s="98" t="s">
        <v>1936</v>
      </c>
      <c r="E107" s="98">
        <v>7600604</v>
      </c>
      <c r="F107" s="113" t="s">
        <v>1934</v>
      </c>
      <c r="G107" s="100" t="s">
        <v>530</v>
      </c>
      <c r="H107" s="101" t="s">
        <v>1941</v>
      </c>
      <c r="I107" s="98" t="s">
        <v>1936</v>
      </c>
      <c r="J107" s="102">
        <v>2</v>
      </c>
      <c r="K107" s="103" t="s">
        <v>1784</v>
      </c>
      <c r="L107" s="124">
        <v>3</v>
      </c>
      <c r="M107" s="125" t="s">
        <v>1638</v>
      </c>
      <c r="N107" s="106" t="str">
        <f t="shared" si="3"/>
        <v>23</v>
      </c>
      <c r="O107" s="107"/>
      <c r="P107" s="114" t="s">
        <v>1935</v>
      </c>
      <c r="Q107" s="107"/>
      <c r="R107" s="115" t="s">
        <v>1639</v>
      </c>
      <c r="S107" s="92" t="s">
        <v>1579</v>
      </c>
      <c r="T107" s="110"/>
      <c r="U107" s="94" t="s">
        <v>1639</v>
      </c>
      <c r="V107" s="107"/>
      <c r="W107" s="117">
        <v>7600108</v>
      </c>
      <c r="X107" s="115" t="s">
        <v>1639</v>
      </c>
      <c r="Y107" s="98" t="s">
        <v>1936</v>
      </c>
      <c r="Z107" s="103" t="s">
        <v>1784</v>
      </c>
      <c r="AA107" s="125" t="s">
        <v>1638</v>
      </c>
      <c r="AB107" s="110" t="s">
        <v>1647</v>
      </c>
      <c r="AG107" s="88" t="s">
        <v>1778</v>
      </c>
      <c r="AH107" s="88" t="s">
        <v>1779</v>
      </c>
    </row>
    <row r="108" spans="2:34" ht="17.45" customHeight="1">
      <c r="B108" s="96" t="e">
        <f t="shared" si="2"/>
        <v>#REF!</v>
      </c>
      <c r="C108" s="112">
        <v>36336</v>
      </c>
      <c r="D108" s="98" t="s">
        <v>1935</v>
      </c>
      <c r="E108" s="98">
        <v>7600108</v>
      </c>
      <c r="F108" s="113" t="s">
        <v>1934</v>
      </c>
      <c r="G108" s="100" t="s">
        <v>535</v>
      </c>
      <c r="H108" s="101" t="s">
        <v>1941</v>
      </c>
      <c r="I108" s="98" t="s">
        <v>1935</v>
      </c>
      <c r="J108" s="102">
        <v>2</v>
      </c>
      <c r="K108" s="103" t="s">
        <v>1784</v>
      </c>
      <c r="L108" s="124">
        <v>3</v>
      </c>
      <c r="M108" s="125" t="s">
        <v>1638</v>
      </c>
      <c r="N108" s="106" t="str">
        <f t="shared" si="3"/>
        <v>23</v>
      </c>
      <c r="O108" s="107"/>
      <c r="P108" s="114" t="s">
        <v>1935</v>
      </c>
      <c r="Q108" s="107"/>
      <c r="R108" s="115" t="s">
        <v>1639</v>
      </c>
      <c r="S108" s="92" t="s">
        <v>1579</v>
      </c>
      <c r="T108" s="110"/>
      <c r="U108" s="94" t="s">
        <v>1639</v>
      </c>
      <c r="V108" s="107"/>
      <c r="W108" s="117">
        <v>7600108</v>
      </c>
      <c r="X108" s="115" t="s">
        <v>1639</v>
      </c>
      <c r="Y108" s="98" t="s">
        <v>1935</v>
      </c>
      <c r="Z108" s="103" t="s">
        <v>1784</v>
      </c>
      <c r="AA108" s="125" t="s">
        <v>1638</v>
      </c>
      <c r="AB108" s="110" t="s">
        <v>1645</v>
      </c>
      <c r="AG108" s="88" t="s">
        <v>1778</v>
      </c>
      <c r="AH108" s="88" t="s">
        <v>1779</v>
      </c>
    </row>
    <row r="109" spans="2:34" ht="17.45" customHeight="1">
      <c r="B109" s="96" t="e">
        <f t="shared" si="2"/>
        <v>#REF!</v>
      </c>
      <c r="C109" s="112">
        <v>45077</v>
      </c>
      <c r="D109" s="98" t="s">
        <v>2214</v>
      </c>
      <c r="E109" s="98">
        <v>7601219</v>
      </c>
      <c r="F109" s="113" t="s">
        <v>2211</v>
      </c>
      <c r="G109" s="101" t="s">
        <v>2213</v>
      </c>
      <c r="H109" s="101" t="s">
        <v>2209</v>
      </c>
      <c r="I109" s="98" t="s">
        <v>2214</v>
      </c>
      <c r="J109" s="126">
        <v>2</v>
      </c>
      <c r="K109" s="124" t="s">
        <v>1784</v>
      </c>
      <c r="L109" s="124">
        <v>3</v>
      </c>
      <c r="M109" s="125" t="s">
        <v>1638</v>
      </c>
      <c r="N109" s="106" t="str">
        <f t="shared" si="3"/>
        <v>23</v>
      </c>
      <c r="O109" s="107"/>
      <c r="P109" s="114" t="s">
        <v>2212</v>
      </c>
      <c r="Q109" s="107"/>
      <c r="R109" s="115" t="s">
        <v>1643</v>
      </c>
      <c r="S109" s="92" t="s">
        <v>1579</v>
      </c>
      <c r="T109" s="110"/>
      <c r="U109" s="94" t="s">
        <v>1643</v>
      </c>
      <c r="V109" s="107"/>
      <c r="W109" s="117">
        <v>7600932</v>
      </c>
      <c r="X109" s="115" t="s">
        <v>1643</v>
      </c>
      <c r="Y109" s="98" t="s">
        <v>2214</v>
      </c>
      <c r="Z109" s="124" t="s">
        <v>1784</v>
      </c>
      <c r="AA109" s="125" t="s">
        <v>1638</v>
      </c>
      <c r="AB109" s="155"/>
      <c r="AG109" s="88" t="s">
        <v>1778</v>
      </c>
      <c r="AH109" s="88" t="s">
        <v>1779</v>
      </c>
    </row>
    <row r="110" spans="2:34" ht="17.45" customHeight="1">
      <c r="B110" s="96" t="e">
        <f t="shared" si="2"/>
        <v>#REF!</v>
      </c>
      <c r="C110" s="112">
        <v>44356</v>
      </c>
      <c r="D110" s="98" t="s">
        <v>2216</v>
      </c>
      <c r="E110" s="98">
        <v>7601151</v>
      </c>
      <c r="F110" s="113" t="s">
        <v>2211</v>
      </c>
      <c r="G110" s="100" t="s">
        <v>487</v>
      </c>
      <c r="H110" s="101" t="s">
        <v>2209</v>
      </c>
      <c r="I110" s="98" t="s">
        <v>2216</v>
      </c>
      <c r="J110" s="126">
        <v>2</v>
      </c>
      <c r="K110" s="124" t="s">
        <v>1784</v>
      </c>
      <c r="L110" s="124">
        <v>3</v>
      </c>
      <c r="M110" s="125" t="s">
        <v>1638</v>
      </c>
      <c r="N110" s="106" t="str">
        <f t="shared" si="3"/>
        <v>23</v>
      </c>
      <c r="O110" s="107"/>
      <c r="P110" s="114" t="s">
        <v>2212</v>
      </c>
      <c r="Q110" s="107"/>
      <c r="R110" s="115" t="s">
        <v>1643</v>
      </c>
      <c r="S110" s="92" t="s">
        <v>1579</v>
      </c>
      <c r="T110" s="110"/>
      <c r="U110" s="94" t="s">
        <v>1643</v>
      </c>
      <c r="V110" s="107"/>
      <c r="W110" s="117">
        <v>7600932</v>
      </c>
      <c r="X110" s="115" t="s">
        <v>1643</v>
      </c>
      <c r="Y110" s="98" t="s">
        <v>2216</v>
      </c>
      <c r="Z110" s="124" t="s">
        <v>1784</v>
      </c>
      <c r="AA110" s="125" t="s">
        <v>1638</v>
      </c>
      <c r="AB110" s="155"/>
      <c r="AG110" s="88" t="s">
        <v>1778</v>
      </c>
      <c r="AH110" s="88" t="s">
        <v>1779</v>
      </c>
    </row>
    <row r="111" spans="2:34" ht="17.45" customHeight="1">
      <c r="B111" s="96" t="e">
        <f t="shared" si="2"/>
        <v>#REF!</v>
      </c>
      <c r="C111" s="112">
        <v>42887</v>
      </c>
      <c r="D111" s="98" t="s">
        <v>2212</v>
      </c>
      <c r="E111" s="98">
        <v>7600932</v>
      </c>
      <c r="F111" s="113" t="s">
        <v>2211</v>
      </c>
      <c r="G111" s="100" t="s">
        <v>494</v>
      </c>
      <c r="H111" s="101" t="s">
        <v>2209</v>
      </c>
      <c r="I111" s="98" t="s">
        <v>2212</v>
      </c>
      <c r="J111" s="126">
        <v>2</v>
      </c>
      <c r="K111" s="124" t="s">
        <v>1784</v>
      </c>
      <c r="L111" s="124">
        <v>3</v>
      </c>
      <c r="M111" s="125" t="s">
        <v>1638</v>
      </c>
      <c r="N111" s="106" t="str">
        <f t="shared" si="3"/>
        <v>23</v>
      </c>
      <c r="O111" s="107"/>
      <c r="P111" s="114" t="s">
        <v>2212</v>
      </c>
      <c r="Q111" s="107"/>
      <c r="R111" s="115" t="s">
        <v>1643</v>
      </c>
      <c r="S111" s="92" t="s">
        <v>1579</v>
      </c>
      <c r="T111" s="110"/>
      <c r="U111" s="94" t="s">
        <v>1643</v>
      </c>
      <c r="V111" s="107"/>
      <c r="W111" s="117">
        <v>7600932</v>
      </c>
      <c r="X111" s="115" t="s">
        <v>1643</v>
      </c>
      <c r="Y111" s="98" t="s">
        <v>2212</v>
      </c>
      <c r="Z111" s="124" t="s">
        <v>1784</v>
      </c>
      <c r="AA111" s="125" t="s">
        <v>1638</v>
      </c>
      <c r="AB111" s="155"/>
      <c r="AG111" s="88" t="s">
        <v>1778</v>
      </c>
      <c r="AH111" s="88" t="s">
        <v>1779</v>
      </c>
    </row>
    <row r="112" spans="2:34" ht="17.45" customHeight="1">
      <c r="B112" s="96" t="e">
        <f t="shared" si="2"/>
        <v>#REF!</v>
      </c>
      <c r="C112" s="112">
        <v>43787</v>
      </c>
      <c r="D112" s="98" t="s">
        <v>2242</v>
      </c>
      <c r="E112" s="98">
        <v>7601087</v>
      </c>
      <c r="F112" s="153" t="s">
        <v>2241</v>
      </c>
      <c r="G112" s="101" t="s">
        <v>538</v>
      </c>
      <c r="H112" s="154" t="s">
        <v>2069</v>
      </c>
      <c r="I112" s="98" t="s">
        <v>2242</v>
      </c>
      <c r="J112" s="126">
        <v>2</v>
      </c>
      <c r="K112" s="124" t="s">
        <v>1784</v>
      </c>
      <c r="L112" s="124">
        <v>4</v>
      </c>
      <c r="M112" s="125" t="s">
        <v>1644</v>
      </c>
      <c r="N112" s="106" t="str">
        <f t="shared" si="3"/>
        <v>24</v>
      </c>
      <c r="O112" s="107"/>
      <c r="P112" s="117" t="s">
        <v>2242</v>
      </c>
      <c r="Q112" s="107"/>
      <c r="R112" s="115" t="s">
        <v>1647</v>
      </c>
      <c r="S112" s="92" t="s">
        <v>1580</v>
      </c>
      <c r="T112" s="110"/>
      <c r="U112" s="94" t="s">
        <v>1647</v>
      </c>
      <c r="V112" s="163"/>
      <c r="W112" s="117">
        <v>7601087</v>
      </c>
      <c r="X112" s="115" t="s">
        <v>1647</v>
      </c>
      <c r="Y112" s="98" t="s">
        <v>2242</v>
      </c>
      <c r="Z112" s="124" t="s">
        <v>1784</v>
      </c>
      <c r="AA112" s="125" t="s">
        <v>1644</v>
      </c>
      <c r="AB112" s="155"/>
      <c r="AG112" s="88" t="s">
        <v>1778</v>
      </c>
      <c r="AH112" s="88" t="s">
        <v>1779</v>
      </c>
    </row>
    <row r="113" spans="1:54" ht="17.45" customHeight="1">
      <c r="B113" s="96" t="e">
        <f t="shared" si="2"/>
        <v>#REF!</v>
      </c>
      <c r="C113" s="112">
        <v>44197</v>
      </c>
      <c r="D113" s="98" t="s">
        <v>2240</v>
      </c>
      <c r="E113" s="98">
        <v>7601141</v>
      </c>
      <c r="F113" s="113" t="s">
        <v>2238</v>
      </c>
      <c r="G113" s="100" t="s">
        <v>549</v>
      </c>
      <c r="H113" s="101" t="s">
        <v>2231</v>
      </c>
      <c r="I113" s="98" t="s">
        <v>2240</v>
      </c>
      <c r="J113" s="126">
        <v>2</v>
      </c>
      <c r="K113" s="124" t="s">
        <v>1784</v>
      </c>
      <c r="L113" s="124">
        <v>4</v>
      </c>
      <c r="M113" s="125" t="s">
        <v>1644</v>
      </c>
      <c r="N113" s="106" t="str">
        <f t="shared" si="3"/>
        <v>24</v>
      </c>
      <c r="O113" s="107"/>
      <c r="P113" s="117" t="s">
        <v>2234</v>
      </c>
      <c r="Q113" s="107"/>
      <c r="R113" s="115" t="s">
        <v>1645</v>
      </c>
      <c r="S113" s="92" t="s">
        <v>1580</v>
      </c>
      <c r="T113" s="110"/>
      <c r="U113" s="94" t="s">
        <v>1645</v>
      </c>
      <c r="V113" s="107"/>
      <c r="W113" s="211">
        <v>7600075</v>
      </c>
      <c r="X113" s="115" t="s">
        <v>1645</v>
      </c>
      <c r="Y113" s="98" t="s">
        <v>2240</v>
      </c>
      <c r="Z113" s="124" t="s">
        <v>1784</v>
      </c>
      <c r="AA113" s="125" t="s">
        <v>1644</v>
      </c>
      <c r="AB113" s="155"/>
      <c r="AG113" s="88" t="s">
        <v>1778</v>
      </c>
      <c r="AH113" s="88" t="s">
        <v>1779</v>
      </c>
    </row>
    <row r="114" spans="1:54" ht="17.45" customHeight="1">
      <c r="B114" s="96" t="e">
        <f t="shared" si="2"/>
        <v>#REF!</v>
      </c>
      <c r="C114" s="112">
        <v>35962</v>
      </c>
      <c r="D114" s="98" t="s">
        <v>2234</v>
      </c>
      <c r="E114" s="98">
        <v>7600075</v>
      </c>
      <c r="F114" s="113" t="s">
        <v>2233</v>
      </c>
      <c r="G114" s="100" t="s">
        <v>556</v>
      </c>
      <c r="H114" s="101" t="s">
        <v>2231</v>
      </c>
      <c r="I114" s="98" t="s">
        <v>2234</v>
      </c>
      <c r="J114" s="126">
        <v>2</v>
      </c>
      <c r="K114" s="124" t="s">
        <v>1784</v>
      </c>
      <c r="L114" s="124">
        <v>4</v>
      </c>
      <c r="M114" s="125" t="s">
        <v>1644</v>
      </c>
      <c r="N114" s="106" t="str">
        <f t="shared" si="3"/>
        <v>24</v>
      </c>
      <c r="O114" s="107"/>
      <c r="P114" s="114" t="s">
        <v>2234</v>
      </c>
      <c r="Q114" s="107"/>
      <c r="R114" s="115" t="s">
        <v>1645</v>
      </c>
      <c r="S114" s="92" t="s">
        <v>1580</v>
      </c>
      <c r="T114" s="110"/>
      <c r="U114" s="94" t="s">
        <v>1645</v>
      </c>
      <c r="V114" s="107"/>
      <c r="W114" s="117">
        <v>7600075</v>
      </c>
      <c r="X114" s="115" t="s">
        <v>1645</v>
      </c>
      <c r="Y114" s="98" t="s">
        <v>2234</v>
      </c>
      <c r="Z114" s="124" t="s">
        <v>1784</v>
      </c>
      <c r="AA114" s="125" t="s">
        <v>1644</v>
      </c>
      <c r="AB114" s="155"/>
      <c r="AG114" s="88" t="s">
        <v>1778</v>
      </c>
      <c r="AH114" s="88" t="s">
        <v>1779</v>
      </c>
    </row>
    <row r="115" spans="1:54" ht="17.45" customHeight="1">
      <c r="B115" s="96" t="e">
        <f t="shared" si="2"/>
        <v>#REF!</v>
      </c>
      <c r="C115" s="112">
        <v>38433</v>
      </c>
      <c r="D115" s="98" t="s">
        <v>2236</v>
      </c>
      <c r="E115" s="98">
        <v>7600383</v>
      </c>
      <c r="F115" s="113" t="s">
        <v>2233</v>
      </c>
      <c r="G115" s="100" t="s">
        <v>559</v>
      </c>
      <c r="H115" s="101" t="s">
        <v>2231</v>
      </c>
      <c r="I115" s="98" t="s">
        <v>2236</v>
      </c>
      <c r="J115" s="126">
        <v>2</v>
      </c>
      <c r="K115" s="124" t="s">
        <v>1784</v>
      </c>
      <c r="L115" s="124">
        <v>4</v>
      </c>
      <c r="M115" s="125" t="s">
        <v>1644</v>
      </c>
      <c r="N115" s="106" t="str">
        <f t="shared" si="3"/>
        <v>24</v>
      </c>
      <c r="O115" s="107"/>
      <c r="P115" s="114" t="s">
        <v>2234</v>
      </c>
      <c r="Q115" s="107"/>
      <c r="R115" s="115" t="s">
        <v>1645</v>
      </c>
      <c r="S115" s="92" t="s">
        <v>1580</v>
      </c>
      <c r="T115" s="110"/>
      <c r="U115" s="94" t="s">
        <v>1645</v>
      </c>
      <c r="V115" s="107"/>
      <c r="W115" s="117">
        <v>7600075</v>
      </c>
      <c r="X115" s="115" t="s">
        <v>1645</v>
      </c>
      <c r="Y115" s="98" t="s">
        <v>2236</v>
      </c>
      <c r="Z115" s="124" t="s">
        <v>1784</v>
      </c>
      <c r="AA115" s="125" t="s">
        <v>1644</v>
      </c>
      <c r="AB115" s="155"/>
      <c r="AG115" s="88" t="s">
        <v>1778</v>
      </c>
      <c r="AH115" s="88" t="s">
        <v>1779</v>
      </c>
    </row>
    <row r="116" spans="1:54" ht="17.45" customHeight="1">
      <c r="B116" s="96" t="e">
        <f t="shared" si="2"/>
        <v>#REF!</v>
      </c>
      <c r="C116" s="112">
        <v>36791</v>
      </c>
      <c r="D116" s="98" t="s">
        <v>2235</v>
      </c>
      <c r="E116" s="98">
        <v>7600156</v>
      </c>
      <c r="F116" s="113" t="s">
        <v>2233</v>
      </c>
      <c r="G116" s="100" t="s">
        <v>562</v>
      </c>
      <c r="H116" s="101" t="s">
        <v>2231</v>
      </c>
      <c r="I116" s="98" t="s">
        <v>2235</v>
      </c>
      <c r="J116" s="126">
        <v>2</v>
      </c>
      <c r="K116" s="124" t="s">
        <v>1784</v>
      </c>
      <c r="L116" s="124">
        <v>4</v>
      </c>
      <c r="M116" s="125" t="s">
        <v>1644</v>
      </c>
      <c r="N116" s="106" t="str">
        <f t="shared" si="3"/>
        <v>24</v>
      </c>
      <c r="O116" s="107"/>
      <c r="P116" s="114" t="s">
        <v>2234</v>
      </c>
      <c r="Q116" s="107"/>
      <c r="R116" s="115" t="s">
        <v>1645</v>
      </c>
      <c r="S116" s="92" t="s">
        <v>1580</v>
      </c>
      <c r="T116" s="110"/>
      <c r="U116" s="94" t="s">
        <v>1645</v>
      </c>
      <c r="V116" s="107"/>
      <c r="W116" s="117">
        <v>7600075</v>
      </c>
      <c r="X116" s="115" t="s">
        <v>1645</v>
      </c>
      <c r="Y116" s="98" t="s">
        <v>2235</v>
      </c>
      <c r="Z116" s="124" t="s">
        <v>1784</v>
      </c>
      <c r="AA116" s="125" t="s">
        <v>1644</v>
      </c>
      <c r="AB116" s="155"/>
      <c r="AG116" s="88" t="s">
        <v>1778</v>
      </c>
      <c r="AH116" s="88" t="s">
        <v>1779</v>
      </c>
    </row>
    <row r="117" spans="1:54" ht="17.45" customHeight="1">
      <c r="B117" s="96" t="e">
        <f t="shared" si="2"/>
        <v>#REF!</v>
      </c>
      <c r="C117" s="112">
        <v>40864</v>
      </c>
      <c r="D117" s="98" t="s">
        <v>2237</v>
      </c>
      <c r="E117" s="98">
        <v>7600608</v>
      </c>
      <c r="F117" s="113" t="s">
        <v>2233</v>
      </c>
      <c r="G117" s="100" t="s">
        <v>565</v>
      </c>
      <c r="H117" s="101" t="s">
        <v>2231</v>
      </c>
      <c r="I117" s="98" t="s">
        <v>2237</v>
      </c>
      <c r="J117" s="126">
        <v>2</v>
      </c>
      <c r="K117" s="124" t="s">
        <v>1784</v>
      </c>
      <c r="L117" s="124">
        <v>4</v>
      </c>
      <c r="M117" s="125" t="s">
        <v>1644</v>
      </c>
      <c r="N117" s="106" t="str">
        <f t="shared" si="3"/>
        <v>24</v>
      </c>
      <c r="O117" s="107"/>
      <c r="P117" s="114" t="s">
        <v>2234</v>
      </c>
      <c r="Q117" s="107"/>
      <c r="R117" s="115" t="s">
        <v>1645</v>
      </c>
      <c r="S117" s="92" t="s">
        <v>1580</v>
      </c>
      <c r="T117" s="110"/>
      <c r="U117" s="94" t="s">
        <v>1645</v>
      </c>
      <c r="V117" s="107"/>
      <c r="W117" s="117">
        <v>7600075</v>
      </c>
      <c r="X117" s="115" t="s">
        <v>1645</v>
      </c>
      <c r="Y117" s="98" t="s">
        <v>2237</v>
      </c>
      <c r="Z117" s="124" t="s">
        <v>1784</v>
      </c>
      <c r="AA117" s="125" t="s">
        <v>1644</v>
      </c>
      <c r="AB117" s="155"/>
      <c r="AG117" s="88" t="s">
        <v>1778</v>
      </c>
      <c r="AH117" s="88" t="s">
        <v>1779</v>
      </c>
    </row>
    <row r="118" spans="1:54" ht="17.45" customHeight="1">
      <c r="B118" s="96" t="e">
        <f t="shared" si="2"/>
        <v>#REF!</v>
      </c>
      <c r="C118" s="148">
        <v>40864</v>
      </c>
      <c r="D118" s="98" t="s">
        <v>1868</v>
      </c>
      <c r="E118" s="118">
        <v>7601123</v>
      </c>
      <c r="F118" s="242" t="s">
        <v>1866</v>
      </c>
      <c r="G118" s="171" t="s">
        <v>394</v>
      </c>
      <c r="H118" s="154" t="s">
        <v>1966</v>
      </c>
      <c r="I118" s="98" t="s">
        <v>1868</v>
      </c>
      <c r="J118" s="126">
        <v>2</v>
      </c>
      <c r="K118" s="124" t="s">
        <v>1784</v>
      </c>
      <c r="L118" s="124">
        <v>5</v>
      </c>
      <c r="M118" s="125" t="s">
        <v>1648</v>
      </c>
      <c r="N118" s="106" t="str">
        <f t="shared" si="3"/>
        <v>25</v>
      </c>
      <c r="O118" s="107"/>
      <c r="P118" s="114" t="s">
        <v>2290</v>
      </c>
      <c r="Q118" s="107"/>
      <c r="R118" s="115" t="s">
        <v>1649</v>
      </c>
      <c r="S118" s="92" t="s">
        <v>1577</v>
      </c>
      <c r="T118" s="110"/>
      <c r="U118" s="94" t="s">
        <v>1649</v>
      </c>
      <c r="V118" s="107"/>
      <c r="W118" s="117">
        <v>7601122</v>
      </c>
      <c r="X118" s="115" t="s">
        <v>1649</v>
      </c>
      <c r="Y118" s="98" t="s">
        <v>1868</v>
      </c>
      <c r="Z118" s="124" t="s">
        <v>1784</v>
      </c>
      <c r="AA118" s="125" t="s">
        <v>1648</v>
      </c>
      <c r="AB118" s="110" t="s">
        <v>1671</v>
      </c>
      <c r="AG118" s="88" t="s">
        <v>1778</v>
      </c>
      <c r="AH118" s="88" t="s">
        <v>1779</v>
      </c>
    </row>
    <row r="119" spans="1:54" ht="17.45" customHeight="1">
      <c r="B119" s="96" t="e">
        <f t="shared" si="2"/>
        <v>#REF!</v>
      </c>
      <c r="C119" s="112">
        <v>43801</v>
      </c>
      <c r="D119" s="98" t="s">
        <v>2142</v>
      </c>
      <c r="E119" s="98">
        <v>7601110</v>
      </c>
      <c r="F119" s="113" t="s">
        <v>2137</v>
      </c>
      <c r="G119" s="100" t="s">
        <v>376</v>
      </c>
      <c r="H119" s="101" t="s">
        <v>2133</v>
      </c>
      <c r="I119" s="98" t="s">
        <v>2142</v>
      </c>
      <c r="J119" s="126">
        <v>2</v>
      </c>
      <c r="K119" s="124" t="s">
        <v>1784</v>
      </c>
      <c r="L119" s="124">
        <v>5</v>
      </c>
      <c r="M119" s="125" t="s">
        <v>1648</v>
      </c>
      <c r="N119" s="106" t="str">
        <f t="shared" si="3"/>
        <v>25</v>
      </c>
      <c r="O119" s="107"/>
      <c r="P119" s="114" t="s">
        <v>2138</v>
      </c>
      <c r="Q119" s="107"/>
      <c r="R119" s="115" t="s">
        <v>1650</v>
      </c>
      <c r="S119" s="92" t="s">
        <v>1577</v>
      </c>
      <c r="T119" s="110"/>
      <c r="U119" s="94" t="s">
        <v>1650</v>
      </c>
      <c r="V119" s="107"/>
      <c r="W119" s="117">
        <v>7600895</v>
      </c>
      <c r="X119" s="115" t="s">
        <v>1650</v>
      </c>
      <c r="Y119" s="98" t="s">
        <v>2142</v>
      </c>
      <c r="Z119" s="124" t="s">
        <v>1784</v>
      </c>
      <c r="AA119" s="125" t="s">
        <v>1648</v>
      </c>
      <c r="AB119" s="155"/>
      <c r="AG119" s="88" t="s">
        <v>1778</v>
      </c>
      <c r="AH119" s="88" t="s">
        <v>1779</v>
      </c>
    </row>
    <row r="120" spans="1:54" ht="17.45" customHeight="1">
      <c r="B120" s="96" t="e">
        <f t="shared" si="2"/>
        <v>#REF!</v>
      </c>
      <c r="C120" s="112">
        <v>40473</v>
      </c>
      <c r="D120" s="98" t="s">
        <v>2138</v>
      </c>
      <c r="E120" s="98">
        <v>7600895</v>
      </c>
      <c r="F120" s="113" t="s">
        <v>2137</v>
      </c>
      <c r="G120" s="100" t="s">
        <v>383</v>
      </c>
      <c r="H120" s="101" t="s">
        <v>2133</v>
      </c>
      <c r="I120" s="98" t="s">
        <v>2138</v>
      </c>
      <c r="J120" s="126">
        <v>2</v>
      </c>
      <c r="K120" s="124" t="s">
        <v>1784</v>
      </c>
      <c r="L120" s="124">
        <v>5</v>
      </c>
      <c r="M120" s="125" t="s">
        <v>1648</v>
      </c>
      <c r="N120" s="106" t="str">
        <f t="shared" si="3"/>
        <v>25</v>
      </c>
      <c r="O120" s="107"/>
      <c r="P120" s="114" t="s">
        <v>2138</v>
      </c>
      <c r="Q120" s="107"/>
      <c r="R120" s="115" t="s">
        <v>1650</v>
      </c>
      <c r="S120" s="92" t="s">
        <v>1577</v>
      </c>
      <c r="T120" s="110"/>
      <c r="U120" s="94" t="s">
        <v>1650</v>
      </c>
      <c r="V120" s="107"/>
      <c r="W120" s="117">
        <v>7600895</v>
      </c>
      <c r="X120" s="115" t="s">
        <v>1650</v>
      </c>
      <c r="Y120" s="98" t="s">
        <v>2138</v>
      </c>
      <c r="Z120" s="124" t="s">
        <v>1784</v>
      </c>
      <c r="AA120" s="125" t="s">
        <v>1648</v>
      </c>
      <c r="AB120" s="155"/>
      <c r="AG120" s="88" t="s">
        <v>1778</v>
      </c>
      <c r="AH120" s="88" t="s">
        <v>1779</v>
      </c>
    </row>
    <row r="121" spans="1:54" ht="17.45" customHeight="1">
      <c r="B121" s="96" t="e">
        <f t="shared" si="2"/>
        <v>#REF!</v>
      </c>
      <c r="C121" s="112">
        <v>40473</v>
      </c>
      <c r="D121" s="98" t="s">
        <v>2140</v>
      </c>
      <c r="E121" s="98">
        <v>7600920</v>
      </c>
      <c r="F121" s="113" t="s">
        <v>2137</v>
      </c>
      <c r="G121" s="100" t="s">
        <v>387</v>
      </c>
      <c r="H121" s="101" t="s">
        <v>2133</v>
      </c>
      <c r="I121" s="98" t="s">
        <v>2140</v>
      </c>
      <c r="J121" s="126">
        <v>2</v>
      </c>
      <c r="K121" s="124" t="s">
        <v>1784</v>
      </c>
      <c r="L121" s="124">
        <v>5</v>
      </c>
      <c r="M121" s="125" t="s">
        <v>1648</v>
      </c>
      <c r="N121" s="106" t="str">
        <f t="shared" si="3"/>
        <v>25</v>
      </c>
      <c r="O121" s="107"/>
      <c r="P121" s="114" t="s">
        <v>2138</v>
      </c>
      <c r="Q121" s="107"/>
      <c r="R121" s="115" t="s">
        <v>1650</v>
      </c>
      <c r="S121" s="92" t="s">
        <v>1577</v>
      </c>
      <c r="T121" s="110"/>
      <c r="U121" s="94" t="s">
        <v>1650</v>
      </c>
      <c r="V121" s="107"/>
      <c r="W121" s="117">
        <v>7600895</v>
      </c>
      <c r="X121" s="115" t="s">
        <v>1650</v>
      </c>
      <c r="Y121" s="98" t="s">
        <v>2140</v>
      </c>
      <c r="Z121" s="124" t="s">
        <v>1784</v>
      </c>
      <c r="AA121" s="125" t="s">
        <v>1648</v>
      </c>
      <c r="AB121" s="155"/>
      <c r="AG121" s="88" t="s">
        <v>1778</v>
      </c>
      <c r="AH121" s="88" t="s">
        <v>1779</v>
      </c>
    </row>
    <row r="122" spans="1:54" ht="17.45" customHeight="1">
      <c r="B122" s="96" t="e">
        <f t="shared" si="2"/>
        <v>#REF!</v>
      </c>
      <c r="C122" s="112">
        <v>41269</v>
      </c>
      <c r="D122" s="98" t="s">
        <v>2139</v>
      </c>
      <c r="E122" s="98">
        <v>7600918</v>
      </c>
      <c r="F122" s="113" t="s">
        <v>2137</v>
      </c>
      <c r="G122" s="100" t="s">
        <v>389</v>
      </c>
      <c r="H122" s="101" t="s">
        <v>2133</v>
      </c>
      <c r="I122" s="98" t="s">
        <v>2139</v>
      </c>
      <c r="J122" s="126">
        <v>2</v>
      </c>
      <c r="K122" s="124" t="s">
        <v>1784</v>
      </c>
      <c r="L122" s="124">
        <v>5</v>
      </c>
      <c r="M122" s="125" t="s">
        <v>1648</v>
      </c>
      <c r="N122" s="106" t="str">
        <f t="shared" si="3"/>
        <v>25</v>
      </c>
      <c r="O122" s="107"/>
      <c r="P122" s="114" t="s">
        <v>2138</v>
      </c>
      <c r="Q122" s="107"/>
      <c r="R122" s="115" t="s">
        <v>1650</v>
      </c>
      <c r="S122" s="92" t="s">
        <v>1577</v>
      </c>
      <c r="T122" s="110"/>
      <c r="U122" s="94" t="s">
        <v>1650</v>
      </c>
      <c r="V122" s="107"/>
      <c r="W122" s="117">
        <v>7600895</v>
      </c>
      <c r="X122" s="115" t="s">
        <v>1650</v>
      </c>
      <c r="Y122" s="98" t="s">
        <v>2139</v>
      </c>
      <c r="Z122" s="124" t="s">
        <v>1784</v>
      </c>
      <c r="AA122" s="125" t="s">
        <v>1648</v>
      </c>
      <c r="AB122" s="155"/>
      <c r="AG122" s="88" t="s">
        <v>1778</v>
      </c>
      <c r="AH122" s="88" t="s">
        <v>1779</v>
      </c>
    </row>
    <row r="123" spans="1:54" ht="17.45" customHeight="1">
      <c r="B123" s="96" t="e">
        <f t="shared" si="2"/>
        <v>#REF!</v>
      </c>
      <c r="C123" s="112">
        <v>40473</v>
      </c>
      <c r="D123" s="98" t="s">
        <v>2141</v>
      </c>
      <c r="E123" s="98">
        <v>7600921</v>
      </c>
      <c r="F123" s="113" t="s">
        <v>2137</v>
      </c>
      <c r="G123" s="100" t="s">
        <v>392</v>
      </c>
      <c r="H123" s="101" t="s">
        <v>2133</v>
      </c>
      <c r="I123" s="98" t="s">
        <v>2141</v>
      </c>
      <c r="J123" s="126">
        <v>2</v>
      </c>
      <c r="K123" s="124" t="s">
        <v>1784</v>
      </c>
      <c r="L123" s="124">
        <v>5</v>
      </c>
      <c r="M123" s="125" t="s">
        <v>1648</v>
      </c>
      <c r="N123" s="106" t="str">
        <f t="shared" si="3"/>
        <v>25</v>
      </c>
      <c r="O123" s="107"/>
      <c r="P123" s="114" t="s">
        <v>2138</v>
      </c>
      <c r="Q123" s="107"/>
      <c r="R123" s="115" t="s">
        <v>1650</v>
      </c>
      <c r="S123" s="92" t="s">
        <v>1577</v>
      </c>
      <c r="T123" s="110"/>
      <c r="U123" s="94" t="s">
        <v>1650</v>
      </c>
      <c r="V123" s="107"/>
      <c r="W123" s="117">
        <v>7600895</v>
      </c>
      <c r="X123" s="115" t="s">
        <v>1650</v>
      </c>
      <c r="Y123" s="98" t="s">
        <v>2141</v>
      </c>
      <c r="Z123" s="124" t="s">
        <v>1784</v>
      </c>
      <c r="AA123" s="125" t="s">
        <v>1648</v>
      </c>
      <c r="AB123" s="155"/>
      <c r="AG123" s="88" t="s">
        <v>1778</v>
      </c>
      <c r="AH123" s="88" t="s">
        <v>1779</v>
      </c>
    </row>
    <row r="124" spans="1:54" ht="17.45" customHeight="1">
      <c r="B124" s="96" t="e">
        <f>#REF!+1</f>
        <v>#REF!</v>
      </c>
      <c r="C124" s="112">
        <v>39692</v>
      </c>
      <c r="D124" s="98" t="s">
        <v>1940</v>
      </c>
      <c r="E124" s="98">
        <v>7600992</v>
      </c>
      <c r="F124" s="113" t="s">
        <v>1937</v>
      </c>
      <c r="G124" s="100" t="s">
        <v>568</v>
      </c>
      <c r="H124" s="101" t="s">
        <v>1946</v>
      </c>
      <c r="I124" s="98" t="s">
        <v>1940</v>
      </c>
      <c r="J124" s="102">
        <v>2</v>
      </c>
      <c r="K124" s="103" t="s">
        <v>1784</v>
      </c>
      <c r="L124" s="124">
        <v>6</v>
      </c>
      <c r="M124" s="125" t="s">
        <v>1652</v>
      </c>
      <c r="N124" s="106" t="str">
        <f t="shared" si="3"/>
        <v>26</v>
      </c>
      <c r="O124" s="107"/>
      <c r="P124" s="114" t="s">
        <v>1939</v>
      </c>
      <c r="Q124" s="107"/>
      <c r="R124" s="115" t="s">
        <v>1653</v>
      </c>
      <c r="S124" s="92" t="s">
        <v>1582</v>
      </c>
      <c r="T124" s="110"/>
      <c r="U124" s="94" t="s">
        <v>1653</v>
      </c>
      <c r="V124" s="107"/>
      <c r="W124" s="117">
        <v>7600973</v>
      </c>
      <c r="X124" s="115" t="s">
        <v>1653</v>
      </c>
      <c r="Y124" s="98" t="s">
        <v>1940</v>
      </c>
      <c r="Z124" s="103" t="s">
        <v>1784</v>
      </c>
      <c r="AA124" s="125" t="s">
        <v>1652</v>
      </c>
      <c r="AB124" s="110" t="s">
        <v>1637</v>
      </c>
      <c r="AG124" s="88" t="s">
        <v>1778</v>
      </c>
      <c r="AH124" s="88" t="s">
        <v>1779</v>
      </c>
    </row>
    <row r="125" spans="1:54" ht="17.45" customHeight="1">
      <c r="A125" s="132"/>
      <c r="B125" s="96" t="e">
        <f t="shared" si="2"/>
        <v>#REF!</v>
      </c>
      <c r="C125" s="112" t="s">
        <v>1948</v>
      </c>
      <c r="D125" s="98" t="s">
        <v>1939</v>
      </c>
      <c r="E125" s="98">
        <v>7600973</v>
      </c>
      <c r="F125" s="113" t="s">
        <v>1937</v>
      </c>
      <c r="G125" s="100" t="s">
        <v>574</v>
      </c>
      <c r="H125" s="101" t="s">
        <v>1946</v>
      </c>
      <c r="I125" s="98" t="s">
        <v>1939</v>
      </c>
      <c r="J125" s="102">
        <v>2</v>
      </c>
      <c r="K125" s="103" t="s">
        <v>1784</v>
      </c>
      <c r="L125" s="124">
        <v>6</v>
      </c>
      <c r="M125" s="125" t="s">
        <v>1652</v>
      </c>
      <c r="N125" s="106" t="str">
        <f t="shared" si="3"/>
        <v>26</v>
      </c>
      <c r="O125" s="107"/>
      <c r="P125" s="114" t="s">
        <v>1939</v>
      </c>
      <c r="Q125" s="107"/>
      <c r="R125" s="115" t="s">
        <v>1653</v>
      </c>
      <c r="S125" s="92" t="s">
        <v>1582</v>
      </c>
      <c r="T125" s="110"/>
      <c r="U125" s="94" t="s">
        <v>1653</v>
      </c>
      <c r="V125" s="107"/>
      <c r="W125" s="117">
        <v>7600973</v>
      </c>
      <c r="X125" s="115" t="s">
        <v>1653</v>
      </c>
      <c r="Y125" s="98" t="s">
        <v>1939</v>
      </c>
      <c r="Z125" s="103" t="s">
        <v>1784</v>
      </c>
      <c r="AA125" s="125" t="s">
        <v>1652</v>
      </c>
      <c r="AB125" s="110" t="s">
        <v>1734</v>
      </c>
      <c r="AG125" s="88" t="s">
        <v>1778</v>
      </c>
      <c r="AH125" s="88" t="s">
        <v>1779</v>
      </c>
      <c r="AI125" s="132"/>
      <c r="AJ125" s="132"/>
      <c r="AK125" s="132"/>
      <c r="AL125" s="132"/>
      <c r="AM125" s="132"/>
      <c r="AN125" s="132"/>
      <c r="AO125" s="132"/>
      <c r="AP125" s="132"/>
      <c r="AQ125" s="132"/>
      <c r="AR125" s="132"/>
      <c r="AS125" s="132"/>
      <c r="AT125" s="132"/>
      <c r="AU125" s="132"/>
      <c r="AV125" s="132"/>
      <c r="AW125" s="132"/>
      <c r="AX125" s="132"/>
      <c r="AY125" s="132"/>
      <c r="AZ125" s="132"/>
      <c r="BA125" s="132"/>
      <c r="BB125" s="132"/>
    </row>
    <row r="126" spans="1:54" ht="17.45" customHeight="1">
      <c r="B126" s="96" t="e">
        <f t="shared" si="2"/>
        <v>#REF!</v>
      </c>
      <c r="C126" s="112">
        <v>40658</v>
      </c>
      <c r="D126" s="98" t="s">
        <v>2207</v>
      </c>
      <c r="E126" s="98">
        <v>7600567</v>
      </c>
      <c r="F126" s="113" t="s">
        <v>2205</v>
      </c>
      <c r="G126" s="100" t="s">
        <v>466</v>
      </c>
      <c r="H126" s="101" t="s">
        <v>2187</v>
      </c>
      <c r="I126" s="98" t="s">
        <v>2207</v>
      </c>
      <c r="J126" s="126">
        <v>2</v>
      </c>
      <c r="K126" s="124" t="s">
        <v>1784</v>
      </c>
      <c r="L126" s="124">
        <v>6</v>
      </c>
      <c r="M126" s="125" t="s">
        <v>1652</v>
      </c>
      <c r="N126" s="106" t="str">
        <f t="shared" si="3"/>
        <v>26</v>
      </c>
      <c r="O126" s="107"/>
      <c r="P126" s="114" t="s">
        <v>2206</v>
      </c>
      <c r="Q126" s="107"/>
      <c r="R126" s="115" t="s">
        <v>1656</v>
      </c>
      <c r="S126" s="92" t="s">
        <v>1582</v>
      </c>
      <c r="T126" s="110"/>
      <c r="U126" s="94" t="s">
        <v>1656</v>
      </c>
      <c r="V126" s="107"/>
      <c r="W126" s="117">
        <v>7600519</v>
      </c>
      <c r="X126" s="115" t="s">
        <v>1656</v>
      </c>
      <c r="Y126" s="98" t="s">
        <v>2207</v>
      </c>
      <c r="Z126" s="124" t="s">
        <v>1784</v>
      </c>
      <c r="AA126" s="125" t="s">
        <v>1652</v>
      </c>
      <c r="AB126" s="155"/>
      <c r="AG126" s="88" t="s">
        <v>1778</v>
      </c>
      <c r="AH126" s="88" t="s">
        <v>1779</v>
      </c>
    </row>
    <row r="127" spans="1:54" ht="17.45" customHeight="1">
      <c r="B127" s="96" t="e">
        <f t="shared" si="2"/>
        <v>#REF!</v>
      </c>
      <c r="C127" s="112">
        <v>40905</v>
      </c>
      <c r="D127" s="98" t="s">
        <v>2210</v>
      </c>
      <c r="E127" s="98">
        <v>7600614</v>
      </c>
      <c r="F127" s="113" t="s">
        <v>2205</v>
      </c>
      <c r="G127" s="100" t="s">
        <v>471</v>
      </c>
      <c r="H127" s="101" t="s">
        <v>2187</v>
      </c>
      <c r="I127" s="98" t="s">
        <v>2210</v>
      </c>
      <c r="J127" s="126">
        <v>2</v>
      </c>
      <c r="K127" s="124" t="s">
        <v>1784</v>
      </c>
      <c r="L127" s="124">
        <v>6</v>
      </c>
      <c r="M127" s="125" t="s">
        <v>1652</v>
      </c>
      <c r="N127" s="106" t="str">
        <f t="shared" si="3"/>
        <v>26</v>
      </c>
      <c r="O127" s="107"/>
      <c r="P127" s="114" t="s">
        <v>2206</v>
      </c>
      <c r="Q127" s="107"/>
      <c r="R127" s="115" t="s">
        <v>1656</v>
      </c>
      <c r="S127" s="92" t="s">
        <v>1582</v>
      </c>
      <c r="T127" s="110"/>
      <c r="U127" s="94" t="s">
        <v>1656</v>
      </c>
      <c r="V127" s="107"/>
      <c r="W127" s="117">
        <v>7600519</v>
      </c>
      <c r="X127" s="115" t="s">
        <v>1656</v>
      </c>
      <c r="Y127" s="98" t="s">
        <v>2210</v>
      </c>
      <c r="Z127" s="124" t="s">
        <v>1784</v>
      </c>
      <c r="AA127" s="125" t="s">
        <v>1652</v>
      </c>
      <c r="AB127" s="155"/>
      <c r="AG127" s="88" t="s">
        <v>1778</v>
      </c>
      <c r="AH127" s="88" t="s">
        <v>1779</v>
      </c>
    </row>
    <row r="128" spans="1:54" ht="17.45" customHeight="1">
      <c r="B128" s="96" t="e">
        <f t="shared" si="2"/>
        <v>#REF!</v>
      </c>
      <c r="C128" s="112">
        <v>40189</v>
      </c>
      <c r="D128" s="98" t="s">
        <v>2206</v>
      </c>
      <c r="E128" s="98">
        <v>7600519</v>
      </c>
      <c r="F128" s="113" t="s">
        <v>2205</v>
      </c>
      <c r="G128" s="100" t="s">
        <v>425</v>
      </c>
      <c r="H128" s="101" t="s">
        <v>2187</v>
      </c>
      <c r="I128" s="98" t="s">
        <v>2206</v>
      </c>
      <c r="J128" s="126">
        <v>2</v>
      </c>
      <c r="K128" s="124" t="s">
        <v>1784</v>
      </c>
      <c r="L128" s="124">
        <v>6</v>
      </c>
      <c r="M128" s="125" t="s">
        <v>1652</v>
      </c>
      <c r="N128" s="106" t="str">
        <f t="shared" si="3"/>
        <v>26</v>
      </c>
      <c r="O128" s="107"/>
      <c r="P128" s="114" t="s">
        <v>2206</v>
      </c>
      <c r="Q128" s="107"/>
      <c r="R128" s="115" t="s">
        <v>1656</v>
      </c>
      <c r="S128" s="92" t="s">
        <v>1582</v>
      </c>
      <c r="T128" s="110"/>
      <c r="U128" s="94" t="s">
        <v>1656</v>
      </c>
      <c r="V128" s="107"/>
      <c r="W128" s="117">
        <v>7600519</v>
      </c>
      <c r="X128" s="115" t="s">
        <v>1656</v>
      </c>
      <c r="Y128" s="98" t="s">
        <v>2206</v>
      </c>
      <c r="Z128" s="124" t="s">
        <v>1784</v>
      </c>
      <c r="AA128" s="125" t="s">
        <v>1652</v>
      </c>
      <c r="AB128" s="155"/>
      <c r="AG128" s="88" t="s">
        <v>1778</v>
      </c>
      <c r="AH128" s="88" t="s">
        <v>1779</v>
      </c>
    </row>
    <row r="129" spans="2:34" ht="17.45" customHeight="1">
      <c r="B129" s="96" t="e">
        <f t="shared" si="2"/>
        <v>#REF!</v>
      </c>
      <c r="C129" s="156">
        <v>39157</v>
      </c>
      <c r="D129" s="89" t="s">
        <v>2232</v>
      </c>
      <c r="E129" s="89">
        <v>7601097</v>
      </c>
      <c r="F129" s="284" t="s">
        <v>2230</v>
      </c>
      <c r="G129" s="157" t="s">
        <v>579</v>
      </c>
      <c r="H129" s="158" t="s">
        <v>2090</v>
      </c>
      <c r="I129" s="89" t="s">
        <v>2232</v>
      </c>
      <c r="J129" s="159">
        <v>2</v>
      </c>
      <c r="K129" s="104" t="s">
        <v>1784</v>
      </c>
      <c r="L129" s="124">
        <v>6</v>
      </c>
      <c r="M129" s="125" t="s">
        <v>1652</v>
      </c>
      <c r="N129" s="160" t="str">
        <f t="shared" si="3"/>
        <v>26</v>
      </c>
      <c r="O129" s="91"/>
      <c r="P129" s="161" t="s">
        <v>2232</v>
      </c>
      <c r="Q129" s="91"/>
      <c r="R129" s="162" t="s">
        <v>1655</v>
      </c>
      <c r="S129" s="92" t="s">
        <v>1582</v>
      </c>
      <c r="T129" s="93"/>
      <c r="U129" s="94" t="s">
        <v>1655</v>
      </c>
      <c r="V129" s="91"/>
      <c r="W129" s="213">
        <v>7601097</v>
      </c>
      <c r="X129" s="162" t="s">
        <v>1655</v>
      </c>
      <c r="Y129" s="89" t="s">
        <v>2232</v>
      </c>
      <c r="Z129" s="104" t="s">
        <v>1784</v>
      </c>
      <c r="AA129" s="125" t="s">
        <v>1652</v>
      </c>
      <c r="AB129" s="155"/>
      <c r="AG129" s="88" t="s">
        <v>1778</v>
      </c>
      <c r="AH129" s="88" t="s">
        <v>1779</v>
      </c>
    </row>
    <row r="130" spans="2:34" ht="17.45" customHeight="1">
      <c r="B130" s="96" t="e">
        <f t="shared" si="2"/>
        <v>#REF!</v>
      </c>
      <c r="C130" s="112">
        <v>36134</v>
      </c>
      <c r="D130" s="98" t="s">
        <v>1788</v>
      </c>
      <c r="E130" s="98">
        <v>7600093</v>
      </c>
      <c r="F130" s="113" t="s">
        <v>1781</v>
      </c>
      <c r="G130" s="100" t="s">
        <v>454</v>
      </c>
      <c r="H130" s="101" t="s">
        <v>1791</v>
      </c>
      <c r="I130" s="98" t="s">
        <v>1788</v>
      </c>
      <c r="J130" s="102">
        <v>2</v>
      </c>
      <c r="K130" s="103" t="s">
        <v>1784</v>
      </c>
      <c r="L130" s="124">
        <v>7</v>
      </c>
      <c r="M130" s="125" t="s">
        <v>1657</v>
      </c>
      <c r="N130" s="106" t="str">
        <f t="shared" si="3"/>
        <v>27</v>
      </c>
      <c r="O130" s="107"/>
      <c r="P130" s="114" t="s">
        <v>1783</v>
      </c>
      <c r="Q130" s="107"/>
      <c r="R130" s="115" t="s">
        <v>1658</v>
      </c>
      <c r="S130" s="92" t="s">
        <v>1577</v>
      </c>
      <c r="T130" s="110"/>
      <c r="U130" s="94" t="s">
        <v>1658</v>
      </c>
      <c r="V130" s="107"/>
      <c r="W130" s="117">
        <v>7600033</v>
      </c>
      <c r="X130" s="115" t="s">
        <v>1658</v>
      </c>
      <c r="Y130" s="98" t="s">
        <v>1788</v>
      </c>
      <c r="Z130" s="103" t="s">
        <v>1784</v>
      </c>
      <c r="AA130" s="125" t="s">
        <v>1657</v>
      </c>
      <c r="AB130" s="110" t="s">
        <v>1690</v>
      </c>
      <c r="AG130" s="88" t="s">
        <v>1778</v>
      </c>
      <c r="AH130" s="88" t="s">
        <v>1779</v>
      </c>
    </row>
    <row r="131" spans="2:34" ht="17.45" customHeight="1">
      <c r="B131" s="96" t="e">
        <f>#REF!+1</f>
        <v>#REF!</v>
      </c>
      <c r="C131" s="112">
        <v>41271</v>
      </c>
      <c r="D131" s="98" t="s">
        <v>1790</v>
      </c>
      <c r="E131" s="98">
        <v>7600713</v>
      </c>
      <c r="F131" s="113" t="s">
        <v>1781</v>
      </c>
      <c r="G131" s="100" t="s">
        <v>456</v>
      </c>
      <c r="H131" s="101" t="s">
        <v>1791</v>
      </c>
      <c r="I131" s="98" t="s">
        <v>1790</v>
      </c>
      <c r="J131" s="102">
        <v>2</v>
      </c>
      <c r="K131" s="103" t="s">
        <v>1784</v>
      </c>
      <c r="L131" s="124">
        <v>7</v>
      </c>
      <c r="M131" s="125" t="s">
        <v>1657</v>
      </c>
      <c r="N131" s="106" t="str">
        <f t="shared" si="3"/>
        <v>27</v>
      </c>
      <c r="O131" s="107"/>
      <c r="P131" s="114" t="s">
        <v>1783</v>
      </c>
      <c r="Q131" s="107"/>
      <c r="R131" s="115" t="s">
        <v>1658</v>
      </c>
      <c r="S131" s="92" t="s">
        <v>1577</v>
      </c>
      <c r="T131" s="110"/>
      <c r="U131" s="94" t="s">
        <v>1658</v>
      </c>
      <c r="V131" s="107"/>
      <c r="W131" s="117">
        <v>7600033</v>
      </c>
      <c r="X131" s="115" t="s">
        <v>1658</v>
      </c>
      <c r="Y131" s="98" t="s">
        <v>1790</v>
      </c>
      <c r="Z131" s="103" t="s">
        <v>1784</v>
      </c>
      <c r="AA131" s="125" t="s">
        <v>1657</v>
      </c>
      <c r="AB131" s="110" t="s">
        <v>1798</v>
      </c>
      <c r="AG131" s="88" t="s">
        <v>1778</v>
      </c>
      <c r="AH131" s="88" t="s">
        <v>1779</v>
      </c>
    </row>
    <row r="132" spans="2:34" ht="17.45" customHeight="1">
      <c r="B132" s="96" t="e">
        <f t="shared" ref="B132:B147" si="4">B131+1</f>
        <v>#REF!</v>
      </c>
      <c r="C132" s="112">
        <v>35781</v>
      </c>
      <c r="D132" s="98" t="s">
        <v>1783</v>
      </c>
      <c r="E132" s="98">
        <v>7600033</v>
      </c>
      <c r="F132" s="113" t="s">
        <v>1781</v>
      </c>
      <c r="G132" s="100" t="s">
        <v>461</v>
      </c>
      <c r="H132" s="101" t="s">
        <v>1791</v>
      </c>
      <c r="I132" s="98" t="s">
        <v>1783</v>
      </c>
      <c r="J132" s="102">
        <v>2</v>
      </c>
      <c r="K132" s="103" t="s">
        <v>1784</v>
      </c>
      <c r="L132" s="124">
        <v>7</v>
      </c>
      <c r="M132" s="125" t="s">
        <v>1657</v>
      </c>
      <c r="N132" s="106" t="str">
        <f t="shared" si="3"/>
        <v>27</v>
      </c>
      <c r="O132" s="107"/>
      <c r="P132" s="117" t="s">
        <v>1783</v>
      </c>
      <c r="Q132" s="107"/>
      <c r="R132" s="115" t="s">
        <v>1658</v>
      </c>
      <c r="S132" s="92" t="s">
        <v>1577</v>
      </c>
      <c r="T132" s="110"/>
      <c r="U132" s="94" t="s">
        <v>1658</v>
      </c>
      <c r="V132" s="107"/>
      <c r="W132" s="117">
        <v>7600033</v>
      </c>
      <c r="X132" s="115" t="s">
        <v>1658</v>
      </c>
      <c r="Y132" s="98" t="s">
        <v>1783</v>
      </c>
      <c r="Z132" s="103" t="s">
        <v>1784</v>
      </c>
      <c r="AA132" s="125" t="s">
        <v>1657</v>
      </c>
      <c r="AB132" s="110" t="s">
        <v>1635</v>
      </c>
      <c r="AG132" s="88" t="s">
        <v>1778</v>
      </c>
      <c r="AH132" s="88" t="s">
        <v>1779</v>
      </c>
    </row>
    <row r="133" spans="2:34" ht="17.45" customHeight="1">
      <c r="B133" s="96" t="e">
        <f t="shared" si="4"/>
        <v>#REF!</v>
      </c>
      <c r="C133" s="112">
        <v>42733</v>
      </c>
      <c r="D133" s="98" t="s">
        <v>1792</v>
      </c>
      <c r="E133" s="98">
        <v>7600951</v>
      </c>
      <c r="F133" s="113" t="s">
        <v>1781</v>
      </c>
      <c r="G133" s="100" t="s">
        <v>464</v>
      </c>
      <c r="H133" s="101" t="s">
        <v>1791</v>
      </c>
      <c r="I133" s="98" t="s">
        <v>1792</v>
      </c>
      <c r="J133" s="102">
        <v>2</v>
      </c>
      <c r="K133" s="103" t="s">
        <v>1784</v>
      </c>
      <c r="L133" s="124">
        <v>7</v>
      </c>
      <c r="M133" s="125" t="s">
        <v>1657</v>
      </c>
      <c r="N133" s="106" t="str">
        <f t="shared" ref="N133:N196" si="5">J133&amp;L133</f>
        <v>27</v>
      </c>
      <c r="O133" s="107"/>
      <c r="P133" s="114" t="s">
        <v>1783</v>
      </c>
      <c r="Q133" s="107"/>
      <c r="R133" s="115" t="s">
        <v>1658</v>
      </c>
      <c r="S133" s="92" t="s">
        <v>1577</v>
      </c>
      <c r="T133" s="110"/>
      <c r="U133" s="94" t="s">
        <v>1658</v>
      </c>
      <c r="V133" s="107"/>
      <c r="W133" s="117">
        <v>7600033</v>
      </c>
      <c r="X133" s="115" t="s">
        <v>1658</v>
      </c>
      <c r="Y133" s="98" t="s">
        <v>1792</v>
      </c>
      <c r="Z133" s="103" t="s">
        <v>1784</v>
      </c>
      <c r="AA133" s="125" t="s">
        <v>1657</v>
      </c>
      <c r="AB133" s="110" t="s">
        <v>1678</v>
      </c>
      <c r="AG133" s="88" t="s">
        <v>1778</v>
      </c>
      <c r="AH133" s="88" t="s">
        <v>1779</v>
      </c>
    </row>
    <row r="134" spans="2:34" ht="17.45" customHeight="1">
      <c r="B134" s="96" t="e">
        <f t="shared" si="4"/>
        <v>#REF!</v>
      </c>
      <c r="C134" s="112">
        <v>39973</v>
      </c>
      <c r="D134" s="98" t="s">
        <v>2148</v>
      </c>
      <c r="E134" s="98">
        <v>7600917</v>
      </c>
      <c r="F134" s="113" t="s">
        <v>2143</v>
      </c>
      <c r="G134" s="100" t="s">
        <v>542</v>
      </c>
      <c r="H134" s="101" t="s">
        <v>2117</v>
      </c>
      <c r="I134" s="98" t="s">
        <v>2148</v>
      </c>
      <c r="J134" s="102">
        <v>2</v>
      </c>
      <c r="K134" s="103" t="s">
        <v>1784</v>
      </c>
      <c r="L134" s="124">
        <v>7</v>
      </c>
      <c r="M134" s="125" t="s">
        <v>1657</v>
      </c>
      <c r="N134" s="106" t="str">
        <f t="shared" si="5"/>
        <v>27</v>
      </c>
      <c r="O134" s="107"/>
      <c r="P134" s="114" t="s">
        <v>2144</v>
      </c>
      <c r="Q134" s="107"/>
      <c r="R134" s="115" t="s">
        <v>1660</v>
      </c>
      <c r="S134" s="92" t="s">
        <v>1577</v>
      </c>
      <c r="T134" s="110"/>
      <c r="U134" s="94" t="s">
        <v>1660</v>
      </c>
      <c r="V134" s="107"/>
      <c r="W134" s="117">
        <v>7600528</v>
      </c>
      <c r="X134" s="115" t="s">
        <v>1660</v>
      </c>
      <c r="Y134" s="98" t="s">
        <v>2148</v>
      </c>
      <c r="Z134" s="103" t="s">
        <v>1784</v>
      </c>
      <c r="AA134" s="125" t="s">
        <v>1657</v>
      </c>
      <c r="AB134" s="155"/>
      <c r="AG134" s="88" t="s">
        <v>1778</v>
      </c>
      <c r="AH134" s="88" t="s">
        <v>1779</v>
      </c>
    </row>
    <row r="135" spans="2:34" ht="17.45" customHeight="1">
      <c r="B135" s="96" t="e">
        <f t="shared" si="4"/>
        <v>#REF!</v>
      </c>
      <c r="C135" s="112">
        <v>39973</v>
      </c>
      <c r="D135" s="98" t="s">
        <v>2146</v>
      </c>
      <c r="E135" s="98">
        <v>7600916</v>
      </c>
      <c r="F135" s="113" t="s">
        <v>2143</v>
      </c>
      <c r="G135" s="100" t="s">
        <v>546</v>
      </c>
      <c r="H135" s="101" t="s">
        <v>2117</v>
      </c>
      <c r="I135" s="98" t="s">
        <v>2146</v>
      </c>
      <c r="J135" s="102">
        <v>2</v>
      </c>
      <c r="K135" s="103" t="s">
        <v>1784</v>
      </c>
      <c r="L135" s="124">
        <v>7</v>
      </c>
      <c r="M135" s="125" t="s">
        <v>1657</v>
      </c>
      <c r="N135" s="106" t="str">
        <f t="shared" si="5"/>
        <v>27</v>
      </c>
      <c r="O135" s="107"/>
      <c r="P135" s="114" t="s">
        <v>2144</v>
      </c>
      <c r="Q135" s="107"/>
      <c r="R135" s="115" t="s">
        <v>1660</v>
      </c>
      <c r="S135" s="92" t="s">
        <v>1577</v>
      </c>
      <c r="T135" s="110"/>
      <c r="U135" s="94" t="s">
        <v>1660</v>
      </c>
      <c r="V135" s="107"/>
      <c r="W135" s="117">
        <v>7600528</v>
      </c>
      <c r="X135" s="115" t="s">
        <v>1660</v>
      </c>
      <c r="Y135" s="98" t="s">
        <v>2146</v>
      </c>
      <c r="Z135" s="103" t="s">
        <v>1784</v>
      </c>
      <c r="AA135" s="125" t="s">
        <v>1657</v>
      </c>
      <c r="AB135" s="155"/>
      <c r="AG135" s="88" t="s">
        <v>1778</v>
      </c>
      <c r="AH135" s="88" t="s">
        <v>1779</v>
      </c>
    </row>
    <row r="136" spans="2:34" ht="17.45" customHeight="1">
      <c r="B136" s="96" t="e">
        <f t="shared" si="4"/>
        <v>#REF!</v>
      </c>
      <c r="C136" s="112">
        <v>40294</v>
      </c>
      <c r="D136" s="98" t="s">
        <v>2144</v>
      </c>
      <c r="E136" s="98">
        <v>7600528</v>
      </c>
      <c r="F136" s="113" t="s">
        <v>2143</v>
      </c>
      <c r="G136" s="100" t="s">
        <v>498</v>
      </c>
      <c r="H136" s="101" t="s">
        <v>2117</v>
      </c>
      <c r="I136" s="98" t="s">
        <v>2144</v>
      </c>
      <c r="J136" s="102">
        <v>2</v>
      </c>
      <c r="K136" s="103" t="s">
        <v>1784</v>
      </c>
      <c r="L136" s="124">
        <v>7</v>
      </c>
      <c r="M136" s="125" t="s">
        <v>1657</v>
      </c>
      <c r="N136" s="106" t="str">
        <f t="shared" si="5"/>
        <v>27</v>
      </c>
      <c r="O136" s="107"/>
      <c r="P136" s="114" t="s">
        <v>2144</v>
      </c>
      <c r="Q136" s="107"/>
      <c r="R136" s="115" t="s">
        <v>1660</v>
      </c>
      <c r="S136" s="92" t="s">
        <v>1577</v>
      </c>
      <c r="T136" s="110"/>
      <c r="U136" s="94" t="s">
        <v>1660</v>
      </c>
      <c r="V136" s="107"/>
      <c r="W136" s="117">
        <v>7600528</v>
      </c>
      <c r="X136" s="115" t="s">
        <v>1660</v>
      </c>
      <c r="Y136" s="98" t="s">
        <v>2144</v>
      </c>
      <c r="Z136" s="103" t="s">
        <v>1784</v>
      </c>
      <c r="AA136" s="125" t="s">
        <v>1657</v>
      </c>
      <c r="AB136" s="155"/>
      <c r="AG136" s="88" t="s">
        <v>1778</v>
      </c>
      <c r="AH136" s="88" t="s">
        <v>1779</v>
      </c>
    </row>
    <row r="137" spans="2:34" ht="17.45" customHeight="1">
      <c r="B137" s="96" t="e">
        <f t="shared" si="4"/>
        <v>#REF!</v>
      </c>
      <c r="C137" s="112">
        <v>40698</v>
      </c>
      <c r="D137" s="98" t="s">
        <v>2145</v>
      </c>
      <c r="E137" s="98">
        <v>7600584</v>
      </c>
      <c r="F137" s="113" t="s">
        <v>2143</v>
      </c>
      <c r="G137" s="100" t="s">
        <v>504</v>
      </c>
      <c r="H137" s="101" t="s">
        <v>2117</v>
      </c>
      <c r="I137" s="98" t="s">
        <v>2145</v>
      </c>
      <c r="J137" s="102">
        <v>2</v>
      </c>
      <c r="K137" s="103" t="s">
        <v>1784</v>
      </c>
      <c r="L137" s="124">
        <v>7</v>
      </c>
      <c r="M137" s="125" t="s">
        <v>1657</v>
      </c>
      <c r="N137" s="106" t="str">
        <f t="shared" si="5"/>
        <v>27</v>
      </c>
      <c r="O137" s="107"/>
      <c r="P137" s="114" t="s">
        <v>2144</v>
      </c>
      <c r="Q137" s="107"/>
      <c r="R137" s="115" t="s">
        <v>1660</v>
      </c>
      <c r="S137" s="92" t="s">
        <v>1577</v>
      </c>
      <c r="T137" s="110"/>
      <c r="U137" s="94" t="s">
        <v>1660</v>
      </c>
      <c r="V137" s="107"/>
      <c r="W137" s="117">
        <v>7600528</v>
      </c>
      <c r="X137" s="115" t="s">
        <v>1660</v>
      </c>
      <c r="Y137" s="98" t="s">
        <v>2145</v>
      </c>
      <c r="Z137" s="103" t="s">
        <v>1784</v>
      </c>
      <c r="AA137" s="125" t="s">
        <v>1657</v>
      </c>
      <c r="AB137" s="155"/>
      <c r="AG137" s="88" t="s">
        <v>1778</v>
      </c>
      <c r="AH137" s="88" t="s">
        <v>1779</v>
      </c>
    </row>
    <row r="138" spans="2:34" ht="17.45" customHeight="1">
      <c r="B138" s="96" t="e">
        <f t="shared" si="4"/>
        <v>#REF!</v>
      </c>
      <c r="C138" s="112">
        <v>35770</v>
      </c>
      <c r="D138" s="98" t="s">
        <v>1841</v>
      </c>
      <c r="E138" s="98">
        <v>7600922</v>
      </c>
      <c r="F138" s="113" t="s">
        <v>1835</v>
      </c>
      <c r="G138" s="100" t="s">
        <v>430</v>
      </c>
      <c r="H138" s="101" t="s">
        <v>2197</v>
      </c>
      <c r="I138" s="98" t="s">
        <v>1841</v>
      </c>
      <c r="J138" s="102">
        <v>2</v>
      </c>
      <c r="K138" s="103" t="s">
        <v>1784</v>
      </c>
      <c r="L138" s="124">
        <v>7</v>
      </c>
      <c r="M138" s="125" t="s">
        <v>1657</v>
      </c>
      <c r="N138" s="106" t="str">
        <f t="shared" si="5"/>
        <v>27</v>
      </c>
      <c r="O138" s="107"/>
      <c r="P138" s="114" t="s">
        <v>1836</v>
      </c>
      <c r="Q138" s="107"/>
      <c r="R138" s="115" t="s">
        <v>1659</v>
      </c>
      <c r="S138" s="92" t="s">
        <v>1577</v>
      </c>
      <c r="T138" s="110"/>
      <c r="U138" s="94" t="s">
        <v>1659</v>
      </c>
      <c r="V138" s="107"/>
      <c r="W138" s="117">
        <v>7600549</v>
      </c>
      <c r="X138" s="115" t="s">
        <v>1659</v>
      </c>
      <c r="Y138" s="98" t="s">
        <v>1841</v>
      </c>
      <c r="Z138" s="103" t="s">
        <v>1784</v>
      </c>
      <c r="AA138" s="125" t="s">
        <v>1657</v>
      </c>
      <c r="AB138" s="110" t="s">
        <v>1614</v>
      </c>
      <c r="AG138" s="88" t="s">
        <v>1778</v>
      </c>
      <c r="AH138" s="88" t="s">
        <v>1779</v>
      </c>
    </row>
    <row r="139" spans="2:34" ht="17.45" customHeight="1">
      <c r="B139" s="96" t="e">
        <f t="shared" si="4"/>
        <v>#REF!</v>
      </c>
      <c r="C139" s="112">
        <v>35934</v>
      </c>
      <c r="D139" s="98" t="s">
        <v>1844</v>
      </c>
      <c r="E139" s="98">
        <v>7600929</v>
      </c>
      <c r="F139" s="113" t="s">
        <v>1835</v>
      </c>
      <c r="G139" s="100" t="s">
        <v>433</v>
      </c>
      <c r="H139" s="101" t="s">
        <v>2197</v>
      </c>
      <c r="I139" s="98" t="s">
        <v>1844</v>
      </c>
      <c r="J139" s="102">
        <v>2</v>
      </c>
      <c r="K139" s="103" t="s">
        <v>1784</v>
      </c>
      <c r="L139" s="124">
        <v>7</v>
      </c>
      <c r="M139" s="125" t="s">
        <v>1657</v>
      </c>
      <c r="N139" s="106" t="str">
        <f t="shared" si="5"/>
        <v>27</v>
      </c>
      <c r="O139" s="107"/>
      <c r="P139" s="114" t="s">
        <v>1836</v>
      </c>
      <c r="Q139" s="107"/>
      <c r="R139" s="115" t="s">
        <v>1659</v>
      </c>
      <c r="S139" s="92" t="s">
        <v>1577</v>
      </c>
      <c r="T139" s="110"/>
      <c r="U139" s="94" t="s">
        <v>1659</v>
      </c>
      <c r="V139" s="107"/>
      <c r="W139" s="117">
        <v>7600549</v>
      </c>
      <c r="X139" s="115" t="s">
        <v>1659</v>
      </c>
      <c r="Y139" s="98" t="s">
        <v>1844</v>
      </c>
      <c r="Z139" s="103" t="s">
        <v>1784</v>
      </c>
      <c r="AA139" s="125" t="s">
        <v>1657</v>
      </c>
      <c r="AB139" s="110" t="s">
        <v>1741</v>
      </c>
      <c r="AG139" s="88" t="s">
        <v>1778</v>
      </c>
      <c r="AH139" s="88" t="s">
        <v>1779</v>
      </c>
    </row>
    <row r="140" spans="2:34" ht="17.45" customHeight="1">
      <c r="B140" s="96" t="e">
        <f t="shared" si="4"/>
        <v>#REF!</v>
      </c>
      <c r="C140" s="112">
        <v>40455</v>
      </c>
      <c r="D140" s="98" t="s">
        <v>1836</v>
      </c>
      <c r="E140" s="98">
        <v>7600549</v>
      </c>
      <c r="F140" s="113" t="s">
        <v>1835</v>
      </c>
      <c r="G140" s="100" t="s">
        <v>410</v>
      </c>
      <c r="H140" s="101" t="s">
        <v>2194</v>
      </c>
      <c r="I140" s="98" t="s">
        <v>1836</v>
      </c>
      <c r="J140" s="102">
        <v>2</v>
      </c>
      <c r="K140" s="103" t="s">
        <v>1784</v>
      </c>
      <c r="L140" s="124">
        <v>7</v>
      </c>
      <c r="M140" s="125" t="s">
        <v>1657</v>
      </c>
      <c r="N140" s="106" t="str">
        <f t="shared" si="5"/>
        <v>27</v>
      </c>
      <c r="O140" s="107"/>
      <c r="P140" s="114" t="s">
        <v>1836</v>
      </c>
      <c r="Q140" s="107"/>
      <c r="R140" s="115" t="s">
        <v>1659</v>
      </c>
      <c r="S140" s="92" t="s">
        <v>1577</v>
      </c>
      <c r="T140" s="110"/>
      <c r="U140" s="94" t="s">
        <v>1659</v>
      </c>
      <c r="V140" s="107"/>
      <c r="W140" s="117">
        <v>7600549</v>
      </c>
      <c r="X140" s="115" t="s">
        <v>1659</v>
      </c>
      <c r="Y140" s="98" t="s">
        <v>1836</v>
      </c>
      <c r="Z140" s="103" t="s">
        <v>1784</v>
      </c>
      <c r="AA140" s="125" t="s">
        <v>1657</v>
      </c>
      <c r="AB140" s="110" t="s">
        <v>1717</v>
      </c>
      <c r="AG140" s="88" t="s">
        <v>1778</v>
      </c>
      <c r="AH140" s="88" t="s">
        <v>1779</v>
      </c>
    </row>
    <row r="141" spans="2:34" ht="17.45" customHeight="1">
      <c r="B141" s="96" t="e">
        <f t="shared" si="4"/>
        <v>#REF!</v>
      </c>
      <c r="C141" s="112">
        <v>36648</v>
      </c>
      <c r="D141" s="98" t="s">
        <v>1842</v>
      </c>
      <c r="E141" s="98">
        <v>7600939</v>
      </c>
      <c r="F141" s="113" t="s">
        <v>1835</v>
      </c>
      <c r="G141" s="100" t="s">
        <v>435</v>
      </c>
      <c r="H141" s="101" t="s">
        <v>2197</v>
      </c>
      <c r="I141" s="98" t="s">
        <v>1842</v>
      </c>
      <c r="J141" s="102">
        <v>2</v>
      </c>
      <c r="K141" s="103" t="s">
        <v>1784</v>
      </c>
      <c r="L141" s="124">
        <v>7</v>
      </c>
      <c r="M141" s="125" t="s">
        <v>1657</v>
      </c>
      <c r="N141" s="106" t="str">
        <f t="shared" si="5"/>
        <v>27</v>
      </c>
      <c r="O141" s="107"/>
      <c r="P141" s="114" t="s">
        <v>1836</v>
      </c>
      <c r="Q141" s="107"/>
      <c r="R141" s="115" t="s">
        <v>1659</v>
      </c>
      <c r="S141" s="92" t="s">
        <v>1577</v>
      </c>
      <c r="T141" s="110"/>
      <c r="U141" s="94" t="s">
        <v>1659</v>
      </c>
      <c r="V141" s="107"/>
      <c r="W141" s="117">
        <v>7600549</v>
      </c>
      <c r="X141" s="115" t="s">
        <v>1659</v>
      </c>
      <c r="Y141" s="98" t="s">
        <v>1842</v>
      </c>
      <c r="Z141" s="103" t="s">
        <v>1784</v>
      </c>
      <c r="AA141" s="125" t="s">
        <v>1657</v>
      </c>
      <c r="AB141" s="110" t="s">
        <v>1739</v>
      </c>
      <c r="AG141" s="88" t="s">
        <v>1778</v>
      </c>
      <c r="AH141" s="88" t="s">
        <v>1779</v>
      </c>
    </row>
    <row r="142" spans="2:34" ht="17.45" customHeight="1">
      <c r="B142" s="96" t="e">
        <f t="shared" si="4"/>
        <v>#REF!</v>
      </c>
      <c r="C142" s="112" t="s">
        <v>2192</v>
      </c>
      <c r="D142" s="98" t="s">
        <v>1840</v>
      </c>
      <c r="E142" s="98">
        <v>7600819</v>
      </c>
      <c r="F142" s="113" t="s">
        <v>1835</v>
      </c>
      <c r="G142" s="100" t="s">
        <v>416</v>
      </c>
      <c r="H142" s="101" t="s">
        <v>2194</v>
      </c>
      <c r="I142" s="98" t="s">
        <v>1840</v>
      </c>
      <c r="J142" s="102">
        <v>2</v>
      </c>
      <c r="K142" s="103" t="s">
        <v>1784</v>
      </c>
      <c r="L142" s="124">
        <v>7</v>
      </c>
      <c r="M142" s="125" t="s">
        <v>1657</v>
      </c>
      <c r="N142" s="106" t="str">
        <f t="shared" si="5"/>
        <v>27</v>
      </c>
      <c r="O142" s="107"/>
      <c r="P142" s="114" t="s">
        <v>1836</v>
      </c>
      <c r="Q142" s="107"/>
      <c r="R142" s="115" t="s">
        <v>1659</v>
      </c>
      <c r="S142" s="92" t="s">
        <v>1577</v>
      </c>
      <c r="T142" s="110"/>
      <c r="U142" s="94" t="s">
        <v>1659</v>
      </c>
      <c r="V142" s="107"/>
      <c r="W142" s="117">
        <v>7600549</v>
      </c>
      <c r="X142" s="115" t="s">
        <v>1659</v>
      </c>
      <c r="Y142" s="98" t="s">
        <v>1840</v>
      </c>
      <c r="Z142" s="103" t="s">
        <v>1784</v>
      </c>
      <c r="AA142" s="125" t="s">
        <v>1657</v>
      </c>
      <c r="AB142" s="110" t="s">
        <v>1681</v>
      </c>
      <c r="AG142" s="88" t="s">
        <v>1778</v>
      </c>
      <c r="AH142" s="88" t="s">
        <v>1779</v>
      </c>
    </row>
    <row r="143" spans="2:34" ht="17.45" customHeight="1">
      <c r="B143" s="96" t="e">
        <f t="shared" si="4"/>
        <v>#REF!</v>
      </c>
      <c r="C143" s="112" t="s">
        <v>2203</v>
      </c>
      <c r="D143" s="98" t="s">
        <v>1838</v>
      </c>
      <c r="E143" s="98">
        <v>7600817</v>
      </c>
      <c r="F143" s="113" t="s">
        <v>1835</v>
      </c>
      <c r="G143" s="100" t="s">
        <v>419</v>
      </c>
      <c r="H143" s="101" t="s">
        <v>2194</v>
      </c>
      <c r="I143" s="98" t="s">
        <v>1838</v>
      </c>
      <c r="J143" s="102">
        <v>2</v>
      </c>
      <c r="K143" s="103" t="s">
        <v>1784</v>
      </c>
      <c r="L143" s="124">
        <v>7</v>
      </c>
      <c r="M143" s="125" t="s">
        <v>1657</v>
      </c>
      <c r="N143" s="106" t="str">
        <f t="shared" si="5"/>
        <v>27</v>
      </c>
      <c r="O143" s="107"/>
      <c r="P143" s="114" t="s">
        <v>1836</v>
      </c>
      <c r="Q143" s="107"/>
      <c r="R143" s="115" t="s">
        <v>1659</v>
      </c>
      <c r="S143" s="92" t="s">
        <v>1577</v>
      </c>
      <c r="T143" s="110"/>
      <c r="U143" s="94" t="s">
        <v>1659</v>
      </c>
      <c r="V143" s="107"/>
      <c r="W143" s="117">
        <v>7600549</v>
      </c>
      <c r="X143" s="115" t="s">
        <v>1659</v>
      </c>
      <c r="Y143" s="98" t="s">
        <v>1838</v>
      </c>
      <c r="Z143" s="103" t="s">
        <v>1784</v>
      </c>
      <c r="AA143" s="125" t="s">
        <v>1657</v>
      </c>
      <c r="AB143" s="93" t="s">
        <v>1597</v>
      </c>
      <c r="AG143" s="88" t="s">
        <v>1778</v>
      </c>
      <c r="AH143" s="88" t="s">
        <v>1779</v>
      </c>
    </row>
    <row r="144" spans="2:34" ht="17.45" customHeight="1">
      <c r="B144" s="96" t="e">
        <f t="shared" si="4"/>
        <v>#REF!</v>
      </c>
      <c r="C144" s="112">
        <v>40999</v>
      </c>
      <c r="D144" s="98" t="s">
        <v>1837</v>
      </c>
      <c r="E144" s="98">
        <v>7600618</v>
      </c>
      <c r="F144" s="99" t="s">
        <v>1835</v>
      </c>
      <c r="G144" s="100" t="s">
        <v>422</v>
      </c>
      <c r="H144" s="101" t="s">
        <v>2194</v>
      </c>
      <c r="I144" s="98" t="s">
        <v>1837</v>
      </c>
      <c r="J144" s="102">
        <v>2</v>
      </c>
      <c r="K144" s="103" t="s">
        <v>1784</v>
      </c>
      <c r="L144" s="124">
        <v>7</v>
      </c>
      <c r="M144" s="125" t="s">
        <v>1657</v>
      </c>
      <c r="N144" s="106" t="str">
        <f t="shared" si="5"/>
        <v>27</v>
      </c>
      <c r="O144" s="107"/>
      <c r="P144" s="114" t="s">
        <v>1836</v>
      </c>
      <c r="Q144" s="107"/>
      <c r="R144" s="115" t="s">
        <v>1659</v>
      </c>
      <c r="S144" s="92" t="s">
        <v>1577</v>
      </c>
      <c r="T144" s="110"/>
      <c r="U144" s="94" t="s">
        <v>1659</v>
      </c>
      <c r="V144" s="107"/>
      <c r="W144" s="117">
        <v>7600549</v>
      </c>
      <c r="X144" s="115" t="s">
        <v>1659</v>
      </c>
      <c r="Y144" s="98" t="s">
        <v>1837</v>
      </c>
      <c r="Z144" s="103" t="s">
        <v>1784</v>
      </c>
      <c r="AA144" s="125" t="s">
        <v>1657</v>
      </c>
      <c r="AB144" s="110" t="s">
        <v>1623</v>
      </c>
      <c r="AG144" s="88" t="s">
        <v>1778</v>
      </c>
      <c r="AH144" s="88" t="s">
        <v>1779</v>
      </c>
    </row>
    <row r="145" spans="1:54" s="166" customFormat="1" ht="17.45" customHeight="1">
      <c r="A145" s="56"/>
      <c r="B145" s="96" t="e">
        <f t="shared" si="4"/>
        <v>#REF!</v>
      </c>
      <c r="C145" s="112">
        <v>41351</v>
      </c>
      <c r="D145" s="98" t="s">
        <v>2293</v>
      </c>
      <c r="E145" s="98">
        <v>7600931</v>
      </c>
      <c r="F145" s="113" t="s">
        <v>1835</v>
      </c>
      <c r="G145" s="100" t="s">
        <v>438</v>
      </c>
      <c r="H145" s="101" t="s">
        <v>2194</v>
      </c>
      <c r="I145" s="98" t="s">
        <v>2293</v>
      </c>
      <c r="J145" s="288">
        <v>2</v>
      </c>
      <c r="K145" s="289" t="s">
        <v>1784</v>
      </c>
      <c r="L145" s="124">
        <v>7</v>
      </c>
      <c r="M145" s="125" t="s">
        <v>1657</v>
      </c>
      <c r="N145" s="106" t="str">
        <f t="shared" si="5"/>
        <v>27</v>
      </c>
      <c r="O145" s="107"/>
      <c r="P145" s="117" t="s">
        <v>1836</v>
      </c>
      <c r="Q145" s="107"/>
      <c r="R145" s="115" t="s">
        <v>1659</v>
      </c>
      <c r="S145" s="92" t="s">
        <v>1577</v>
      </c>
      <c r="T145" s="110"/>
      <c r="U145" s="94" t="s">
        <v>1659</v>
      </c>
      <c r="V145" s="107"/>
      <c r="W145" s="117">
        <v>7600549</v>
      </c>
      <c r="X145" s="115" t="s">
        <v>1659</v>
      </c>
      <c r="Y145" s="98" t="s">
        <v>2293</v>
      </c>
      <c r="Z145" s="289" t="s">
        <v>1784</v>
      </c>
      <c r="AA145" s="125" t="s">
        <v>1657</v>
      </c>
      <c r="AB145" s="110" t="s">
        <v>2208</v>
      </c>
      <c r="AC145" s="129"/>
      <c r="AD145" s="74"/>
      <c r="AE145" s="74"/>
      <c r="AF145" s="74"/>
      <c r="AG145" s="88" t="s">
        <v>1778</v>
      </c>
      <c r="AH145" s="88" t="s">
        <v>1779</v>
      </c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</row>
    <row r="146" spans="1:54" ht="17.45" customHeight="1">
      <c r="B146" s="96" t="e">
        <f t="shared" si="4"/>
        <v>#REF!</v>
      </c>
      <c r="C146" s="112">
        <v>37225</v>
      </c>
      <c r="D146" s="98" t="s">
        <v>2084</v>
      </c>
      <c r="E146" s="98">
        <v>7600848</v>
      </c>
      <c r="F146" s="113" t="s">
        <v>2083</v>
      </c>
      <c r="G146" s="100" t="s">
        <v>694</v>
      </c>
      <c r="H146" s="101" t="s">
        <v>2095</v>
      </c>
      <c r="I146" s="98" t="s">
        <v>2084</v>
      </c>
      <c r="J146" s="102">
        <v>3</v>
      </c>
      <c r="K146" s="103" t="s">
        <v>1802</v>
      </c>
      <c r="L146" s="124">
        <v>1</v>
      </c>
      <c r="M146" s="125" t="s">
        <v>1661</v>
      </c>
      <c r="N146" s="106" t="str">
        <f t="shared" si="5"/>
        <v>31</v>
      </c>
      <c r="O146" s="107"/>
      <c r="P146" s="114" t="s">
        <v>2084</v>
      </c>
      <c r="Q146" s="107"/>
      <c r="R146" s="115" t="s">
        <v>1667</v>
      </c>
      <c r="S146" s="92" t="s">
        <v>1663</v>
      </c>
      <c r="T146" s="110"/>
      <c r="U146" s="94" t="s">
        <v>1667</v>
      </c>
      <c r="V146" s="107"/>
      <c r="W146" s="117">
        <v>7600848</v>
      </c>
      <c r="X146" s="115" t="s">
        <v>1667</v>
      </c>
      <c r="Y146" s="98" t="s">
        <v>2084</v>
      </c>
      <c r="Z146" s="103" t="s">
        <v>1802</v>
      </c>
      <c r="AA146" s="125" t="s">
        <v>1661</v>
      </c>
      <c r="AB146" s="155"/>
      <c r="AG146" s="88" t="s">
        <v>1778</v>
      </c>
      <c r="AH146" s="88" t="s">
        <v>1779</v>
      </c>
    </row>
    <row r="147" spans="1:54" ht="17.45" customHeight="1">
      <c r="A147" s="166"/>
      <c r="B147" s="96" t="e">
        <f t="shared" si="4"/>
        <v>#REF!</v>
      </c>
      <c r="C147" s="112">
        <v>36686</v>
      </c>
      <c r="D147" s="98" t="s">
        <v>2086</v>
      </c>
      <c r="E147" s="98">
        <v>7600839</v>
      </c>
      <c r="F147" s="99" t="s">
        <v>2085</v>
      </c>
      <c r="G147" s="100" t="s">
        <v>585</v>
      </c>
      <c r="H147" s="101" t="s">
        <v>2098</v>
      </c>
      <c r="I147" s="98" t="s">
        <v>2086</v>
      </c>
      <c r="J147" s="102">
        <v>3</v>
      </c>
      <c r="K147" s="102" t="s">
        <v>1802</v>
      </c>
      <c r="L147" s="126">
        <v>1</v>
      </c>
      <c r="M147" s="125" t="s">
        <v>1661</v>
      </c>
      <c r="N147" s="106" t="str">
        <f t="shared" si="5"/>
        <v>31</v>
      </c>
      <c r="O147" s="107"/>
      <c r="P147" s="114" t="s">
        <v>2086</v>
      </c>
      <c r="Q147" s="107"/>
      <c r="R147" s="115" t="s">
        <v>1662</v>
      </c>
      <c r="S147" s="92" t="s">
        <v>1663</v>
      </c>
      <c r="T147" s="110"/>
      <c r="U147" s="94" t="s">
        <v>1662</v>
      </c>
      <c r="V147" s="107"/>
      <c r="W147" s="117">
        <v>7600839</v>
      </c>
      <c r="X147" s="115" t="s">
        <v>1662</v>
      </c>
      <c r="Y147" s="98" t="s">
        <v>2086</v>
      </c>
      <c r="Z147" s="102" t="s">
        <v>1802</v>
      </c>
      <c r="AA147" s="125" t="s">
        <v>1661</v>
      </c>
      <c r="AB147" s="155"/>
      <c r="AG147" s="88" t="s">
        <v>1778</v>
      </c>
      <c r="AH147" s="88" t="s">
        <v>1779</v>
      </c>
      <c r="AI147" s="166"/>
      <c r="AJ147" s="166"/>
      <c r="AK147" s="166"/>
      <c r="AL147" s="166"/>
      <c r="AM147" s="166"/>
      <c r="AN147" s="166"/>
      <c r="AO147" s="166"/>
      <c r="AP147" s="166"/>
      <c r="AQ147" s="166"/>
      <c r="AR147" s="166"/>
      <c r="AS147" s="166"/>
      <c r="AT147" s="166"/>
      <c r="AU147" s="166"/>
      <c r="AV147" s="166"/>
      <c r="AW147" s="166"/>
      <c r="AX147" s="166"/>
      <c r="AY147" s="166"/>
      <c r="AZ147" s="166"/>
      <c r="BA147" s="166"/>
      <c r="BB147" s="166"/>
    </row>
    <row r="148" spans="1:54" ht="17.45" customHeight="1">
      <c r="B148" s="96" t="e">
        <f>#REF!+1</f>
        <v>#REF!</v>
      </c>
      <c r="C148" s="112">
        <v>38516</v>
      </c>
      <c r="D148" s="98" t="s">
        <v>2151</v>
      </c>
      <c r="E148" s="98">
        <v>7600832</v>
      </c>
      <c r="F148" s="113" t="s">
        <v>2149</v>
      </c>
      <c r="G148" s="100" t="s">
        <v>596</v>
      </c>
      <c r="H148" s="101" t="s">
        <v>2147</v>
      </c>
      <c r="I148" s="98" t="s">
        <v>2151</v>
      </c>
      <c r="J148" s="102">
        <v>3</v>
      </c>
      <c r="K148" s="103" t="s">
        <v>1802</v>
      </c>
      <c r="L148" s="124">
        <v>1</v>
      </c>
      <c r="M148" s="125" t="s">
        <v>1661</v>
      </c>
      <c r="N148" s="106" t="str">
        <f t="shared" si="5"/>
        <v>31</v>
      </c>
      <c r="O148" s="107"/>
      <c r="P148" s="114" t="s">
        <v>2151</v>
      </c>
      <c r="Q148" s="107"/>
      <c r="R148" s="115" t="s">
        <v>1665</v>
      </c>
      <c r="S148" s="92" t="s">
        <v>1663</v>
      </c>
      <c r="T148" s="110"/>
      <c r="U148" s="94" t="s">
        <v>1665</v>
      </c>
      <c r="V148" s="107"/>
      <c r="W148" s="117">
        <v>7600832</v>
      </c>
      <c r="X148" s="115" t="s">
        <v>1665</v>
      </c>
      <c r="Y148" s="98" t="s">
        <v>2151</v>
      </c>
      <c r="Z148" s="103" t="s">
        <v>1802</v>
      </c>
      <c r="AA148" s="125" t="s">
        <v>1661</v>
      </c>
      <c r="AB148" s="155"/>
      <c r="AC148" s="166"/>
      <c r="AD148" s="166"/>
      <c r="AE148" s="166"/>
      <c r="AF148" s="166"/>
      <c r="AG148" s="88" t="s">
        <v>1778</v>
      </c>
      <c r="AH148" s="88" t="s">
        <v>1779</v>
      </c>
    </row>
    <row r="149" spans="1:54" ht="17.45" customHeight="1">
      <c r="B149" s="96" t="e">
        <f t="shared" ref="B149:B212" si="6">B148+1</f>
        <v>#REF!</v>
      </c>
      <c r="C149" s="112">
        <v>40087</v>
      </c>
      <c r="D149" s="98" t="s">
        <v>2223</v>
      </c>
      <c r="E149" s="98">
        <v>7600520</v>
      </c>
      <c r="F149" s="113" t="s">
        <v>2219</v>
      </c>
      <c r="G149" s="100" t="s">
        <v>601</v>
      </c>
      <c r="H149" s="101" t="s">
        <v>2215</v>
      </c>
      <c r="I149" s="98" t="s">
        <v>2223</v>
      </c>
      <c r="J149" s="102">
        <v>3</v>
      </c>
      <c r="K149" s="103" t="s">
        <v>1802</v>
      </c>
      <c r="L149" s="124">
        <v>1</v>
      </c>
      <c r="M149" s="125" t="s">
        <v>1661</v>
      </c>
      <c r="N149" s="106" t="str">
        <f t="shared" si="5"/>
        <v>31</v>
      </c>
      <c r="O149" s="107"/>
      <c r="P149" s="114" t="s">
        <v>2221</v>
      </c>
      <c r="Q149" s="107"/>
      <c r="R149" s="115" t="s">
        <v>1666</v>
      </c>
      <c r="S149" s="92" t="s">
        <v>1663</v>
      </c>
      <c r="T149" s="110"/>
      <c r="U149" s="94" t="s">
        <v>1666</v>
      </c>
      <c r="V149" s="107"/>
      <c r="W149" s="117">
        <v>7600520</v>
      </c>
      <c r="X149" s="115" t="s">
        <v>1666</v>
      </c>
      <c r="Y149" s="98" t="s">
        <v>2223</v>
      </c>
      <c r="Z149" s="103" t="s">
        <v>1802</v>
      </c>
      <c r="AA149" s="125" t="s">
        <v>1661</v>
      </c>
      <c r="AB149" s="155"/>
      <c r="AG149" s="88" t="s">
        <v>1778</v>
      </c>
      <c r="AH149" s="88" t="s">
        <v>1779</v>
      </c>
    </row>
    <row r="150" spans="1:54" ht="17.45" customHeight="1">
      <c r="B150" s="96" t="e">
        <f t="shared" si="6"/>
        <v>#REF!</v>
      </c>
      <c r="C150" s="112">
        <v>37388</v>
      </c>
      <c r="D150" s="98" t="s">
        <v>2059</v>
      </c>
      <c r="E150" s="98">
        <v>7600312</v>
      </c>
      <c r="F150" s="113" t="s">
        <v>2055</v>
      </c>
      <c r="G150" s="100" t="s">
        <v>607</v>
      </c>
      <c r="H150" s="101" t="s">
        <v>2051</v>
      </c>
      <c r="I150" s="98" t="s">
        <v>2059</v>
      </c>
      <c r="J150" s="102">
        <v>3</v>
      </c>
      <c r="K150" s="103" t="s">
        <v>1802</v>
      </c>
      <c r="L150" s="124">
        <v>2</v>
      </c>
      <c r="M150" s="125" t="s">
        <v>1668</v>
      </c>
      <c r="N150" s="106" t="str">
        <f t="shared" si="5"/>
        <v>32</v>
      </c>
      <c r="O150" s="107"/>
      <c r="P150" s="114" t="s">
        <v>2056</v>
      </c>
      <c r="Q150" s="107"/>
      <c r="R150" s="115" t="s">
        <v>1671</v>
      </c>
      <c r="S150" s="92" t="s">
        <v>1577</v>
      </c>
      <c r="T150" s="110"/>
      <c r="U150" s="94" t="s">
        <v>1671</v>
      </c>
      <c r="V150" s="107"/>
      <c r="W150" s="117">
        <v>7600013</v>
      </c>
      <c r="X150" s="115" t="s">
        <v>1671</v>
      </c>
      <c r="Y150" s="98" t="s">
        <v>2059</v>
      </c>
      <c r="Z150" s="103" t="s">
        <v>1802</v>
      </c>
      <c r="AA150" s="125" t="s">
        <v>1668</v>
      </c>
      <c r="AB150" s="155"/>
      <c r="AG150" s="88" t="s">
        <v>1778</v>
      </c>
      <c r="AH150" s="88" t="s">
        <v>1779</v>
      </c>
    </row>
    <row r="151" spans="1:54" ht="17.45" customHeight="1">
      <c r="B151" s="96" t="e">
        <f t="shared" si="6"/>
        <v>#REF!</v>
      </c>
      <c r="C151" s="112">
        <v>35466</v>
      </c>
      <c r="D151" s="98" t="s">
        <v>2056</v>
      </c>
      <c r="E151" s="98">
        <v>7600013</v>
      </c>
      <c r="F151" s="113" t="s">
        <v>2055</v>
      </c>
      <c r="G151" s="100" t="s">
        <v>614</v>
      </c>
      <c r="H151" s="101" t="s">
        <v>2051</v>
      </c>
      <c r="I151" s="98" t="s">
        <v>2056</v>
      </c>
      <c r="J151" s="102">
        <v>3</v>
      </c>
      <c r="K151" s="103" t="s">
        <v>1802</v>
      </c>
      <c r="L151" s="124">
        <v>2</v>
      </c>
      <c r="M151" s="125" t="s">
        <v>1668</v>
      </c>
      <c r="N151" s="106" t="str">
        <f t="shared" si="5"/>
        <v>32</v>
      </c>
      <c r="O151" s="107"/>
      <c r="P151" s="114" t="s">
        <v>2056</v>
      </c>
      <c r="Q151" s="107"/>
      <c r="R151" s="115" t="s">
        <v>1671</v>
      </c>
      <c r="S151" s="92" t="s">
        <v>1577</v>
      </c>
      <c r="T151" s="110"/>
      <c r="U151" s="94" t="s">
        <v>1671</v>
      </c>
      <c r="V151" s="107"/>
      <c r="W151" s="117">
        <v>7600013</v>
      </c>
      <c r="X151" s="115" t="s">
        <v>1671</v>
      </c>
      <c r="Y151" s="98" t="s">
        <v>2056</v>
      </c>
      <c r="Z151" s="103" t="s">
        <v>1802</v>
      </c>
      <c r="AA151" s="125" t="s">
        <v>1668</v>
      </c>
      <c r="AB151" s="155"/>
      <c r="AG151" s="88" t="s">
        <v>1778</v>
      </c>
      <c r="AH151" s="88" t="s">
        <v>1779</v>
      </c>
    </row>
    <row r="152" spans="1:54" ht="17.45" customHeight="1">
      <c r="B152" s="96" t="e">
        <f t="shared" si="6"/>
        <v>#REF!</v>
      </c>
      <c r="C152" s="112">
        <v>40183</v>
      </c>
      <c r="D152" s="98" t="s">
        <v>2061</v>
      </c>
      <c r="E152" s="98">
        <v>7600526</v>
      </c>
      <c r="F152" s="113" t="s">
        <v>2055</v>
      </c>
      <c r="G152" s="100" t="s">
        <v>618</v>
      </c>
      <c r="H152" s="101" t="s">
        <v>2051</v>
      </c>
      <c r="I152" s="98" t="s">
        <v>2061</v>
      </c>
      <c r="J152" s="102">
        <v>3</v>
      </c>
      <c r="K152" s="103" t="s">
        <v>1802</v>
      </c>
      <c r="L152" s="124">
        <v>2</v>
      </c>
      <c r="M152" s="125" t="s">
        <v>1668</v>
      </c>
      <c r="N152" s="106" t="str">
        <f t="shared" si="5"/>
        <v>32</v>
      </c>
      <c r="O152" s="107"/>
      <c r="P152" s="114" t="s">
        <v>2056</v>
      </c>
      <c r="Q152" s="107"/>
      <c r="R152" s="115" t="s">
        <v>1671</v>
      </c>
      <c r="S152" s="92" t="s">
        <v>1577</v>
      </c>
      <c r="T152" s="110"/>
      <c r="U152" s="94" t="s">
        <v>1671</v>
      </c>
      <c r="V152" s="107"/>
      <c r="W152" s="117">
        <v>7600013</v>
      </c>
      <c r="X152" s="115" t="s">
        <v>1671</v>
      </c>
      <c r="Y152" s="98" t="s">
        <v>2061</v>
      </c>
      <c r="Z152" s="103" t="s">
        <v>1802</v>
      </c>
      <c r="AA152" s="125" t="s">
        <v>1668</v>
      </c>
      <c r="AB152" s="155"/>
      <c r="AG152" s="88" t="s">
        <v>1778</v>
      </c>
      <c r="AH152" s="88" t="s">
        <v>1779</v>
      </c>
    </row>
    <row r="153" spans="1:54" ht="17.45" customHeight="1">
      <c r="B153" s="96" t="e">
        <f t="shared" si="6"/>
        <v>#REF!</v>
      </c>
      <c r="C153" s="112">
        <v>36972</v>
      </c>
      <c r="D153" s="98" t="s">
        <v>2057</v>
      </c>
      <c r="E153" s="98">
        <v>7600213</v>
      </c>
      <c r="F153" s="99" t="s">
        <v>2055</v>
      </c>
      <c r="G153" s="100" t="s">
        <v>621</v>
      </c>
      <c r="H153" s="101" t="s">
        <v>2051</v>
      </c>
      <c r="I153" s="98" t="s">
        <v>2057</v>
      </c>
      <c r="J153" s="102">
        <v>3</v>
      </c>
      <c r="K153" s="102" t="s">
        <v>1802</v>
      </c>
      <c r="L153" s="126">
        <v>2</v>
      </c>
      <c r="M153" s="125" t="s">
        <v>1668</v>
      </c>
      <c r="N153" s="106" t="str">
        <f t="shared" si="5"/>
        <v>32</v>
      </c>
      <c r="O153" s="107"/>
      <c r="P153" s="114" t="s">
        <v>2056</v>
      </c>
      <c r="Q153" s="107"/>
      <c r="R153" s="115" t="s">
        <v>1671</v>
      </c>
      <c r="S153" s="92" t="s">
        <v>1577</v>
      </c>
      <c r="T153" s="110"/>
      <c r="U153" s="94" t="s">
        <v>1671</v>
      </c>
      <c r="V153" s="107"/>
      <c r="W153" s="117">
        <v>7600013</v>
      </c>
      <c r="X153" s="115" t="s">
        <v>1671</v>
      </c>
      <c r="Y153" s="98" t="s">
        <v>2057</v>
      </c>
      <c r="Z153" s="102" t="s">
        <v>1802</v>
      </c>
      <c r="AA153" s="125" t="s">
        <v>1668</v>
      </c>
      <c r="AB153" s="155"/>
      <c r="AG153" s="88" t="s">
        <v>1778</v>
      </c>
      <c r="AH153" s="88" t="s">
        <v>1779</v>
      </c>
    </row>
    <row r="154" spans="1:54" ht="17.45" customHeight="1">
      <c r="B154" s="96" t="e">
        <f t="shared" si="6"/>
        <v>#REF!</v>
      </c>
      <c r="C154" s="112">
        <v>43172</v>
      </c>
      <c r="D154" s="98" t="s">
        <v>2177</v>
      </c>
      <c r="E154" s="98">
        <v>7600989</v>
      </c>
      <c r="F154" s="113" t="s">
        <v>2176</v>
      </c>
      <c r="G154" s="100" t="s">
        <v>779</v>
      </c>
      <c r="H154" s="101" t="s">
        <v>2167</v>
      </c>
      <c r="I154" s="98" t="s">
        <v>2177</v>
      </c>
      <c r="J154" s="102">
        <v>3</v>
      </c>
      <c r="K154" s="103" t="s">
        <v>1802</v>
      </c>
      <c r="L154" s="124">
        <v>2</v>
      </c>
      <c r="M154" s="125" t="s">
        <v>1668</v>
      </c>
      <c r="N154" s="106" t="str">
        <f t="shared" si="5"/>
        <v>32</v>
      </c>
      <c r="O154" s="107"/>
      <c r="P154" s="114" t="s">
        <v>2177</v>
      </c>
      <c r="Q154" s="107"/>
      <c r="R154" s="115" t="s">
        <v>1692</v>
      </c>
      <c r="S154" s="92" t="s">
        <v>1577</v>
      </c>
      <c r="T154" s="110"/>
      <c r="U154" s="94" t="s">
        <v>1692</v>
      </c>
      <c r="V154" s="107"/>
      <c r="W154" s="117">
        <v>7600989</v>
      </c>
      <c r="X154" s="115" t="s">
        <v>1692</v>
      </c>
      <c r="Y154" s="98" t="s">
        <v>2177</v>
      </c>
      <c r="Z154" s="103" t="s">
        <v>1802</v>
      </c>
      <c r="AA154" s="125" t="s">
        <v>1668</v>
      </c>
      <c r="AB154" s="155"/>
      <c r="AG154" s="88" t="s">
        <v>1778</v>
      </c>
      <c r="AH154" s="88" t="s">
        <v>1779</v>
      </c>
    </row>
    <row r="155" spans="1:54" ht="17.45" customHeight="1">
      <c r="B155" s="96" t="e">
        <f t="shared" si="6"/>
        <v>#REF!</v>
      </c>
      <c r="C155" s="112">
        <v>44362</v>
      </c>
      <c r="D155" s="98" t="s">
        <v>2183</v>
      </c>
      <c r="E155" s="98">
        <v>7601160</v>
      </c>
      <c r="F155" s="113" t="s">
        <v>2182</v>
      </c>
      <c r="G155" s="100" t="s">
        <v>784</v>
      </c>
      <c r="H155" s="101" t="s">
        <v>2173</v>
      </c>
      <c r="I155" s="98" t="s">
        <v>2183</v>
      </c>
      <c r="J155" s="126">
        <v>3</v>
      </c>
      <c r="K155" s="124" t="s">
        <v>1802</v>
      </c>
      <c r="L155" s="124">
        <v>2</v>
      </c>
      <c r="M155" s="125" t="s">
        <v>1668</v>
      </c>
      <c r="N155" s="106" t="str">
        <f t="shared" si="5"/>
        <v>32</v>
      </c>
      <c r="O155" s="107"/>
      <c r="P155" s="167" t="s">
        <v>2183</v>
      </c>
      <c r="Q155" s="107"/>
      <c r="R155" s="115" t="s">
        <v>1693</v>
      </c>
      <c r="S155" s="92" t="s">
        <v>1577</v>
      </c>
      <c r="T155" s="110"/>
      <c r="U155" s="94" t="s">
        <v>1693</v>
      </c>
      <c r="V155" s="107"/>
      <c r="W155" s="211">
        <v>7601160</v>
      </c>
      <c r="X155" s="115" t="s">
        <v>1693</v>
      </c>
      <c r="Y155" s="98" t="s">
        <v>2183</v>
      </c>
      <c r="Z155" s="124" t="s">
        <v>1802</v>
      </c>
      <c r="AA155" s="125" t="s">
        <v>1668</v>
      </c>
      <c r="AG155" s="88" t="s">
        <v>1778</v>
      </c>
      <c r="AH155" s="88" t="s">
        <v>1779</v>
      </c>
    </row>
    <row r="156" spans="1:54" ht="17.45" customHeight="1">
      <c r="B156" s="96" t="e">
        <f t="shared" si="6"/>
        <v>#REF!</v>
      </c>
      <c r="C156" s="112">
        <v>45442</v>
      </c>
      <c r="D156" s="98" t="s">
        <v>2188</v>
      </c>
      <c r="E156" s="98">
        <v>7601240</v>
      </c>
      <c r="F156" s="113" t="s">
        <v>2182</v>
      </c>
      <c r="G156" s="100" t="s">
        <v>791</v>
      </c>
      <c r="H156" s="101" t="s">
        <v>2173</v>
      </c>
      <c r="I156" s="98" t="s">
        <v>2188</v>
      </c>
      <c r="J156" s="126">
        <v>3</v>
      </c>
      <c r="K156" s="124" t="s">
        <v>1802</v>
      </c>
      <c r="L156" s="124">
        <v>2</v>
      </c>
      <c r="M156" s="125" t="s">
        <v>1668</v>
      </c>
      <c r="N156" s="106" t="str">
        <f t="shared" si="5"/>
        <v>32</v>
      </c>
      <c r="O156" s="107"/>
      <c r="P156" s="167" t="s">
        <v>2183</v>
      </c>
      <c r="Q156" s="107"/>
      <c r="R156" s="115" t="s">
        <v>1693</v>
      </c>
      <c r="S156" s="92" t="s">
        <v>1577</v>
      </c>
      <c r="T156" s="110"/>
      <c r="U156" s="94" t="s">
        <v>1693</v>
      </c>
      <c r="V156" s="107"/>
      <c r="W156" s="211">
        <v>7601160</v>
      </c>
      <c r="X156" s="115" t="s">
        <v>1693</v>
      </c>
      <c r="Y156" s="98" t="s">
        <v>2188</v>
      </c>
      <c r="Z156" s="124" t="s">
        <v>1802</v>
      </c>
      <c r="AA156" s="125" t="s">
        <v>1668</v>
      </c>
      <c r="AG156" s="88" t="s">
        <v>1778</v>
      </c>
      <c r="AH156" s="88" t="s">
        <v>1779</v>
      </c>
    </row>
    <row r="157" spans="1:54" ht="17.45" customHeight="1">
      <c r="B157" s="96" t="e">
        <f t="shared" si="6"/>
        <v>#REF!</v>
      </c>
      <c r="C157" s="112">
        <v>41247</v>
      </c>
      <c r="D157" s="98" t="s">
        <v>2294</v>
      </c>
      <c r="E157" s="98">
        <v>7600770</v>
      </c>
      <c r="F157" s="113" t="s">
        <v>1978</v>
      </c>
      <c r="G157" s="100" t="s">
        <v>646</v>
      </c>
      <c r="H157" s="101" t="s">
        <v>1806</v>
      </c>
      <c r="I157" s="98" t="s">
        <v>2294</v>
      </c>
      <c r="J157" s="126">
        <v>3</v>
      </c>
      <c r="K157" s="124" t="s">
        <v>1802</v>
      </c>
      <c r="L157" s="124">
        <v>3</v>
      </c>
      <c r="M157" s="125" t="s">
        <v>1677</v>
      </c>
      <c r="N157" s="106" t="str">
        <f t="shared" si="5"/>
        <v>33</v>
      </c>
      <c r="O157" s="107"/>
      <c r="P157" s="114" t="s">
        <v>1980</v>
      </c>
      <c r="Q157" s="107"/>
      <c r="R157" s="115" t="s">
        <v>1681</v>
      </c>
      <c r="S157" s="92" t="s">
        <v>1583</v>
      </c>
      <c r="T157" s="110"/>
      <c r="U157" s="94" t="s">
        <v>1681</v>
      </c>
      <c r="V157" s="107"/>
      <c r="W157" s="117">
        <v>7600690</v>
      </c>
      <c r="X157" s="115" t="s">
        <v>1681</v>
      </c>
      <c r="Y157" s="98" t="s">
        <v>2294</v>
      </c>
      <c r="Z157" s="124" t="s">
        <v>1802</v>
      </c>
      <c r="AA157" s="125" t="s">
        <v>1677</v>
      </c>
      <c r="AB157" s="155"/>
      <c r="AG157" s="88" t="s">
        <v>1778</v>
      </c>
      <c r="AH157" s="88" t="s">
        <v>1779</v>
      </c>
    </row>
    <row r="158" spans="1:54" ht="17.45" customHeight="1">
      <c r="B158" s="96" t="e">
        <f t="shared" si="6"/>
        <v>#REF!</v>
      </c>
      <c r="C158" s="112">
        <v>41600</v>
      </c>
      <c r="D158" s="98" t="s">
        <v>1980</v>
      </c>
      <c r="E158" s="98">
        <v>7600690</v>
      </c>
      <c r="F158" s="99" t="s">
        <v>1978</v>
      </c>
      <c r="G158" s="100" t="s">
        <v>652</v>
      </c>
      <c r="H158" s="101" t="s">
        <v>1806</v>
      </c>
      <c r="I158" s="98" t="s">
        <v>1980</v>
      </c>
      <c r="J158" s="102">
        <v>3</v>
      </c>
      <c r="K158" s="103" t="s">
        <v>1802</v>
      </c>
      <c r="L158" s="124">
        <v>3</v>
      </c>
      <c r="M158" s="125" t="s">
        <v>1677</v>
      </c>
      <c r="N158" s="106" t="str">
        <f t="shared" si="5"/>
        <v>33</v>
      </c>
      <c r="O158" s="107"/>
      <c r="P158" s="114" t="s">
        <v>1980</v>
      </c>
      <c r="Q158" s="107"/>
      <c r="R158" s="115" t="s">
        <v>1681</v>
      </c>
      <c r="S158" s="92" t="s">
        <v>1583</v>
      </c>
      <c r="T158" s="110"/>
      <c r="U158" s="94" t="s">
        <v>1681</v>
      </c>
      <c r="V158" s="107"/>
      <c r="W158" s="117">
        <v>7600690</v>
      </c>
      <c r="X158" s="115" t="s">
        <v>1681</v>
      </c>
      <c r="Y158" s="98" t="s">
        <v>1980</v>
      </c>
      <c r="Z158" s="103" t="s">
        <v>1802</v>
      </c>
      <c r="AA158" s="125" t="s">
        <v>1677</v>
      </c>
      <c r="AB158" s="155"/>
      <c r="AG158" s="88" t="s">
        <v>1778</v>
      </c>
      <c r="AH158" s="88" t="s">
        <v>1779</v>
      </c>
    </row>
    <row r="159" spans="1:54" ht="17.45" customHeight="1">
      <c r="B159" s="96" t="e">
        <f t="shared" si="6"/>
        <v>#REF!</v>
      </c>
      <c r="C159" s="112">
        <v>41999</v>
      </c>
      <c r="D159" s="98" t="s">
        <v>1982</v>
      </c>
      <c r="E159" s="98">
        <v>7600820</v>
      </c>
      <c r="F159" s="99" t="s">
        <v>1978</v>
      </c>
      <c r="G159" s="100" t="s">
        <v>657</v>
      </c>
      <c r="H159" s="101" t="s">
        <v>1806</v>
      </c>
      <c r="I159" s="98" t="s">
        <v>1982</v>
      </c>
      <c r="J159" s="126">
        <v>3</v>
      </c>
      <c r="K159" s="124" t="s">
        <v>1802</v>
      </c>
      <c r="L159" s="124">
        <v>3</v>
      </c>
      <c r="M159" s="125" t="s">
        <v>1677</v>
      </c>
      <c r="N159" s="106" t="str">
        <f t="shared" si="5"/>
        <v>33</v>
      </c>
      <c r="O159" s="107"/>
      <c r="P159" s="114" t="s">
        <v>1980</v>
      </c>
      <c r="Q159" s="107"/>
      <c r="R159" s="115" t="s">
        <v>1681</v>
      </c>
      <c r="S159" s="92" t="s">
        <v>1583</v>
      </c>
      <c r="T159" s="110"/>
      <c r="U159" s="94" t="s">
        <v>1681</v>
      </c>
      <c r="V159" s="107"/>
      <c r="W159" s="117">
        <v>7600690</v>
      </c>
      <c r="X159" s="115" t="s">
        <v>1681</v>
      </c>
      <c r="Y159" s="98" t="s">
        <v>1982</v>
      </c>
      <c r="Z159" s="124" t="s">
        <v>1802</v>
      </c>
      <c r="AA159" s="125" t="s">
        <v>1677</v>
      </c>
      <c r="AB159" s="155"/>
      <c r="AG159" s="88" t="s">
        <v>1778</v>
      </c>
      <c r="AH159" s="88" t="s">
        <v>1779</v>
      </c>
    </row>
    <row r="160" spans="1:54" ht="17.45" customHeight="1">
      <c r="B160" s="96" t="e">
        <f t="shared" si="6"/>
        <v>#REF!</v>
      </c>
      <c r="C160" s="112">
        <v>41989</v>
      </c>
      <c r="D160" s="98" t="s">
        <v>1981</v>
      </c>
      <c r="E160" s="98">
        <v>7600813</v>
      </c>
      <c r="F160" s="99" t="s">
        <v>1978</v>
      </c>
      <c r="G160" s="100" t="s">
        <v>662</v>
      </c>
      <c r="H160" s="101" t="s">
        <v>1806</v>
      </c>
      <c r="I160" s="98" t="s">
        <v>1981</v>
      </c>
      <c r="J160" s="126">
        <v>3</v>
      </c>
      <c r="K160" s="124" t="s">
        <v>1802</v>
      </c>
      <c r="L160" s="124">
        <v>3</v>
      </c>
      <c r="M160" s="125" t="s">
        <v>1677</v>
      </c>
      <c r="N160" s="106" t="str">
        <f t="shared" si="5"/>
        <v>33</v>
      </c>
      <c r="O160" s="107"/>
      <c r="P160" s="114" t="s">
        <v>1980</v>
      </c>
      <c r="Q160" s="107"/>
      <c r="R160" s="115" t="s">
        <v>1681</v>
      </c>
      <c r="S160" s="92" t="s">
        <v>1583</v>
      </c>
      <c r="T160" s="110"/>
      <c r="U160" s="94" t="s">
        <v>1681</v>
      </c>
      <c r="V160" s="107"/>
      <c r="W160" s="117">
        <v>7600690</v>
      </c>
      <c r="X160" s="115" t="s">
        <v>1681</v>
      </c>
      <c r="Y160" s="98" t="s">
        <v>1981</v>
      </c>
      <c r="Z160" s="124" t="s">
        <v>1802</v>
      </c>
      <c r="AA160" s="125" t="s">
        <v>1677</v>
      </c>
      <c r="AB160" s="155"/>
      <c r="AG160" s="88" t="s">
        <v>1778</v>
      </c>
      <c r="AH160" s="88" t="s">
        <v>1779</v>
      </c>
    </row>
    <row r="161" spans="1:54" ht="17.45" customHeight="1">
      <c r="B161" s="96" t="e">
        <f t="shared" si="6"/>
        <v>#REF!</v>
      </c>
      <c r="C161" s="112">
        <v>42094</v>
      </c>
      <c r="D161" s="98" t="s">
        <v>1829</v>
      </c>
      <c r="E161" s="98">
        <v>7600878</v>
      </c>
      <c r="F161" s="113" t="s">
        <v>1824</v>
      </c>
      <c r="G161" s="100" t="s">
        <v>1156</v>
      </c>
      <c r="H161" s="101" t="s">
        <v>1839</v>
      </c>
      <c r="I161" s="98" t="s">
        <v>1829</v>
      </c>
      <c r="J161" s="126">
        <v>3</v>
      </c>
      <c r="K161" s="124" t="s">
        <v>1802</v>
      </c>
      <c r="L161" s="124">
        <v>3</v>
      </c>
      <c r="M161" s="125" t="s">
        <v>1677</v>
      </c>
      <c r="N161" s="106" t="str">
        <f t="shared" si="5"/>
        <v>33</v>
      </c>
      <c r="O161" s="107"/>
      <c r="P161" s="114" t="s">
        <v>1829</v>
      </c>
      <c r="Q161" s="107"/>
      <c r="R161" s="115" t="s">
        <v>1678</v>
      </c>
      <c r="S161" s="92" t="s">
        <v>1583</v>
      </c>
      <c r="T161" s="110"/>
      <c r="U161" s="94" t="s">
        <v>1678</v>
      </c>
      <c r="V161" s="107"/>
      <c r="W161" s="117">
        <v>7600878</v>
      </c>
      <c r="X161" s="115" t="s">
        <v>1678</v>
      </c>
      <c r="Y161" s="98" t="s">
        <v>1829</v>
      </c>
      <c r="Z161" s="124" t="s">
        <v>1802</v>
      </c>
      <c r="AA161" s="125" t="s">
        <v>1677</v>
      </c>
      <c r="AB161" s="110" t="s">
        <v>1619</v>
      </c>
      <c r="AG161" s="88" t="s">
        <v>1778</v>
      </c>
      <c r="AH161" s="88" t="s">
        <v>1779</v>
      </c>
    </row>
    <row r="162" spans="1:54" ht="17.45" customHeight="1">
      <c r="B162" s="96" t="e">
        <f t="shared" si="6"/>
        <v>#REF!</v>
      </c>
      <c r="C162" s="112">
        <v>35468</v>
      </c>
      <c r="D162" s="98" t="s">
        <v>1830</v>
      </c>
      <c r="E162" s="98">
        <v>7601134</v>
      </c>
      <c r="F162" s="113" t="s">
        <v>1824</v>
      </c>
      <c r="G162" s="100" t="s">
        <v>666</v>
      </c>
      <c r="H162" s="101" t="s">
        <v>1839</v>
      </c>
      <c r="I162" s="98" t="s">
        <v>1830</v>
      </c>
      <c r="J162" s="126">
        <v>3</v>
      </c>
      <c r="K162" s="124" t="s">
        <v>1802</v>
      </c>
      <c r="L162" s="124">
        <v>3</v>
      </c>
      <c r="M162" s="125" t="s">
        <v>1677</v>
      </c>
      <c r="N162" s="106" t="str">
        <f t="shared" si="5"/>
        <v>33</v>
      </c>
      <c r="O162" s="107"/>
      <c r="P162" s="114" t="s">
        <v>1829</v>
      </c>
      <c r="Q162" s="107"/>
      <c r="R162" s="115" t="s">
        <v>1678</v>
      </c>
      <c r="S162" s="92" t="s">
        <v>1583</v>
      </c>
      <c r="T162" s="110"/>
      <c r="U162" s="94" t="s">
        <v>1678</v>
      </c>
      <c r="V162" s="107"/>
      <c r="W162" s="117">
        <v>7600878</v>
      </c>
      <c r="X162" s="115" t="s">
        <v>1678</v>
      </c>
      <c r="Y162" s="98" t="s">
        <v>1830</v>
      </c>
      <c r="Z162" s="124" t="s">
        <v>1802</v>
      </c>
      <c r="AA162" s="125" t="s">
        <v>1677</v>
      </c>
      <c r="AB162" s="110" t="s">
        <v>1639</v>
      </c>
      <c r="AG162" s="88" t="s">
        <v>1778</v>
      </c>
      <c r="AH162" s="88" t="s">
        <v>1779</v>
      </c>
    </row>
    <row r="163" spans="1:54" ht="17.45" customHeight="1">
      <c r="B163" s="96" t="e">
        <f t="shared" si="6"/>
        <v>#REF!</v>
      </c>
      <c r="C163" s="112">
        <v>40542</v>
      </c>
      <c r="D163" s="98" t="s">
        <v>1825</v>
      </c>
      <c r="E163" s="98">
        <v>7600968</v>
      </c>
      <c r="F163" s="113" t="s">
        <v>1824</v>
      </c>
      <c r="G163" s="100" t="s">
        <v>673</v>
      </c>
      <c r="H163" s="101" t="s">
        <v>1839</v>
      </c>
      <c r="I163" s="98" t="s">
        <v>1825</v>
      </c>
      <c r="J163" s="102">
        <v>3</v>
      </c>
      <c r="K163" s="103" t="s">
        <v>1802</v>
      </c>
      <c r="L163" s="124">
        <v>3</v>
      </c>
      <c r="M163" s="125" t="s">
        <v>1677</v>
      </c>
      <c r="N163" s="106" t="str">
        <f t="shared" si="5"/>
        <v>33</v>
      </c>
      <c r="O163" s="107"/>
      <c r="P163" s="114" t="s">
        <v>1829</v>
      </c>
      <c r="Q163" s="107"/>
      <c r="R163" s="115" t="s">
        <v>1678</v>
      </c>
      <c r="S163" s="92" t="s">
        <v>1583</v>
      </c>
      <c r="T163" s="110"/>
      <c r="U163" s="94" t="s">
        <v>1678</v>
      </c>
      <c r="V163" s="107"/>
      <c r="W163" s="117">
        <v>7600878</v>
      </c>
      <c r="X163" s="115" t="s">
        <v>1678</v>
      </c>
      <c r="Y163" s="98" t="s">
        <v>1825</v>
      </c>
      <c r="Z163" s="103" t="s">
        <v>1802</v>
      </c>
      <c r="AA163" s="125" t="s">
        <v>1677</v>
      </c>
      <c r="AB163" s="110" t="s">
        <v>1691</v>
      </c>
      <c r="AG163" s="88" t="s">
        <v>1778</v>
      </c>
      <c r="AH163" s="88" t="s">
        <v>1779</v>
      </c>
    </row>
    <row r="164" spans="1:54" ht="17.45" customHeight="1">
      <c r="B164" s="96" t="e">
        <f t="shared" si="6"/>
        <v>#REF!</v>
      </c>
      <c r="C164" s="112">
        <v>42366</v>
      </c>
      <c r="D164" s="98" t="s">
        <v>2295</v>
      </c>
      <c r="E164" s="98">
        <v>7600969</v>
      </c>
      <c r="F164" s="113" t="s">
        <v>1824</v>
      </c>
      <c r="G164" s="100" t="s">
        <v>2275</v>
      </c>
      <c r="H164" s="101" t="s">
        <v>1839</v>
      </c>
      <c r="I164" s="98" t="s">
        <v>2295</v>
      </c>
      <c r="J164" s="102">
        <v>3</v>
      </c>
      <c r="K164" s="103" t="s">
        <v>1802</v>
      </c>
      <c r="L164" s="124">
        <v>3</v>
      </c>
      <c r="M164" s="125" t="s">
        <v>1677</v>
      </c>
      <c r="N164" s="106" t="str">
        <f t="shared" si="5"/>
        <v>33</v>
      </c>
      <c r="O164" s="107"/>
      <c r="P164" s="114" t="s">
        <v>1829</v>
      </c>
      <c r="Q164" s="107"/>
      <c r="R164" s="115" t="s">
        <v>1678</v>
      </c>
      <c r="S164" s="92" t="s">
        <v>1583</v>
      </c>
      <c r="T164" s="110"/>
      <c r="U164" s="94" t="s">
        <v>1678</v>
      </c>
      <c r="V164" s="107"/>
      <c r="W164" s="117">
        <v>7600878</v>
      </c>
      <c r="X164" s="115" t="s">
        <v>1678</v>
      </c>
      <c r="Y164" s="98" t="s">
        <v>2295</v>
      </c>
      <c r="Z164" s="103" t="s">
        <v>1802</v>
      </c>
      <c r="AA164" s="125" t="s">
        <v>1677</v>
      </c>
      <c r="AB164" s="110" t="s">
        <v>1680</v>
      </c>
      <c r="AG164" s="88" t="s">
        <v>1778</v>
      </c>
      <c r="AH164" s="88" t="s">
        <v>1779</v>
      </c>
    </row>
    <row r="165" spans="1:54" ht="17.45" customHeight="1">
      <c r="B165" s="96" t="e">
        <f t="shared" si="6"/>
        <v>#REF!</v>
      </c>
      <c r="C165" s="112">
        <v>36091</v>
      </c>
      <c r="D165" s="98" t="s">
        <v>1914</v>
      </c>
      <c r="E165" s="98">
        <v>7600088</v>
      </c>
      <c r="F165" s="113" t="s">
        <v>1913</v>
      </c>
      <c r="G165" s="100" t="s">
        <v>771</v>
      </c>
      <c r="H165" s="101" t="s">
        <v>1894</v>
      </c>
      <c r="I165" s="98" t="s">
        <v>1914</v>
      </c>
      <c r="J165" s="102">
        <v>3</v>
      </c>
      <c r="K165" s="103" t="s">
        <v>1802</v>
      </c>
      <c r="L165" s="124">
        <v>3</v>
      </c>
      <c r="M165" s="125" t="s">
        <v>1677</v>
      </c>
      <c r="N165" s="106" t="str">
        <f t="shared" si="5"/>
        <v>33</v>
      </c>
      <c r="O165" s="107"/>
      <c r="P165" s="114" t="s">
        <v>1914</v>
      </c>
      <c r="Q165" s="107"/>
      <c r="R165" s="115" t="s">
        <v>1691</v>
      </c>
      <c r="S165" s="92" t="s">
        <v>1583</v>
      </c>
      <c r="T165" s="110"/>
      <c r="U165" s="94" t="s">
        <v>1691</v>
      </c>
      <c r="V165" s="107"/>
      <c r="W165" s="117">
        <v>7600088</v>
      </c>
      <c r="X165" s="115" t="s">
        <v>1691</v>
      </c>
      <c r="Y165" s="98" t="s">
        <v>1914</v>
      </c>
      <c r="Z165" s="103" t="s">
        <v>1802</v>
      </c>
      <c r="AA165" s="125" t="s">
        <v>1677</v>
      </c>
      <c r="AB165" s="110" t="s">
        <v>1704</v>
      </c>
      <c r="AG165" s="88" t="s">
        <v>1778</v>
      </c>
      <c r="AH165" s="88" t="s">
        <v>1779</v>
      </c>
    </row>
    <row r="166" spans="1:54" ht="17.45" customHeight="1">
      <c r="B166" s="96" t="e">
        <f t="shared" si="6"/>
        <v>#REF!</v>
      </c>
      <c r="C166" s="112">
        <v>36301</v>
      </c>
      <c r="D166" s="98" t="s">
        <v>1915</v>
      </c>
      <c r="E166" s="98">
        <v>7600111</v>
      </c>
      <c r="F166" s="113" t="s">
        <v>1913</v>
      </c>
      <c r="G166" s="100" t="s">
        <v>776</v>
      </c>
      <c r="H166" s="101" t="s">
        <v>1894</v>
      </c>
      <c r="I166" s="98" t="s">
        <v>1915</v>
      </c>
      <c r="J166" s="102">
        <v>3</v>
      </c>
      <c r="K166" s="103" t="s">
        <v>1802</v>
      </c>
      <c r="L166" s="124">
        <v>3</v>
      </c>
      <c r="M166" s="125" t="s">
        <v>1677</v>
      </c>
      <c r="N166" s="106" t="str">
        <f t="shared" si="5"/>
        <v>33</v>
      </c>
      <c r="O166" s="107"/>
      <c r="P166" s="114" t="s">
        <v>1914</v>
      </c>
      <c r="Q166" s="107"/>
      <c r="R166" s="115" t="s">
        <v>1691</v>
      </c>
      <c r="S166" s="92" t="s">
        <v>1583</v>
      </c>
      <c r="T166" s="110"/>
      <c r="U166" s="94" t="s">
        <v>1691</v>
      </c>
      <c r="V166" s="107"/>
      <c r="W166" s="117">
        <v>7600088</v>
      </c>
      <c r="X166" s="115" t="s">
        <v>1691</v>
      </c>
      <c r="Y166" s="98" t="s">
        <v>1915</v>
      </c>
      <c r="Z166" s="103" t="s">
        <v>1802</v>
      </c>
      <c r="AA166" s="125" t="s">
        <v>1677</v>
      </c>
      <c r="AB166" s="110" t="s">
        <v>1897</v>
      </c>
      <c r="AC166" s="182"/>
      <c r="AD166" s="182"/>
      <c r="AE166" s="182"/>
      <c r="AF166" s="182"/>
      <c r="AG166" s="88" t="s">
        <v>1778</v>
      </c>
      <c r="AH166" s="88" t="s">
        <v>1779</v>
      </c>
    </row>
    <row r="167" spans="1:54" ht="17.45" customHeight="1">
      <c r="B167" s="96" t="e">
        <f t="shared" si="6"/>
        <v>#REF!</v>
      </c>
      <c r="C167" s="112">
        <v>40725</v>
      </c>
      <c r="D167" s="98" t="s">
        <v>2174</v>
      </c>
      <c r="E167" s="98">
        <v>7600592</v>
      </c>
      <c r="F167" s="113" t="s">
        <v>2172</v>
      </c>
      <c r="G167" s="100" t="s">
        <v>624</v>
      </c>
      <c r="H167" s="101" t="s">
        <v>2058</v>
      </c>
      <c r="I167" s="98" t="s">
        <v>2174</v>
      </c>
      <c r="J167" s="102">
        <v>3</v>
      </c>
      <c r="K167" s="103" t="s">
        <v>1802</v>
      </c>
      <c r="L167" s="124">
        <v>4</v>
      </c>
      <c r="M167" s="125" t="s">
        <v>1682</v>
      </c>
      <c r="N167" s="106" t="str">
        <f t="shared" si="5"/>
        <v>34</v>
      </c>
      <c r="O167" s="107"/>
      <c r="P167" s="114" t="s">
        <v>2174</v>
      </c>
      <c r="Q167" s="107"/>
      <c r="R167" s="115" t="s">
        <v>1673</v>
      </c>
      <c r="S167" s="92" t="s">
        <v>1584</v>
      </c>
      <c r="T167" s="110"/>
      <c r="U167" s="94" t="s">
        <v>1673</v>
      </c>
      <c r="V167" s="107"/>
      <c r="W167" s="117">
        <v>7600592</v>
      </c>
      <c r="X167" s="115" t="s">
        <v>1673</v>
      </c>
      <c r="Y167" s="98" t="s">
        <v>2174</v>
      </c>
      <c r="Z167" s="103" t="s">
        <v>1802</v>
      </c>
      <c r="AA167" s="125" t="s">
        <v>1682</v>
      </c>
      <c r="AB167" s="155"/>
      <c r="AG167" s="88" t="s">
        <v>1778</v>
      </c>
      <c r="AH167" s="88" t="s">
        <v>1779</v>
      </c>
    </row>
    <row r="168" spans="1:54" ht="17.45" customHeight="1">
      <c r="B168" s="96" t="e">
        <f t="shared" si="6"/>
        <v>#REF!</v>
      </c>
      <c r="C168" s="146">
        <v>42625</v>
      </c>
      <c r="D168" s="98" t="s">
        <v>2175</v>
      </c>
      <c r="E168" s="118">
        <v>7601201</v>
      </c>
      <c r="F168" s="168" t="s">
        <v>2172</v>
      </c>
      <c r="G168" s="169" t="s">
        <v>630</v>
      </c>
      <c r="H168" s="170" t="s">
        <v>2060</v>
      </c>
      <c r="I168" s="98" t="s">
        <v>2175</v>
      </c>
      <c r="J168" s="189">
        <v>3</v>
      </c>
      <c r="K168" s="131" t="s">
        <v>1802</v>
      </c>
      <c r="L168" s="124">
        <v>4</v>
      </c>
      <c r="M168" s="125" t="s">
        <v>1682</v>
      </c>
      <c r="N168" s="106" t="str">
        <f t="shared" si="5"/>
        <v>34</v>
      </c>
      <c r="O168" s="107"/>
      <c r="P168" s="108" t="s">
        <v>2174</v>
      </c>
      <c r="Q168" s="107"/>
      <c r="R168" s="109" t="s">
        <v>1673</v>
      </c>
      <c r="S168" s="92" t="s">
        <v>1584</v>
      </c>
      <c r="T168" s="110"/>
      <c r="U168" s="94" t="s">
        <v>1673</v>
      </c>
      <c r="V168" s="107"/>
      <c r="W168" s="214">
        <v>7600592</v>
      </c>
      <c r="X168" s="109" t="s">
        <v>1673</v>
      </c>
      <c r="Y168" s="98" t="s">
        <v>2175</v>
      </c>
      <c r="Z168" s="131" t="s">
        <v>1802</v>
      </c>
      <c r="AA168" s="125" t="s">
        <v>1682</v>
      </c>
      <c r="AB168" s="155"/>
      <c r="AG168" s="88" t="s">
        <v>1778</v>
      </c>
      <c r="AH168" s="88" t="s">
        <v>1779</v>
      </c>
    </row>
    <row r="169" spans="1:54" s="86" customFormat="1" ht="17.45" customHeight="1">
      <c r="A169" s="56"/>
      <c r="B169" s="96" t="e">
        <f t="shared" si="6"/>
        <v>#REF!</v>
      </c>
      <c r="C169" s="148">
        <v>43829</v>
      </c>
      <c r="D169" s="98" t="s">
        <v>2054</v>
      </c>
      <c r="E169" s="118">
        <v>7601104</v>
      </c>
      <c r="F169" s="242" t="s">
        <v>2053</v>
      </c>
      <c r="G169" s="171" t="s">
        <v>635</v>
      </c>
      <c r="H169" s="175" t="s">
        <v>2092</v>
      </c>
      <c r="I169" s="98" t="s">
        <v>2054</v>
      </c>
      <c r="J169" s="172">
        <v>3</v>
      </c>
      <c r="K169" s="130" t="s">
        <v>1802</v>
      </c>
      <c r="L169" s="124">
        <v>4</v>
      </c>
      <c r="M169" s="125" t="s">
        <v>1682</v>
      </c>
      <c r="N169" s="106" t="str">
        <f t="shared" si="5"/>
        <v>34</v>
      </c>
      <c r="O169" s="107"/>
      <c r="P169" s="174" t="s">
        <v>2054</v>
      </c>
      <c r="Q169" s="107"/>
      <c r="R169" s="115" t="s">
        <v>1669</v>
      </c>
      <c r="S169" s="92" t="s">
        <v>1584</v>
      </c>
      <c r="T169" s="110"/>
      <c r="U169" s="94" t="s">
        <v>1669</v>
      </c>
      <c r="V169" s="107"/>
      <c r="W169" s="214">
        <v>7601104</v>
      </c>
      <c r="X169" s="115" t="s">
        <v>1669</v>
      </c>
      <c r="Y169" s="98" t="s">
        <v>2054</v>
      </c>
      <c r="Z169" s="130" t="s">
        <v>1802</v>
      </c>
      <c r="AA169" s="125" t="s">
        <v>1682</v>
      </c>
      <c r="AB169" s="155"/>
      <c r="AC169" s="129"/>
      <c r="AD169" s="74"/>
      <c r="AE169" s="74"/>
      <c r="AF169" s="74"/>
      <c r="AG169" s="88" t="s">
        <v>1778</v>
      </c>
      <c r="AH169" s="88" t="s">
        <v>1779</v>
      </c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</row>
    <row r="170" spans="1:54" ht="17.45" customHeight="1">
      <c r="B170" s="96" t="e">
        <f t="shared" si="6"/>
        <v>#REF!</v>
      </c>
      <c r="C170" s="112">
        <v>41273</v>
      </c>
      <c r="D170" s="98" t="s">
        <v>2121</v>
      </c>
      <c r="E170" s="98">
        <v>7601180</v>
      </c>
      <c r="F170" s="113" t="s">
        <v>2114</v>
      </c>
      <c r="G170" s="100" t="s">
        <v>699</v>
      </c>
      <c r="H170" s="154" t="s">
        <v>2119</v>
      </c>
      <c r="I170" s="98" t="s">
        <v>2121</v>
      </c>
      <c r="J170" s="295">
        <v>3</v>
      </c>
      <c r="K170" s="130" t="s">
        <v>1802</v>
      </c>
      <c r="L170" s="103">
        <v>4</v>
      </c>
      <c r="M170" s="173" t="s">
        <v>1682</v>
      </c>
      <c r="N170" s="106" t="str">
        <f t="shared" si="5"/>
        <v>34</v>
      </c>
      <c r="O170" s="107"/>
      <c r="P170" s="174" t="s">
        <v>2115</v>
      </c>
      <c r="Q170" s="107"/>
      <c r="R170" s="115" t="s">
        <v>1683</v>
      </c>
      <c r="S170" s="92" t="s">
        <v>1584</v>
      </c>
      <c r="T170" s="110"/>
      <c r="U170" s="94" t="s">
        <v>1683</v>
      </c>
      <c r="V170" s="107"/>
      <c r="W170" s="214">
        <v>7600822</v>
      </c>
      <c r="X170" s="115" t="s">
        <v>1683</v>
      </c>
      <c r="Y170" s="98" t="s">
        <v>2121</v>
      </c>
      <c r="Z170" s="130" t="s">
        <v>1802</v>
      </c>
      <c r="AA170" s="173" t="s">
        <v>1682</v>
      </c>
      <c r="AB170" s="155"/>
      <c r="AG170" s="88" t="s">
        <v>1778</v>
      </c>
      <c r="AH170" s="88" t="s">
        <v>1779</v>
      </c>
    </row>
    <row r="171" spans="1:54" ht="17.45" customHeight="1">
      <c r="A171" s="86"/>
      <c r="B171" s="96" t="e">
        <f t="shared" si="6"/>
        <v>#REF!</v>
      </c>
      <c r="C171" s="148">
        <v>41638</v>
      </c>
      <c r="D171" s="98" t="s">
        <v>2118</v>
      </c>
      <c r="E171" s="118">
        <v>7600875</v>
      </c>
      <c r="F171" s="164" t="s">
        <v>2114</v>
      </c>
      <c r="G171" s="165" t="s">
        <v>707</v>
      </c>
      <c r="H171" s="171" t="s">
        <v>2119</v>
      </c>
      <c r="I171" s="98" t="s">
        <v>2118</v>
      </c>
      <c r="J171" s="172">
        <v>3</v>
      </c>
      <c r="K171" s="130" t="s">
        <v>1802</v>
      </c>
      <c r="L171" s="124">
        <v>4</v>
      </c>
      <c r="M171" s="125" t="s">
        <v>1682</v>
      </c>
      <c r="N171" s="106" t="str">
        <f t="shared" si="5"/>
        <v>34</v>
      </c>
      <c r="O171" s="107"/>
      <c r="P171" s="108" t="s">
        <v>2115</v>
      </c>
      <c r="Q171" s="107"/>
      <c r="R171" s="115" t="s">
        <v>1683</v>
      </c>
      <c r="S171" s="92" t="s">
        <v>1584</v>
      </c>
      <c r="T171" s="110"/>
      <c r="U171" s="94" t="s">
        <v>1683</v>
      </c>
      <c r="V171" s="107"/>
      <c r="W171" s="111">
        <v>7600822</v>
      </c>
      <c r="X171" s="115" t="s">
        <v>1683</v>
      </c>
      <c r="Y171" s="98" t="s">
        <v>2118</v>
      </c>
      <c r="Z171" s="130" t="s">
        <v>1802</v>
      </c>
      <c r="AA171" s="125" t="s">
        <v>1682</v>
      </c>
      <c r="AB171" s="155"/>
      <c r="AC171" s="86"/>
      <c r="AD171" s="86"/>
      <c r="AE171" s="86"/>
      <c r="AF171" s="86"/>
      <c r="AG171" s="88" t="s">
        <v>1778</v>
      </c>
      <c r="AH171" s="88" t="s">
        <v>1779</v>
      </c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</row>
    <row r="172" spans="1:54" ht="17.45" customHeight="1">
      <c r="B172" s="96" t="e">
        <f t="shared" si="6"/>
        <v>#REF!</v>
      </c>
      <c r="C172" s="148">
        <v>36463</v>
      </c>
      <c r="D172" s="98" t="s">
        <v>2116</v>
      </c>
      <c r="E172" s="98">
        <v>7600826</v>
      </c>
      <c r="F172" s="113" t="s">
        <v>2114</v>
      </c>
      <c r="G172" s="100" t="s">
        <v>712</v>
      </c>
      <c r="H172" s="101" t="s">
        <v>2119</v>
      </c>
      <c r="I172" s="98" t="s">
        <v>2116</v>
      </c>
      <c r="J172" s="126">
        <v>3</v>
      </c>
      <c r="K172" s="124" t="s">
        <v>1802</v>
      </c>
      <c r="L172" s="124">
        <v>4</v>
      </c>
      <c r="M172" s="125" t="s">
        <v>1682</v>
      </c>
      <c r="N172" s="106" t="str">
        <f t="shared" si="5"/>
        <v>34</v>
      </c>
      <c r="O172" s="107"/>
      <c r="P172" s="114" t="s">
        <v>2115</v>
      </c>
      <c r="Q172" s="107"/>
      <c r="R172" s="115" t="s">
        <v>1683</v>
      </c>
      <c r="S172" s="92" t="s">
        <v>1584</v>
      </c>
      <c r="T172" s="110"/>
      <c r="U172" s="94" t="s">
        <v>1683</v>
      </c>
      <c r="V172" s="107"/>
      <c r="W172" s="117">
        <v>7600822</v>
      </c>
      <c r="X172" s="115" t="s">
        <v>1683</v>
      </c>
      <c r="Y172" s="98" t="s">
        <v>2116</v>
      </c>
      <c r="Z172" s="124" t="s">
        <v>1802</v>
      </c>
      <c r="AA172" s="125" t="s">
        <v>1682</v>
      </c>
      <c r="AB172" s="155"/>
      <c r="AG172" s="88" t="s">
        <v>1778</v>
      </c>
      <c r="AH172" s="88" t="s">
        <v>1779</v>
      </c>
    </row>
    <row r="173" spans="1:54" ht="17.45" customHeight="1">
      <c r="B173" s="96" t="e">
        <f t="shared" si="6"/>
        <v>#REF!</v>
      </c>
      <c r="C173" s="112">
        <v>37601</v>
      </c>
      <c r="D173" s="98" t="s">
        <v>2120</v>
      </c>
      <c r="E173" s="98">
        <v>7601179</v>
      </c>
      <c r="F173" s="113" t="s">
        <v>2114</v>
      </c>
      <c r="G173" s="100" t="s">
        <v>715</v>
      </c>
      <c r="H173" s="154" t="s">
        <v>2119</v>
      </c>
      <c r="I173" s="98" t="s">
        <v>2120</v>
      </c>
      <c r="J173" s="126">
        <v>3</v>
      </c>
      <c r="K173" s="124" t="s">
        <v>1802</v>
      </c>
      <c r="L173" s="103">
        <v>4</v>
      </c>
      <c r="M173" s="173" t="s">
        <v>1682</v>
      </c>
      <c r="N173" s="106" t="str">
        <f t="shared" si="5"/>
        <v>34</v>
      </c>
      <c r="O173" s="107"/>
      <c r="P173" s="167" t="s">
        <v>2115</v>
      </c>
      <c r="Q173" s="107"/>
      <c r="R173" s="115" t="s">
        <v>1683</v>
      </c>
      <c r="S173" s="92" t="s">
        <v>1584</v>
      </c>
      <c r="T173" s="110"/>
      <c r="U173" s="94" t="s">
        <v>1683</v>
      </c>
      <c r="V173" s="107"/>
      <c r="W173" s="211">
        <v>7600822</v>
      </c>
      <c r="X173" s="115" t="s">
        <v>1683</v>
      </c>
      <c r="Y173" s="98" t="s">
        <v>2120</v>
      </c>
      <c r="Z173" s="124" t="s">
        <v>1802</v>
      </c>
      <c r="AA173" s="173" t="s">
        <v>1682</v>
      </c>
      <c r="AB173" s="155"/>
      <c r="AG173" s="88" t="s">
        <v>1778</v>
      </c>
      <c r="AH173" s="88" t="s">
        <v>1779</v>
      </c>
    </row>
    <row r="174" spans="1:54" ht="17.45" customHeight="1">
      <c r="B174" s="96" t="e">
        <f t="shared" si="6"/>
        <v>#REF!</v>
      </c>
      <c r="C174" s="148">
        <v>39204</v>
      </c>
      <c r="D174" s="98" t="s">
        <v>2115</v>
      </c>
      <c r="E174" s="118">
        <v>7600822</v>
      </c>
      <c r="F174" s="164" t="s">
        <v>2114</v>
      </c>
      <c r="G174" s="165" t="s">
        <v>718</v>
      </c>
      <c r="H174" s="171" t="s">
        <v>2119</v>
      </c>
      <c r="I174" s="98" t="s">
        <v>2115</v>
      </c>
      <c r="J174" s="172">
        <v>3</v>
      </c>
      <c r="K174" s="130" t="s">
        <v>1802</v>
      </c>
      <c r="L174" s="124">
        <v>4</v>
      </c>
      <c r="M174" s="125" t="s">
        <v>1682</v>
      </c>
      <c r="N174" s="106" t="str">
        <f t="shared" si="5"/>
        <v>34</v>
      </c>
      <c r="O174" s="107"/>
      <c r="P174" s="108" t="s">
        <v>2115</v>
      </c>
      <c r="Q174" s="107"/>
      <c r="R174" s="115" t="s">
        <v>1683</v>
      </c>
      <c r="S174" s="92" t="s">
        <v>1584</v>
      </c>
      <c r="T174" s="110"/>
      <c r="U174" s="94" t="s">
        <v>1683</v>
      </c>
      <c r="V174" s="107"/>
      <c r="W174" s="111">
        <v>7600822</v>
      </c>
      <c r="X174" s="115" t="s">
        <v>1683</v>
      </c>
      <c r="Y174" s="98" t="s">
        <v>2115</v>
      </c>
      <c r="Z174" s="130" t="s">
        <v>1802</v>
      </c>
      <c r="AA174" s="125" t="s">
        <v>1682</v>
      </c>
      <c r="AB174" s="155"/>
      <c r="AG174" s="88" t="s">
        <v>1778</v>
      </c>
      <c r="AH174" s="88" t="s">
        <v>1779</v>
      </c>
    </row>
    <row r="175" spans="1:54" ht="17.45" customHeight="1">
      <c r="B175" s="96" t="e">
        <f t="shared" si="6"/>
        <v>#REF!</v>
      </c>
      <c r="C175" s="112">
        <v>37153</v>
      </c>
      <c r="D175" s="98" t="s">
        <v>2221</v>
      </c>
      <c r="E175" s="98">
        <v>7600249</v>
      </c>
      <c r="F175" s="113" t="s">
        <v>2219</v>
      </c>
      <c r="G175" s="100" t="s">
        <v>640</v>
      </c>
      <c r="H175" s="101" t="s">
        <v>2215</v>
      </c>
      <c r="I175" s="98" t="s">
        <v>2221</v>
      </c>
      <c r="J175" s="102">
        <v>3</v>
      </c>
      <c r="K175" s="103" t="s">
        <v>1802</v>
      </c>
      <c r="L175" s="124">
        <v>4</v>
      </c>
      <c r="M175" s="125" t="s">
        <v>1682</v>
      </c>
      <c r="N175" s="106" t="str">
        <f t="shared" si="5"/>
        <v>34</v>
      </c>
      <c r="O175" s="107"/>
      <c r="P175" s="114" t="s">
        <v>2221</v>
      </c>
      <c r="Q175" s="107"/>
      <c r="R175" s="115" t="s">
        <v>1675</v>
      </c>
      <c r="S175" s="92" t="s">
        <v>1584</v>
      </c>
      <c r="T175" s="110"/>
      <c r="U175" s="94" t="s">
        <v>1675</v>
      </c>
      <c r="V175" s="107"/>
      <c r="W175" s="117">
        <v>7600249</v>
      </c>
      <c r="X175" s="115" t="s">
        <v>1675</v>
      </c>
      <c r="Y175" s="98" t="s">
        <v>2221</v>
      </c>
      <c r="Z175" s="103" t="s">
        <v>1802</v>
      </c>
      <c r="AA175" s="125" t="s">
        <v>1682</v>
      </c>
      <c r="AB175" s="155"/>
      <c r="AG175" s="88" t="s">
        <v>1778</v>
      </c>
      <c r="AH175" s="88" t="s">
        <v>1779</v>
      </c>
    </row>
    <row r="176" spans="1:54" ht="17.45" customHeight="1">
      <c r="B176" s="96" t="e">
        <f t="shared" si="6"/>
        <v>#REF!</v>
      </c>
      <c r="C176" s="112">
        <v>40998</v>
      </c>
      <c r="D176" s="98" t="s">
        <v>1862</v>
      </c>
      <c r="E176" s="98">
        <v>7601004</v>
      </c>
      <c r="F176" s="113" t="s">
        <v>1858</v>
      </c>
      <c r="G176" s="100" t="s">
        <v>740</v>
      </c>
      <c r="H176" s="101" t="s">
        <v>1867</v>
      </c>
      <c r="I176" s="98" t="s">
        <v>1862</v>
      </c>
      <c r="J176" s="102">
        <v>3</v>
      </c>
      <c r="K176" s="103" t="s">
        <v>1802</v>
      </c>
      <c r="L176" s="124">
        <v>5</v>
      </c>
      <c r="M176" s="125" t="s">
        <v>1685</v>
      </c>
      <c r="N176" s="106" t="str">
        <f t="shared" si="5"/>
        <v>35</v>
      </c>
      <c r="O176" s="107"/>
      <c r="P176" s="114" t="s">
        <v>1860</v>
      </c>
      <c r="Q176" s="107"/>
      <c r="R176" s="115" t="s">
        <v>1688</v>
      </c>
      <c r="S176" s="92" t="s">
        <v>1585</v>
      </c>
      <c r="T176" s="110"/>
      <c r="U176" s="94" t="s">
        <v>1688</v>
      </c>
      <c r="V176" s="107"/>
      <c r="W176" s="117">
        <v>7600086</v>
      </c>
      <c r="X176" s="115" t="s">
        <v>1688</v>
      </c>
      <c r="Y176" s="98" t="s">
        <v>1862</v>
      </c>
      <c r="Z176" s="103" t="s">
        <v>1802</v>
      </c>
      <c r="AA176" s="125" t="s">
        <v>1685</v>
      </c>
      <c r="AB176" s="110" t="s">
        <v>1725</v>
      </c>
      <c r="AG176" s="88" t="s">
        <v>1778</v>
      </c>
      <c r="AH176" s="88" t="s">
        <v>1779</v>
      </c>
    </row>
    <row r="177" spans="1:54" ht="17.45" customHeight="1">
      <c r="B177" s="96" t="e">
        <f t="shared" si="6"/>
        <v>#REF!</v>
      </c>
      <c r="C177" s="112">
        <v>36083</v>
      </c>
      <c r="D177" s="98" t="s">
        <v>1860</v>
      </c>
      <c r="E177" s="98">
        <v>7600086</v>
      </c>
      <c r="F177" s="113" t="s">
        <v>1858</v>
      </c>
      <c r="G177" s="100" t="s">
        <v>745</v>
      </c>
      <c r="H177" s="101" t="s">
        <v>1870</v>
      </c>
      <c r="I177" s="98" t="s">
        <v>1860</v>
      </c>
      <c r="J177" s="102">
        <v>3</v>
      </c>
      <c r="K177" s="103" t="s">
        <v>1802</v>
      </c>
      <c r="L177" s="124">
        <v>5</v>
      </c>
      <c r="M177" s="125" t="s">
        <v>1685</v>
      </c>
      <c r="N177" s="106" t="str">
        <f t="shared" si="5"/>
        <v>35</v>
      </c>
      <c r="O177" s="107"/>
      <c r="P177" s="114" t="s">
        <v>1860</v>
      </c>
      <c r="Q177" s="107"/>
      <c r="R177" s="115" t="s">
        <v>1688</v>
      </c>
      <c r="S177" s="92" t="s">
        <v>1585</v>
      </c>
      <c r="T177" s="110"/>
      <c r="U177" s="94" t="s">
        <v>1688</v>
      </c>
      <c r="V177" s="107"/>
      <c r="W177" s="117">
        <v>7600086</v>
      </c>
      <c r="X177" s="115" t="s">
        <v>1688</v>
      </c>
      <c r="Y177" s="98" t="s">
        <v>1860</v>
      </c>
      <c r="Z177" s="103" t="s">
        <v>1802</v>
      </c>
      <c r="AA177" s="125" t="s">
        <v>1685</v>
      </c>
      <c r="AB177" s="110" t="s">
        <v>1709</v>
      </c>
      <c r="AG177" s="88" t="s">
        <v>1778</v>
      </c>
      <c r="AH177" s="88" t="s">
        <v>1779</v>
      </c>
    </row>
    <row r="178" spans="1:54" ht="17.45" customHeight="1">
      <c r="B178" s="96" t="e">
        <f t="shared" si="6"/>
        <v>#REF!</v>
      </c>
      <c r="C178" s="112">
        <v>41425</v>
      </c>
      <c r="D178" s="98" t="s">
        <v>1910</v>
      </c>
      <c r="E178" s="98">
        <v>7601188</v>
      </c>
      <c r="F178" s="113" t="s">
        <v>1908</v>
      </c>
      <c r="G178" s="100" t="s">
        <v>682</v>
      </c>
      <c r="H178" s="101" t="s">
        <v>1889</v>
      </c>
      <c r="I178" s="98" t="s">
        <v>1910</v>
      </c>
      <c r="J178" s="126">
        <v>3</v>
      </c>
      <c r="K178" s="126" t="s">
        <v>1802</v>
      </c>
      <c r="L178" s="126">
        <v>5</v>
      </c>
      <c r="M178" s="125" t="s">
        <v>1685</v>
      </c>
      <c r="N178" s="106" t="str">
        <f t="shared" si="5"/>
        <v>35</v>
      </c>
      <c r="O178" s="107"/>
      <c r="P178" s="114" t="s">
        <v>1909</v>
      </c>
      <c r="Q178" s="107"/>
      <c r="R178" s="115" t="s">
        <v>1680</v>
      </c>
      <c r="S178" s="92" t="s">
        <v>1585</v>
      </c>
      <c r="T178" s="110"/>
      <c r="U178" s="94" t="s">
        <v>1680</v>
      </c>
      <c r="V178" s="107"/>
      <c r="W178" s="117">
        <v>7600417</v>
      </c>
      <c r="X178" s="115" t="s">
        <v>1680</v>
      </c>
      <c r="Y178" s="98" t="s">
        <v>1910</v>
      </c>
      <c r="Z178" s="126" t="s">
        <v>1802</v>
      </c>
      <c r="AA178" s="125" t="s">
        <v>1685</v>
      </c>
      <c r="AB178" s="110" t="s">
        <v>1673</v>
      </c>
      <c r="AG178" s="88" t="s">
        <v>1778</v>
      </c>
      <c r="AH178" s="88" t="s">
        <v>1779</v>
      </c>
    </row>
    <row r="179" spans="1:54" ht="17.45" customHeight="1">
      <c r="B179" s="96" t="e">
        <f t="shared" si="6"/>
        <v>#REF!</v>
      </c>
      <c r="C179" s="112">
        <v>39072</v>
      </c>
      <c r="D179" s="98" t="s">
        <v>1909</v>
      </c>
      <c r="E179" s="98">
        <v>7600417</v>
      </c>
      <c r="F179" s="113" t="s">
        <v>1908</v>
      </c>
      <c r="G179" s="100" t="s">
        <v>687</v>
      </c>
      <c r="H179" s="101" t="s">
        <v>1891</v>
      </c>
      <c r="I179" s="98" t="s">
        <v>1909</v>
      </c>
      <c r="J179" s="102">
        <v>3</v>
      </c>
      <c r="K179" s="102" t="s">
        <v>1802</v>
      </c>
      <c r="L179" s="126">
        <v>5</v>
      </c>
      <c r="M179" s="125" t="s">
        <v>1685</v>
      </c>
      <c r="N179" s="106" t="str">
        <f t="shared" si="5"/>
        <v>35</v>
      </c>
      <c r="O179" s="107"/>
      <c r="P179" s="114" t="s">
        <v>1909</v>
      </c>
      <c r="Q179" s="107"/>
      <c r="R179" s="115" t="s">
        <v>1680</v>
      </c>
      <c r="S179" s="92" t="s">
        <v>1585</v>
      </c>
      <c r="T179" s="110"/>
      <c r="U179" s="94" t="s">
        <v>1680</v>
      </c>
      <c r="V179" s="107"/>
      <c r="W179" s="117">
        <v>7600417</v>
      </c>
      <c r="X179" s="115" t="s">
        <v>1680</v>
      </c>
      <c r="Y179" s="98" t="s">
        <v>1909</v>
      </c>
      <c r="Z179" s="102" t="s">
        <v>1802</v>
      </c>
      <c r="AA179" s="125" t="s">
        <v>1685</v>
      </c>
      <c r="AB179" s="110" t="s">
        <v>1626</v>
      </c>
      <c r="AG179" s="88" t="s">
        <v>1778</v>
      </c>
      <c r="AH179" s="88" t="s">
        <v>1779</v>
      </c>
    </row>
    <row r="180" spans="1:54" ht="17.45" customHeight="1">
      <c r="B180" s="96" t="e">
        <f t="shared" si="6"/>
        <v>#REF!</v>
      </c>
      <c r="C180" s="148">
        <v>43819</v>
      </c>
      <c r="D180" s="98" t="s">
        <v>1912</v>
      </c>
      <c r="E180" s="118">
        <v>7601109</v>
      </c>
      <c r="F180" s="164" t="s">
        <v>1908</v>
      </c>
      <c r="G180" s="165" t="s">
        <v>691</v>
      </c>
      <c r="H180" s="171" t="s">
        <v>1889</v>
      </c>
      <c r="I180" s="98" t="s">
        <v>1912</v>
      </c>
      <c r="J180" s="172">
        <v>3</v>
      </c>
      <c r="K180" s="130" t="s">
        <v>1802</v>
      </c>
      <c r="L180" s="124">
        <v>5</v>
      </c>
      <c r="M180" s="125" t="s">
        <v>1685</v>
      </c>
      <c r="N180" s="106" t="str">
        <f t="shared" si="5"/>
        <v>35</v>
      </c>
      <c r="O180" s="107"/>
      <c r="P180" s="108" t="s">
        <v>1909</v>
      </c>
      <c r="Q180" s="107"/>
      <c r="R180" s="115" t="s">
        <v>1680</v>
      </c>
      <c r="S180" s="92" t="s">
        <v>1585</v>
      </c>
      <c r="T180" s="110"/>
      <c r="U180" s="94" t="s">
        <v>1680</v>
      </c>
      <c r="V180" s="107"/>
      <c r="W180" s="111">
        <v>7600417</v>
      </c>
      <c r="X180" s="115" t="s">
        <v>1680</v>
      </c>
      <c r="Y180" s="98" t="s">
        <v>1912</v>
      </c>
      <c r="Z180" s="130" t="s">
        <v>1802</v>
      </c>
      <c r="AA180" s="125" t="s">
        <v>1685</v>
      </c>
      <c r="AB180" s="110" t="s">
        <v>1692</v>
      </c>
      <c r="AG180" s="88" t="s">
        <v>1778</v>
      </c>
      <c r="AH180" s="88" t="s">
        <v>1779</v>
      </c>
    </row>
    <row r="181" spans="1:54" ht="17.45" customHeight="1">
      <c r="B181" s="96" t="e">
        <f t="shared" si="6"/>
        <v>#REF!</v>
      </c>
      <c r="C181" s="148">
        <v>36508</v>
      </c>
      <c r="D181" s="98" t="s">
        <v>1855</v>
      </c>
      <c r="E181" s="118">
        <v>7601169</v>
      </c>
      <c r="F181" s="164" t="s">
        <v>1851</v>
      </c>
      <c r="G181" s="165" t="s">
        <v>1437</v>
      </c>
      <c r="H181" s="171" t="s">
        <v>2025</v>
      </c>
      <c r="I181" s="98" t="s">
        <v>1855</v>
      </c>
      <c r="J181" s="172">
        <v>3</v>
      </c>
      <c r="K181" s="130" t="s">
        <v>1802</v>
      </c>
      <c r="L181" s="124">
        <v>5</v>
      </c>
      <c r="M181" s="125" t="s">
        <v>1685</v>
      </c>
      <c r="N181" s="106" t="str">
        <f t="shared" si="5"/>
        <v>35</v>
      </c>
      <c r="O181" s="107"/>
      <c r="P181" s="108" t="s">
        <v>1852</v>
      </c>
      <c r="Q181" s="107"/>
      <c r="R181" s="115" t="s">
        <v>1853</v>
      </c>
      <c r="S181" s="92" t="s">
        <v>1585</v>
      </c>
      <c r="T181" s="110"/>
      <c r="U181" s="94" t="s">
        <v>1687</v>
      </c>
      <c r="V181" s="107"/>
      <c r="W181" s="111">
        <v>7600546</v>
      </c>
      <c r="X181" s="115" t="s">
        <v>1687</v>
      </c>
      <c r="Y181" s="98" t="s">
        <v>1855</v>
      </c>
      <c r="Z181" s="130" t="s">
        <v>1802</v>
      </c>
      <c r="AA181" s="125" t="s">
        <v>1685</v>
      </c>
      <c r="AB181" s="110" t="s">
        <v>1724</v>
      </c>
      <c r="AG181" s="88" t="s">
        <v>1778</v>
      </c>
      <c r="AH181" s="88" t="s">
        <v>1779</v>
      </c>
    </row>
    <row r="182" spans="1:54" ht="17.45" customHeight="1">
      <c r="B182" s="96" t="e">
        <f t="shared" si="6"/>
        <v>#REF!</v>
      </c>
      <c r="C182" s="148">
        <v>41264</v>
      </c>
      <c r="D182" s="98" t="s">
        <v>1854</v>
      </c>
      <c r="E182" s="118">
        <v>7600705</v>
      </c>
      <c r="F182" s="164" t="s">
        <v>1851</v>
      </c>
      <c r="G182" s="165" t="s">
        <v>1440</v>
      </c>
      <c r="H182" s="171" t="s">
        <v>2025</v>
      </c>
      <c r="I182" s="98" t="s">
        <v>1854</v>
      </c>
      <c r="J182" s="172">
        <v>3</v>
      </c>
      <c r="K182" s="130" t="s">
        <v>1802</v>
      </c>
      <c r="L182" s="124">
        <v>5</v>
      </c>
      <c r="M182" s="125" t="s">
        <v>1685</v>
      </c>
      <c r="N182" s="106" t="str">
        <f t="shared" si="5"/>
        <v>35</v>
      </c>
      <c r="O182" s="107"/>
      <c r="P182" s="108" t="s">
        <v>1852</v>
      </c>
      <c r="Q182" s="107"/>
      <c r="R182" s="115" t="s">
        <v>1853</v>
      </c>
      <c r="S182" s="92" t="s">
        <v>1585</v>
      </c>
      <c r="T182" s="110"/>
      <c r="U182" s="94" t="s">
        <v>1687</v>
      </c>
      <c r="V182" s="107"/>
      <c r="W182" s="111">
        <v>7600546</v>
      </c>
      <c r="X182" s="115" t="s">
        <v>1687</v>
      </c>
      <c r="Y182" s="98" t="s">
        <v>1854</v>
      </c>
      <c r="Z182" s="130" t="s">
        <v>1802</v>
      </c>
      <c r="AA182" s="125" t="s">
        <v>1685</v>
      </c>
      <c r="AB182" s="110" t="s">
        <v>1729</v>
      </c>
      <c r="AG182" s="88" t="s">
        <v>1778</v>
      </c>
      <c r="AH182" s="88" t="s">
        <v>1779</v>
      </c>
    </row>
    <row r="183" spans="1:54" ht="17.45" customHeight="1">
      <c r="B183" s="96" t="e">
        <f t="shared" si="6"/>
        <v>#REF!</v>
      </c>
      <c r="C183" s="148">
        <v>40399</v>
      </c>
      <c r="D183" s="98" t="s">
        <v>1852</v>
      </c>
      <c r="E183" s="118">
        <v>7600546</v>
      </c>
      <c r="F183" s="164" t="s">
        <v>1851</v>
      </c>
      <c r="G183" s="165" t="s">
        <v>1442</v>
      </c>
      <c r="H183" s="171" t="s">
        <v>2025</v>
      </c>
      <c r="I183" s="98" t="s">
        <v>1852</v>
      </c>
      <c r="J183" s="181">
        <v>3</v>
      </c>
      <c r="K183" s="131" t="s">
        <v>1802</v>
      </c>
      <c r="L183" s="124">
        <v>5</v>
      </c>
      <c r="M183" s="125" t="s">
        <v>1685</v>
      </c>
      <c r="N183" s="106" t="str">
        <f t="shared" si="5"/>
        <v>35</v>
      </c>
      <c r="O183" s="107"/>
      <c r="P183" s="108" t="s">
        <v>1852</v>
      </c>
      <c r="Q183" s="107"/>
      <c r="R183" s="115" t="s">
        <v>1853</v>
      </c>
      <c r="S183" s="92" t="s">
        <v>1585</v>
      </c>
      <c r="T183" s="110"/>
      <c r="U183" s="94" t="s">
        <v>1687</v>
      </c>
      <c r="V183" s="107"/>
      <c r="W183" s="111">
        <v>7600546</v>
      </c>
      <c r="X183" s="115" t="s">
        <v>1687</v>
      </c>
      <c r="Y183" s="98" t="s">
        <v>1852</v>
      </c>
      <c r="Z183" s="131" t="s">
        <v>1802</v>
      </c>
      <c r="AA183" s="125" t="s">
        <v>1685</v>
      </c>
      <c r="AB183" s="110" t="s">
        <v>1629</v>
      </c>
      <c r="AG183" s="88" t="s">
        <v>1778</v>
      </c>
      <c r="AH183" s="88" t="s">
        <v>1779</v>
      </c>
    </row>
    <row r="184" spans="1:54" ht="17.45" customHeight="1">
      <c r="B184" s="96" t="e">
        <f t="shared" si="6"/>
        <v>#REF!</v>
      </c>
      <c r="C184" s="222">
        <v>45463</v>
      </c>
      <c r="D184" s="98" t="s">
        <v>2129</v>
      </c>
      <c r="E184" s="118">
        <v>7600726</v>
      </c>
      <c r="F184" s="225" t="s">
        <v>2125</v>
      </c>
      <c r="G184" s="228" t="s">
        <v>722</v>
      </c>
      <c r="H184" s="231" t="s">
        <v>2128</v>
      </c>
      <c r="I184" s="98" t="s">
        <v>2129</v>
      </c>
      <c r="J184" s="232">
        <v>3</v>
      </c>
      <c r="K184" s="235" t="s">
        <v>1802</v>
      </c>
      <c r="L184" s="176">
        <v>5</v>
      </c>
      <c r="M184" s="177" t="s">
        <v>1685</v>
      </c>
      <c r="N184" s="178" t="str">
        <f t="shared" si="5"/>
        <v>35</v>
      </c>
      <c r="O184" s="107"/>
      <c r="P184" s="238" t="s">
        <v>2127</v>
      </c>
      <c r="Q184" s="179"/>
      <c r="R184" s="180" t="s">
        <v>1684</v>
      </c>
      <c r="S184" s="92" t="s">
        <v>1585</v>
      </c>
      <c r="T184" s="110"/>
      <c r="U184" s="94" t="s">
        <v>1684</v>
      </c>
      <c r="V184" s="179"/>
      <c r="W184" s="239">
        <v>7600062</v>
      </c>
      <c r="X184" s="180" t="s">
        <v>1684</v>
      </c>
      <c r="Y184" s="98" t="s">
        <v>2129</v>
      </c>
      <c r="Z184" s="235" t="s">
        <v>1802</v>
      </c>
      <c r="AA184" s="177" t="s">
        <v>1685</v>
      </c>
      <c r="AB184" s="155"/>
      <c r="AG184" s="88" t="s">
        <v>1778</v>
      </c>
      <c r="AH184" s="88" t="s">
        <v>1779</v>
      </c>
    </row>
    <row r="185" spans="1:54" s="182" customFormat="1" ht="17.45" customHeight="1">
      <c r="A185" s="56"/>
      <c r="B185" s="96" t="e">
        <f t="shared" si="6"/>
        <v>#REF!</v>
      </c>
      <c r="C185" s="222">
        <v>35961</v>
      </c>
      <c r="D185" s="98" t="s">
        <v>2127</v>
      </c>
      <c r="E185" s="118">
        <v>7600062</v>
      </c>
      <c r="F185" s="225" t="s">
        <v>2125</v>
      </c>
      <c r="G185" s="228" t="s">
        <v>2126</v>
      </c>
      <c r="H185" s="231" t="s">
        <v>2128</v>
      </c>
      <c r="I185" s="98" t="s">
        <v>2127</v>
      </c>
      <c r="J185" s="232">
        <v>3</v>
      </c>
      <c r="K185" s="235" t="s">
        <v>1802</v>
      </c>
      <c r="L185" s="176">
        <v>5</v>
      </c>
      <c r="M185" s="177" t="s">
        <v>1685</v>
      </c>
      <c r="N185" s="178" t="str">
        <f t="shared" si="5"/>
        <v>35</v>
      </c>
      <c r="O185" s="107"/>
      <c r="P185" s="238" t="s">
        <v>2127</v>
      </c>
      <c r="Q185" s="179"/>
      <c r="R185" s="180" t="s">
        <v>1684</v>
      </c>
      <c r="S185" s="92" t="s">
        <v>1585</v>
      </c>
      <c r="T185" s="110"/>
      <c r="U185" s="94" t="s">
        <v>1684</v>
      </c>
      <c r="V185" s="179"/>
      <c r="W185" s="239">
        <v>7600062</v>
      </c>
      <c r="X185" s="180" t="s">
        <v>1684</v>
      </c>
      <c r="Y185" s="98" t="s">
        <v>2127</v>
      </c>
      <c r="Z185" s="235" t="s">
        <v>1802</v>
      </c>
      <c r="AA185" s="177" t="s">
        <v>1685</v>
      </c>
      <c r="AB185" s="155"/>
      <c r="AC185" s="129"/>
      <c r="AD185" s="74"/>
      <c r="AE185" s="74"/>
      <c r="AF185" s="74"/>
      <c r="AG185" s="88" t="s">
        <v>1778</v>
      </c>
      <c r="AH185" s="88" t="s">
        <v>1779</v>
      </c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</row>
    <row r="186" spans="1:54" ht="17.45" customHeight="1">
      <c r="B186" s="96" t="e">
        <f t="shared" si="6"/>
        <v>#REF!</v>
      </c>
      <c r="C186" s="112">
        <v>41271</v>
      </c>
      <c r="D186" s="98" t="s">
        <v>1849</v>
      </c>
      <c r="E186" s="98">
        <v>7601038</v>
      </c>
      <c r="F186" s="113" t="s">
        <v>1845</v>
      </c>
      <c r="G186" s="100" t="s">
        <v>1424</v>
      </c>
      <c r="H186" s="101" t="s">
        <v>2025</v>
      </c>
      <c r="I186" s="98" t="s">
        <v>1849</v>
      </c>
      <c r="J186" s="102">
        <v>3</v>
      </c>
      <c r="K186" s="103" t="s">
        <v>1802</v>
      </c>
      <c r="L186" s="124">
        <v>6</v>
      </c>
      <c r="M186" s="125" t="s">
        <v>1689</v>
      </c>
      <c r="N186" s="106" t="str">
        <f t="shared" si="5"/>
        <v>36</v>
      </c>
      <c r="O186" s="107"/>
      <c r="P186" s="114" t="s">
        <v>1847</v>
      </c>
      <c r="Q186" s="107"/>
      <c r="R186" s="115" t="s">
        <v>1848</v>
      </c>
      <c r="S186" s="92" t="s">
        <v>1586</v>
      </c>
      <c r="T186" s="110"/>
      <c r="U186" s="94" t="s">
        <v>1686</v>
      </c>
      <c r="V186" s="107"/>
      <c r="W186" s="117">
        <v>7601037</v>
      </c>
      <c r="X186" s="115" t="s">
        <v>1686</v>
      </c>
      <c r="Y186" s="98" t="s">
        <v>1849</v>
      </c>
      <c r="Z186" s="103" t="s">
        <v>1802</v>
      </c>
      <c r="AA186" s="125" t="s">
        <v>1689</v>
      </c>
      <c r="AB186" s="110" t="s">
        <v>1616</v>
      </c>
      <c r="AG186" s="88" t="s">
        <v>1778</v>
      </c>
      <c r="AH186" s="88" t="s">
        <v>1779</v>
      </c>
    </row>
    <row r="187" spans="1:54" ht="17.45" customHeight="1">
      <c r="A187" s="182"/>
      <c r="B187" s="96" t="e">
        <f t="shared" si="6"/>
        <v>#REF!</v>
      </c>
      <c r="C187" s="148">
        <v>44060</v>
      </c>
      <c r="D187" s="98" t="s">
        <v>1850</v>
      </c>
      <c r="E187" s="118">
        <v>7601128</v>
      </c>
      <c r="F187" s="242" t="s">
        <v>1845</v>
      </c>
      <c r="G187" s="171" t="s">
        <v>1430</v>
      </c>
      <c r="H187" s="175" t="s">
        <v>2029</v>
      </c>
      <c r="I187" s="98" t="s">
        <v>1850</v>
      </c>
      <c r="J187" s="172">
        <v>3</v>
      </c>
      <c r="K187" s="130" t="s">
        <v>1802</v>
      </c>
      <c r="L187" s="124">
        <v>6</v>
      </c>
      <c r="M187" s="125" t="s">
        <v>1689</v>
      </c>
      <c r="N187" s="106" t="str">
        <f t="shared" si="5"/>
        <v>36</v>
      </c>
      <c r="O187" s="107"/>
      <c r="P187" s="108" t="s">
        <v>1847</v>
      </c>
      <c r="Q187" s="107"/>
      <c r="R187" s="115" t="s">
        <v>1848</v>
      </c>
      <c r="S187" s="92" t="s">
        <v>1586</v>
      </c>
      <c r="T187" s="110"/>
      <c r="U187" s="94" t="s">
        <v>1686</v>
      </c>
      <c r="V187" s="107"/>
      <c r="W187" s="117">
        <v>7601037</v>
      </c>
      <c r="X187" s="115" t="s">
        <v>1686</v>
      </c>
      <c r="Y187" s="98" t="s">
        <v>1850</v>
      </c>
      <c r="Z187" s="130" t="s">
        <v>1802</v>
      </c>
      <c r="AA187" s="125" t="s">
        <v>1689</v>
      </c>
      <c r="AB187" s="110" t="s">
        <v>1608</v>
      </c>
      <c r="AG187" s="88" t="s">
        <v>1778</v>
      </c>
      <c r="AH187" s="88" t="s">
        <v>1779</v>
      </c>
      <c r="AI187" s="182"/>
      <c r="AJ187" s="182"/>
      <c r="AK187" s="182"/>
      <c r="AL187" s="182"/>
      <c r="AM187" s="182"/>
      <c r="AN187" s="182"/>
      <c r="AO187" s="182"/>
      <c r="AP187" s="182"/>
      <c r="AQ187" s="182"/>
      <c r="AR187" s="182"/>
      <c r="AS187" s="182"/>
      <c r="AT187" s="182"/>
      <c r="AU187" s="182"/>
      <c r="AV187" s="182"/>
      <c r="AW187" s="182"/>
      <c r="AX187" s="182"/>
      <c r="AY187" s="182"/>
      <c r="AZ187" s="182"/>
      <c r="BA187" s="182"/>
      <c r="BB187" s="182"/>
    </row>
    <row r="188" spans="1:54" ht="17.45" customHeight="1">
      <c r="B188" s="96" t="e">
        <f t="shared" si="6"/>
        <v>#REF!</v>
      </c>
      <c r="C188" s="148">
        <v>41036</v>
      </c>
      <c r="D188" s="98" t="s">
        <v>1847</v>
      </c>
      <c r="E188" s="118">
        <v>7601037</v>
      </c>
      <c r="F188" s="164" t="s">
        <v>1845</v>
      </c>
      <c r="G188" s="165" t="s">
        <v>1433</v>
      </c>
      <c r="H188" s="171" t="s">
        <v>2025</v>
      </c>
      <c r="I188" s="98" t="s">
        <v>1847</v>
      </c>
      <c r="J188" s="181">
        <v>3</v>
      </c>
      <c r="K188" s="131" t="s">
        <v>1802</v>
      </c>
      <c r="L188" s="124">
        <v>6</v>
      </c>
      <c r="M188" s="125" t="s">
        <v>1689</v>
      </c>
      <c r="N188" s="106" t="str">
        <f t="shared" si="5"/>
        <v>36</v>
      </c>
      <c r="O188" s="107"/>
      <c r="P188" s="108" t="s">
        <v>1847</v>
      </c>
      <c r="Q188" s="107"/>
      <c r="R188" s="115" t="s">
        <v>1848</v>
      </c>
      <c r="S188" s="92" t="s">
        <v>1586</v>
      </c>
      <c r="T188" s="110"/>
      <c r="U188" s="94" t="s">
        <v>1686</v>
      </c>
      <c r="V188" s="107"/>
      <c r="W188" s="111">
        <v>7601037</v>
      </c>
      <c r="X188" s="115" t="s">
        <v>1686</v>
      </c>
      <c r="Y188" s="98" t="s">
        <v>1847</v>
      </c>
      <c r="Z188" s="131" t="s">
        <v>1802</v>
      </c>
      <c r="AA188" s="125" t="s">
        <v>1689</v>
      </c>
      <c r="AB188" s="110" t="s">
        <v>1607</v>
      </c>
      <c r="AG188" s="88" t="s">
        <v>1778</v>
      </c>
      <c r="AH188" s="88" t="s">
        <v>1779</v>
      </c>
    </row>
    <row r="189" spans="1:54" ht="17.45" customHeight="1">
      <c r="B189" s="96" t="e">
        <f t="shared" si="6"/>
        <v>#REF!</v>
      </c>
      <c r="C189" s="148">
        <v>45135</v>
      </c>
      <c r="D189" s="98" t="s">
        <v>2296</v>
      </c>
      <c r="E189" s="118">
        <v>7601203</v>
      </c>
      <c r="F189" s="242" t="s">
        <v>2226</v>
      </c>
      <c r="G189" s="171" t="s">
        <v>805</v>
      </c>
      <c r="H189" s="175" t="s">
        <v>2227</v>
      </c>
      <c r="I189" s="98" t="s">
        <v>2296</v>
      </c>
      <c r="J189" s="172">
        <v>3</v>
      </c>
      <c r="K189" s="130" t="s">
        <v>1802</v>
      </c>
      <c r="L189" s="103">
        <v>6</v>
      </c>
      <c r="M189" s="173" t="s">
        <v>1689</v>
      </c>
      <c r="N189" s="106" t="str">
        <f t="shared" si="5"/>
        <v>36</v>
      </c>
      <c r="O189" s="107"/>
      <c r="P189" s="108" t="s">
        <v>2228</v>
      </c>
      <c r="Q189" s="107"/>
      <c r="R189" s="115" t="s">
        <v>1698</v>
      </c>
      <c r="S189" s="92" t="s">
        <v>1586</v>
      </c>
      <c r="T189" s="110"/>
      <c r="U189" s="94" t="s">
        <v>1698</v>
      </c>
      <c r="V189" s="107"/>
      <c r="W189" s="214">
        <v>7601175</v>
      </c>
      <c r="X189" s="115" t="s">
        <v>1698</v>
      </c>
      <c r="Y189" s="98" t="s">
        <v>2296</v>
      </c>
      <c r="Z189" s="130" t="s">
        <v>1802</v>
      </c>
      <c r="AA189" s="173" t="s">
        <v>1689</v>
      </c>
      <c r="AG189" s="88" t="s">
        <v>1778</v>
      </c>
      <c r="AH189" s="88" t="s">
        <v>1779</v>
      </c>
    </row>
    <row r="190" spans="1:54" ht="17.45" customHeight="1">
      <c r="B190" s="96" t="e">
        <f t="shared" si="6"/>
        <v>#REF!</v>
      </c>
      <c r="C190" s="148">
        <v>44162</v>
      </c>
      <c r="D190" s="98" t="s">
        <v>2229</v>
      </c>
      <c r="E190" s="118">
        <v>7601176</v>
      </c>
      <c r="F190" s="164" t="s">
        <v>2226</v>
      </c>
      <c r="G190" s="165" t="s">
        <v>810</v>
      </c>
      <c r="H190" s="175" t="s">
        <v>2227</v>
      </c>
      <c r="I190" s="98" t="s">
        <v>2229</v>
      </c>
      <c r="J190" s="172">
        <v>3</v>
      </c>
      <c r="K190" s="130" t="s">
        <v>1802</v>
      </c>
      <c r="L190" s="103">
        <v>6</v>
      </c>
      <c r="M190" s="173" t="s">
        <v>1689</v>
      </c>
      <c r="N190" s="106" t="str">
        <f t="shared" si="5"/>
        <v>36</v>
      </c>
      <c r="O190" s="107"/>
      <c r="P190" s="108" t="s">
        <v>2228</v>
      </c>
      <c r="Q190" s="107"/>
      <c r="R190" s="115" t="s">
        <v>1698</v>
      </c>
      <c r="S190" s="92" t="s">
        <v>1586</v>
      </c>
      <c r="T190" s="110"/>
      <c r="U190" s="94" t="s">
        <v>1698</v>
      </c>
      <c r="V190" s="107"/>
      <c r="W190" s="214">
        <v>7601175</v>
      </c>
      <c r="X190" s="115" t="s">
        <v>1698</v>
      </c>
      <c r="Y190" s="98" t="s">
        <v>2229</v>
      </c>
      <c r="Z190" s="130" t="s">
        <v>1802</v>
      </c>
      <c r="AA190" s="173" t="s">
        <v>1689</v>
      </c>
      <c r="AG190" s="88" t="s">
        <v>1778</v>
      </c>
      <c r="AH190" s="88" t="s">
        <v>1779</v>
      </c>
    </row>
    <row r="191" spans="1:54" ht="17.45" customHeight="1">
      <c r="B191" s="96" t="e">
        <f t="shared" si="6"/>
        <v>#REF!</v>
      </c>
      <c r="C191" s="148">
        <v>41635</v>
      </c>
      <c r="D191" s="98" t="s">
        <v>2228</v>
      </c>
      <c r="E191" s="118">
        <v>7601175</v>
      </c>
      <c r="F191" s="164" t="s">
        <v>2226</v>
      </c>
      <c r="G191" s="165" t="s">
        <v>815</v>
      </c>
      <c r="H191" s="175" t="s">
        <v>2227</v>
      </c>
      <c r="I191" s="98" t="s">
        <v>2228</v>
      </c>
      <c r="J191" s="172">
        <v>3</v>
      </c>
      <c r="K191" s="130" t="s">
        <v>1802</v>
      </c>
      <c r="L191" s="103">
        <v>6</v>
      </c>
      <c r="M191" s="173" t="s">
        <v>1689</v>
      </c>
      <c r="N191" s="106" t="str">
        <f t="shared" si="5"/>
        <v>36</v>
      </c>
      <c r="O191" s="107"/>
      <c r="P191" s="108" t="s">
        <v>2228</v>
      </c>
      <c r="Q191" s="107"/>
      <c r="R191" s="115" t="s">
        <v>1698</v>
      </c>
      <c r="S191" s="92" t="s">
        <v>1586</v>
      </c>
      <c r="T191" s="110"/>
      <c r="U191" s="94" t="s">
        <v>1698</v>
      </c>
      <c r="V191" s="107"/>
      <c r="W191" s="214">
        <v>7601175</v>
      </c>
      <c r="X191" s="115" t="s">
        <v>1698</v>
      </c>
      <c r="Y191" s="98" t="s">
        <v>2228</v>
      </c>
      <c r="Z191" s="130" t="s">
        <v>1802</v>
      </c>
      <c r="AA191" s="173" t="s">
        <v>1689</v>
      </c>
      <c r="AG191" s="88" t="s">
        <v>1778</v>
      </c>
      <c r="AH191" s="88" t="s">
        <v>1779</v>
      </c>
    </row>
    <row r="192" spans="1:54" ht="17.45" customHeight="1">
      <c r="B192" s="96" t="e">
        <f t="shared" si="6"/>
        <v>#REF!</v>
      </c>
      <c r="C192" s="148">
        <v>41618</v>
      </c>
      <c r="D192" s="98" t="s">
        <v>2204</v>
      </c>
      <c r="E192" s="118">
        <v>7600759</v>
      </c>
      <c r="F192" s="164" t="s">
        <v>2200</v>
      </c>
      <c r="G192" s="165" t="s">
        <v>825</v>
      </c>
      <c r="H192" s="171" t="s">
        <v>2246</v>
      </c>
      <c r="I192" s="98" t="s">
        <v>2204</v>
      </c>
      <c r="J192" s="172">
        <v>3</v>
      </c>
      <c r="K192" s="130" t="s">
        <v>1802</v>
      </c>
      <c r="L192" s="124">
        <v>6</v>
      </c>
      <c r="M192" s="125" t="s">
        <v>1689</v>
      </c>
      <c r="N192" s="106" t="str">
        <f t="shared" si="5"/>
        <v>36</v>
      </c>
      <c r="O192" s="107"/>
      <c r="P192" s="108" t="s">
        <v>2201</v>
      </c>
      <c r="Q192" s="107"/>
      <c r="R192" s="115" t="s">
        <v>1697</v>
      </c>
      <c r="S192" s="92" t="s">
        <v>1586</v>
      </c>
      <c r="T192" s="110"/>
      <c r="U192" s="94" t="s">
        <v>1697</v>
      </c>
      <c r="V192" s="107"/>
      <c r="W192" s="111">
        <v>7600554</v>
      </c>
      <c r="X192" s="115" t="s">
        <v>1697</v>
      </c>
      <c r="Y192" s="98" t="s">
        <v>2204</v>
      </c>
      <c r="Z192" s="130" t="s">
        <v>1802</v>
      </c>
      <c r="AA192" s="125" t="s">
        <v>1689</v>
      </c>
      <c r="AG192" s="88" t="s">
        <v>1778</v>
      </c>
      <c r="AH192" s="88" t="s">
        <v>1779</v>
      </c>
    </row>
    <row r="193" spans="2:34" ht="17.45" customHeight="1">
      <c r="B193" s="96" t="e">
        <f t="shared" si="6"/>
        <v>#REF!</v>
      </c>
      <c r="C193" s="148">
        <v>41120</v>
      </c>
      <c r="D193" s="98" t="s">
        <v>2202</v>
      </c>
      <c r="E193" s="118">
        <v>7600667</v>
      </c>
      <c r="F193" s="164" t="s">
        <v>2200</v>
      </c>
      <c r="G193" s="165" t="s">
        <v>832</v>
      </c>
      <c r="H193" s="171" t="s">
        <v>2246</v>
      </c>
      <c r="I193" s="98" t="s">
        <v>2202</v>
      </c>
      <c r="J193" s="181">
        <v>3</v>
      </c>
      <c r="K193" s="131" t="s">
        <v>1802</v>
      </c>
      <c r="L193" s="124">
        <v>6</v>
      </c>
      <c r="M193" s="125" t="s">
        <v>1689</v>
      </c>
      <c r="N193" s="106" t="str">
        <f t="shared" si="5"/>
        <v>36</v>
      </c>
      <c r="O193" s="107"/>
      <c r="P193" s="114" t="s">
        <v>2201</v>
      </c>
      <c r="Q193" s="107"/>
      <c r="R193" s="115" t="s">
        <v>1697</v>
      </c>
      <c r="S193" s="92" t="s">
        <v>1586</v>
      </c>
      <c r="T193" s="110"/>
      <c r="U193" s="94" t="s">
        <v>1697</v>
      </c>
      <c r="V193" s="107"/>
      <c r="W193" s="117">
        <v>7600554</v>
      </c>
      <c r="X193" s="115" t="s">
        <v>1697</v>
      </c>
      <c r="Y193" s="98" t="s">
        <v>2202</v>
      </c>
      <c r="Z193" s="131" t="s">
        <v>1802</v>
      </c>
      <c r="AA193" s="125" t="s">
        <v>1689</v>
      </c>
      <c r="AG193" s="88" t="s">
        <v>1778</v>
      </c>
      <c r="AH193" s="88" t="s">
        <v>1779</v>
      </c>
    </row>
    <row r="194" spans="2:34" ht="17.45" customHeight="1">
      <c r="B194" s="96" t="e">
        <f t="shared" si="6"/>
        <v>#REF!</v>
      </c>
      <c r="C194" s="148">
        <v>40542</v>
      </c>
      <c r="D194" s="98" t="s">
        <v>2201</v>
      </c>
      <c r="E194" s="118">
        <v>7600554</v>
      </c>
      <c r="F194" s="164" t="s">
        <v>2200</v>
      </c>
      <c r="G194" s="165" t="s">
        <v>837</v>
      </c>
      <c r="H194" s="171" t="s">
        <v>2246</v>
      </c>
      <c r="I194" s="98" t="s">
        <v>2201</v>
      </c>
      <c r="J194" s="181">
        <v>3</v>
      </c>
      <c r="K194" s="131" t="s">
        <v>1802</v>
      </c>
      <c r="L194" s="124">
        <v>6</v>
      </c>
      <c r="M194" s="125" t="s">
        <v>1689</v>
      </c>
      <c r="N194" s="106" t="str">
        <f t="shared" si="5"/>
        <v>36</v>
      </c>
      <c r="O194" s="107"/>
      <c r="P194" s="108" t="s">
        <v>2201</v>
      </c>
      <c r="Q194" s="107"/>
      <c r="R194" s="115" t="s">
        <v>1697</v>
      </c>
      <c r="S194" s="92" t="s">
        <v>1586</v>
      </c>
      <c r="T194" s="110"/>
      <c r="U194" s="94" t="s">
        <v>1697</v>
      </c>
      <c r="V194" s="107"/>
      <c r="W194" s="111">
        <v>7600554</v>
      </c>
      <c r="X194" s="115" t="s">
        <v>1697</v>
      </c>
      <c r="Y194" s="98" t="s">
        <v>2201</v>
      </c>
      <c r="Z194" s="131" t="s">
        <v>1802</v>
      </c>
      <c r="AA194" s="125" t="s">
        <v>1689</v>
      </c>
      <c r="AG194" s="88" t="s">
        <v>1778</v>
      </c>
      <c r="AH194" s="88" t="s">
        <v>1779</v>
      </c>
    </row>
    <row r="195" spans="2:34" ht="17.45" customHeight="1">
      <c r="B195" s="96" t="e">
        <f t="shared" si="6"/>
        <v>#REF!</v>
      </c>
      <c r="C195" s="148">
        <v>41850</v>
      </c>
      <c r="D195" s="98" t="s">
        <v>1801</v>
      </c>
      <c r="E195" s="118">
        <v>7601053</v>
      </c>
      <c r="F195" s="164" t="s">
        <v>1800</v>
      </c>
      <c r="G195" s="165" t="s">
        <v>763</v>
      </c>
      <c r="H195" s="171" t="s">
        <v>1859</v>
      </c>
      <c r="I195" s="98" t="s">
        <v>1801</v>
      </c>
      <c r="J195" s="181">
        <v>3</v>
      </c>
      <c r="K195" s="131" t="s">
        <v>1802</v>
      </c>
      <c r="L195" s="124">
        <v>7</v>
      </c>
      <c r="M195" s="125" t="s">
        <v>1694</v>
      </c>
      <c r="N195" s="106" t="str">
        <f t="shared" si="5"/>
        <v>37</v>
      </c>
      <c r="O195" s="107"/>
      <c r="P195" s="108" t="s">
        <v>1801</v>
      </c>
      <c r="Q195" s="107"/>
      <c r="R195" s="115" t="s">
        <v>1690</v>
      </c>
      <c r="S195" s="92" t="s">
        <v>1577</v>
      </c>
      <c r="T195" s="110"/>
      <c r="U195" s="94" t="s">
        <v>1690</v>
      </c>
      <c r="V195" s="107"/>
      <c r="W195" s="111">
        <v>7601053</v>
      </c>
      <c r="X195" s="115" t="s">
        <v>1690</v>
      </c>
      <c r="Y195" s="98" t="s">
        <v>1801</v>
      </c>
      <c r="Z195" s="131" t="s">
        <v>1802</v>
      </c>
      <c r="AA195" s="125" t="s">
        <v>1694</v>
      </c>
      <c r="AB195" s="110" t="s">
        <v>1861</v>
      </c>
      <c r="AG195" s="88" t="s">
        <v>1778</v>
      </c>
      <c r="AH195" s="88" t="s">
        <v>1779</v>
      </c>
    </row>
    <row r="196" spans="2:34" ht="17.45" customHeight="1">
      <c r="B196" s="96" t="e">
        <f t="shared" si="6"/>
        <v>#REF!</v>
      </c>
      <c r="C196" s="148">
        <v>35490</v>
      </c>
      <c r="D196" s="98" t="s">
        <v>1807</v>
      </c>
      <c r="E196" s="118">
        <v>7601054</v>
      </c>
      <c r="F196" s="164" t="s">
        <v>1800</v>
      </c>
      <c r="G196" s="165" t="s">
        <v>769</v>
      </c>
      <c r="H196" s="171" t="s">
        <v>1859</v>
      </c>
      <c r="I196" s="98" t="s">
        <v>1807</v>
      </c>
      <c r="J196" s="181">
        <v>3</v>
      </c>
      <c r="K196" s="131" t="s">
        <v>1802</v>
      </c>
      <c r="L196" s="124">
        <v>7</v>
      </c>
      <c r="M196" s="125" t="s">
        <v>1694</v>
      </c>
      <c r="N196" s="106" t="str">
        <f t="shared" si="5"/>
        <v>37</v>
      </c>
      <c r="O196" s="107"/>
      <c r="P196" s="108" t="s">
        <v>1801</v>
      </c>
      <c r="Q196" s="107"/>
      <c r="R196" s="115" t="s">
        <v>1690</v>
      </c>
      <c r="S196" s="92" t="s">
        <v>1577</v>
      </c>
      <c r="T196" s="110"/>
      <c r="U196" s="94" t="s">
        <v>1690</v>
      </c>
      <c r="V196" s="107"/>
      <c r="W196" s="111">
        <v>7601053</v>
      </c>
      <c r="X196" s="115" t="s">
        <v>1690</v>
      </c>
      <c r="Y196" s="98" t="s">
        <v>1807</v>
      </c>
      <c r="Z196" s="131" t="s">
        <v>1802</v>
      </c>
      <c r="AA196" s="125" t="s">
        <v>1694</v>
      </c>
      <c r="AB196" s="110" t="s">
        <v>1707</v>
      </c>
      <c r="AG196" s="88" t="s">
        <v>1778</v>
      </c>
      <c r="AH196" s="88" t="s">
        <v>1779</v>
      </c>
    </row>
    <row r="197" spans="2:34" ht="17.45" customHeight="1">
      <c r="B197" s="96" t="e">
        <f t="shared" si="6"/>
        <v>#REF!</v>
      </c>
      <c r="C197" s="148">
        <v>41273</v>
      </c>
      <c r="D197" s="98" t="s">
        <v>2186</v>
      </c>
      <c r="E197" s="118">
        <v>7601168</v>
      </c>
      <c r="F197" s="164" t="s">
        <v>2182</v>
      </c>
      <c r="G197" s="165" t="s">
        <v>795</v>
      </c>
      <c r="H197" s="171" t="s">
        <v>2173</v>
      </c>
      <c r="I197" s="98" t="s">
        <v>2186</v>
      </c>
      <c r="J197" s="172">
        <v>3</v>
      </c>
      <c r="K197" s="130" t="s">
        <v>1802</v>
      </c>
      <c r="L197" s="124">
        <v>7</v>
      </c>
      <c r="M197" s="125" t="s">
        <v>1694</v>
      </c>
      <c r="N197" s="106" t="str">
        <f t="shared" ref="N197:N264" si="7">J197&amp;L197</f>
        <v>37</v>
      </c>
      <c r="O197" s="107"/>
      <c r="P197" s="114" t="s">
        <v>2183</v>
      </c>
      <c r="Q197" s="107"/>
      <c r="R197" s="115" t="s">
        <v>1696</v>
      </c>
      <c r="S197" s="92" t="s">
        <v>1577</v>
      </c>
      <c r="T197" s="110"/>
      <c r="U197" s="94" t="s">
        <v>1696</v>
      </c>
      <c r="V197" s="107"/>
      <c r="W197" s="117">
        <v>7601167</v>
      </c>
      <c r="X197" s="115" t="s">
        <v>1696</v>
      </c>
      <c r="Y197" s="98" t="s">
        <v>2186</v>
      </c>
      <c r="Z197" s="130" t="s">
        <v>1802</v>
      </c>
      <c r="AA197" s="125" t="s">
        <v>1694</v>
      </c>
      <c r="AG197" s="88" t="s">
        <v>1778</v>
      </c>
      <c r="AH197" s="88" t="s">
        <v>1779</v>
      </c>
    </row>
    <row r="198" spans="2:34" ht="17.45" customHeight="1">
      <c r="B198" s="96" t="e">
        <f t="shared" si="6"/>
        <v>#REF!</v>
      </c>
      <c r="C198" s="148">
        <v>37271</v>
      </c>
      <c r="D198" s="98" t="s">
        <v>2184</v>
      </c>
      <c r="E198" s="118">
        <v>7601167</v>
      </c>
      <c r="F198" s="164" t="s">
        <v>2182</v>
      </c>
      <c r="G198" s="165" t="s">
        <v>802</v>
      </c>
      <c r="H198" s="171" t="s">
        <v>2173</v>
      </c>
      <c r="I198" s="98" t="s">
        <v>2184</v>
      </c>
      <c r="J198" s="172">
        <v>3</v>
      </c>
      <c r="K198" s="130" t="s">
        <v>1802</v>
      </c>
      <c r="L198" s="124">
        <v>7</v>
      </c>
      <c r="M198" s="125" t="s">
        <v>1694</v>
      </c>
      <c r="N198" s="106" t="str">
        <f t="shared" si="7"/>
        <v>37</v>
      </c>
      <c r="O198" s="107"/>
      <c r="P198" s="108" t="s">
        <v>2183</v>
      </c>
      <c r="Q198" s="107"/>
      <c r="R198" s="115" t="s">
        <v>1696</v>
      </c>
      <c r="S198" s="92" t="s">
        <v>1577</v>
      </c>
      <c r="T198" s="110"/>
      <c r="U198" s="94" t="s">
        <v>1696</v>
      </c>
      <c r="V198" s="107"/>
      <c r="W198" s="111">
        <v>7601167</v>
      </c>
      <c r="X198" s="115" t="s">
        <v>1696</v>
      </c>
      <c r="Y198" s="98" t="s">
        <v>2184</v>
      </c>
      <c r="Z198" s="130" t="s">
        <v>1802</v>
      </c>
      <c r="AA198" s="125" t="s">
        <v>1694</v>
      </c>
      <c r="AG198" s="88" t="s">
        <v>1778</v>
      </c>
      <c r="AH198" s="88" t="s">
        <v>1779</v>
      </c>
    </row>
    <row r="199" spans="2:34" ht="17.45" customHeight="1">
      <c r="B199" s="96" t="e">
        <f t="shared" si="6"/>
        <v>#REF!</v>
      </c>
      <c r="C199" s="148">
        <v>41410</v>
      </c>
      <c r="D199" s="98" t="s">
        <v>2131</v>
      </c>
      <c r="E199" s="118">
        <v>7601067</v>
      </c>
      <c r="F199" s="164" t="s">
        <v>2130</v>
      </c>
      <c r="G199" s="165" t="s">
        <v>819</v>
      </c>
      <c r="H199" s="171" t="s">
        <v>2239</v>
      </c>
      <c r="I199" s="98" t="s">
        <v>2131</v>
      </c>
      <c r="J199" s="172">
        <v>3</v>
      </c>
      <c r="K199" s="130" t="s">
        <v>1802</v>
      </c>
      <c r="L199" s="124">
        <v>7</v>
      </c>
      <c r="M199" s="125" t="s">
        <v>1694</v>
      </c>
      <c r="N199" s="106" t="str">
        <f t="shared" si="7"/>
        <v>37</v>
      </c>
      <c r="O199" s="107"/>
      <c r="P199" s="108" t="s">
        <v>2131</v>
      </c>
      <c r="Q199" s="107"/>
      <c r="R199" s="115" t="s">
        <v>1695</v>
      </c>
      <c r="S199" s="92" t="s">
        <v>1577</v>
      </c>
      <c r="T199" s="110"/>
      <c r="U199" s="94" t="s">
        <v>1695</v>
      </c>
      <c r="V199" s="107"/>
      <c r="W199" s="111">
        <v>7601067</v>
      </c>
      <c r="X199" s="115" t="s">
        <v>2136</v>
      </c>
      <c r="Y199" s="98" t="s">
        <v>2131</v>
      </c>
      <c r="Z199" s="130" t="s">
        <v>1802</v>
      </c>
      <c r="AA199" s="125" t="s">
        <v>1694</v>
      </c>
      <c r="AG199" s="88" t="s">
        <v>1778</v>
      </c>
      <c r="AH199" s="88" t="s">
        <v>1779</v>
      </c>
    </row>
    <row r="200" spans="2:34" ht="17.45" customHeight="1">
      <c r="B200" s="96" t="e">
        <f t="shared" si="6"/>
        <v>#REF!</v>
      </c>
      <c r="C200" s="148">
        <v>41435</v>
      </c>
      <c r="D200" s="98" t="s">
        <v>1954</v>
      </c>
      <c r="E200" s="118">
        <v>7600741</v>
      </c>
      <c r="F200" s="164" t="s">
        <v>1943</v>
      </c>
      <c r="G200" s="165" t="s">
        <v>842</v>
      </c>
      <c r="H200" s="171" t="s">
        <v>1951</v>
      </c>
      <c r="I200" s="98" t="s">
        <v>1954</v>
      </c>
      <c r="J200" s="181">
        <v>4</v>
      </c>
      <c r="K200" s="131" t="s">
        <v>1774</v>
      </c>
      <c r="L200" s="124">
        <v>1</v>
      </c>
      <c r="M200" s="125" t="s">
        <v>1699</v>
      </c>
      <c r="N200" s="106" t="str">
        <f t="shared" si="7"/>
        <v>41</v>
      </c>
      <c r="O200" s="107"/>
      <c r="P200" s="108" t="s">
        <v>1944</v>
      </c>
      <c r="Q200" s="107"/>
      <c r="R200" s="115" t="s">
        <v>1700</v>
      </c>
      <c r="S200" s="92" t="s">
        <v>1587</v>
      </c>
      <c r="T200" s="110"/>
      <c r="U200" s="94" t="s">
        <v>1700</v>
      </c>
      <c r="V200" s="107"/>
      <c r="W200" s="111">
        <v>7600415</v>
      </c>
      <c r="X200" s="115" t="s">
        <v>1700</v>
      </c>
      <c r="Y200" s="98" t="s">
        <v>1954</v>
      </c>
      <c r="Z200" s="131" t="s">
        <v>1774</v>
      </c>
      <c r="AA200" s="125" t="s">
        <v>1699</v>
      </c>
      <c r="AG200" s="88" t="s">
        <v>1778</v>
      </c>
      <c r="AH200" s="88" t="s">
        <v>1779</v>
      </c>
    </row>
    <row r="201" spans="2:34" ht="17.45" customHeight="1">
      <c r="B201" s="96" t="e">
        <f t="shared" si="6"/>
        <v>#REF!</v>
      </c>
      <c r="C201" s="148">
        <v>38841</v>
      </c>
      <c r="D201" s="98" t="s">
        <v>1953</v>
      </c>
      <c r="E201" s="118">
        <v>7600415</v>
      </c>
      <c r="F201" s="164" t="s">
        <v>1943</v>
      </c>
      <c r="G201" s="165" t="s">
        <v>849</v>
      </c>
      <c r="H201" s="171" t="s">
        <v>1951</v>
      </c>
      <c r="I201" s="98" t="s">
        <v>1953</v>
      </c>
      <c r="J201" s="181">
        <v>4</v>
      </c>
      <c r="K201" s="131" t="s">
        <v>1774</v>
      </c>
      <c r="L201" s="124">
        <v>1</v>
      </c>
      <c r="M201" s="125" t="s">
        <v>1699</v>
      </c>
      <c r="N201" s="106" t="str">
        <f t="shared" si="7"/>
        <v>41</v>
      </c>
      <c r="O201" s="107"/>
      <c r="P201" s="114" t="s">
        <v>1944</v>
      </c>
      <c r="Q201" s="107"/>
      <c r="R201" s="115" t="s">
        <v>1700</v>
      </c>
      <c r="S201" s="92" t="s">
        <v>1587</v>
      </c>
      <c r="T201" s="110"/>
      <c r="U201" s="94" t="s">
        <v>1700</v>
      </c>
      <c r="V201" s="107"/>
      <c r="W201" s="117">
        <v>7600415</v>
      </c>
      <c r="X201" s="115" t="s">
        <v>1700</v>
      </c>
      <c r="Y201" s="98" t="s">
        <v>1953</v>
      </c>
      <c r="Z201" s="131" t="s">
        <v>1774</v>
      </c>
      <c r="AA201" s="125" t="s">
        <v>1699</v>
      </c>
      <c r="AG201" s="88" t="s">
        <v>1778</v>
      </c>
      <c r="AH201" s="88" t="s">
        <v>1779</v>
      </c>
    </row>
    <row r="202" spans="2:34" ht="17.45" customHeight="1">
      <c r="B202" s="96" t="e">
        <f t="shared" si="6"/>
        <v>#REF!</v>
      </c>
      <c r="C202" s="148">
        <v>44301</v>
      </c>
      <c r="D202" s="98" t="s">
        <v>2067</v>
      </c>
      <c r="E202" s="118">
        <v>7601137</v>
      </c>
      <c r="F202" s="242" t="s">
        <v>2065</v>
      </c>
      <c r="G202" s="171" t="s">
        <v>853</v>
      </c>
      <c r="H202" s="175" t="s">
        <v>2066</v>
      </c>
      <c r="I202" s="98" t="s">
        <v>2067</v>
      </c>
      <c r="J202" s="172">
        <v>4</v>
      </c>
      <c r="K202" s="130" t="s">
        <v>1774</v>
      </c>
      <c r="L202" s="103">
        <v>1</v>
      </c>
      <c r="M202" s="173" t="s">
        <v>1699</v>
      </c>
      <c r="N202" s="106" t="str">
        <f t="shared" si="7"/>
        <v>41</v>
      </c>
      <c r="O202" s="107"/>
      <c r="P202" s="114" t="s">
        <v>2067</v>
      </c>
      <c r="Q202" s="107"/>
      <c r="R202" s="115" t="s">
        <v>1702</v>
      </c>
      <c r="S202" s="92" t="s">
        <v>1587</v>
      </c>
      <c r="T202" s="110"/>
      <c r="U202" s="94" t="s">
        <v>1702</v>
      </c>
      <c r="V202" s="107"/>
      <c r="W202" s="117">
        <v>7601137</v>
      </c>
      <c r="X202" s="115" t="s">
        <v>1702</v>
      </c>
      <c r="Y202" s="98" t="s">
        <v>2067</v>
      </c>
      <c r="Z202" s="130" t="s">
        <v>1774</v>
      </c>
      <c r="AA202" s="173" t="s">
        <v>1699</v>
      </c>
      <c r="AG202" s="88" t="s">
        <v>1778</v>
      </c>
      <c r="AH202" s="88" t="s">
        <v>1779</v>
      </c>
    </row>
    <row r="203" spans="2:34" ht="17.45" customHeight="1">
      <c r="B203" s="96" t="e">
        <f t="shared" si="6"/>
        <v>#REF!</v>
      </c>
      <c r="C203" s="148">
        <v>41922</v>
      </c>
      <c r="D203" s="98" t="s">
        <v>2099</v>
      </c>
      <c r="E203" s="98">
        <v>7600803</v>
      </c>
      <c r="F203" s="113" t="s">
        <v>2097</v>
      </c>
      <c r="G203" s="100" t="s">
        <v>857</v>
      </c>
      <c r="H203" s="101" t="s">
        <v>2108</v>
      </c>
      <c r="I203" s="98" t="s">
        <v>2099</v>
      </c>
      <c r="J203" s="126">
        <v>4</v>
      </c>
      <c r="K203" s="124" t="s">
        <v>1774</v>
      </c>
      <c r="L203" s="124">
        <v>1</v>
      </c>
      <c r="M203" s="125" t="s">
        <v>1699</v>
      </c>
      <c r="N203" s="106" t="str">
        <f t="shared" si="7"/>
        <v>41</v>
      </c>
      <c r="O203" s="107"/>
      <c r="P203" s="108" t="s">
        <v>2099</v>
      </c>
      <c r="Q203" s="107"/>
      <c r="R203" s="115" t="s">
        <v>1703</v>
      </c>
      <c r="S203" s="92" t="s">
        <v>1587</v>
      </c>
      <c r="T203" s="110"/>
      <c r="U203" s="94" t="s">
        <v>1703</v>
      </c>
      <c r="V203" s="107"/>
      <c r="W203" s="111">
        <v>7600803</v>
      </c>
      <c r="X203" s="115" t="s">
        <v>1703</v>
      </c>
      <c r="Y203" s="98" t="s">
        <v>2099</v>
      </c>
      <c r="Z203" s="124" t="s">
        <v>1774</v>
      </c>
      <c r="AA203" s="125" t="s">
        <v>1699</v>
      </c>
      <c r="AG203" s="88" t="s">
        <v>1778</v>
      </c>
      <c r="AH203" s="88" t="s">
        <v>1779</v>
      </c>
    </row>
    <row r="204" spans="2:34" ht="17.45" customHeight="1">
      <c r="B204" s="96" t="e">
        <f t="shared" si="6"/>
        <v>#REF!</v>
      </c>
      <c r="C204" s="148">
        <v>42297</v>
      </c>
      <c r="D204" s="98" t="s">
        <v>2181</v>
      </c>
      <c r="E204" s="98">
        <v>7600861</v>
      </c>
      <c r="F204" s="113" t="s">
        <v>2178</v>
      </c>
      <c r="G204" s="100" t="s">
        <v>863</v>
      </c>
      <c r="H204" s="101" t="s">
        <v>2169</v>
      </c>
      <c r="I204" s="98" t="s">
        <v>2181</v>
      </c>
      <c r="J204" s="126">
        <v>4</v>
      </c>
      <c r="K204" s="124" t="s">
        <v>1774</v>
      </c>
      <c r="L204" s="124">
        <v>1</v>
      </c>
      <c r="M204" s="125" t="s">
        <v>1699</v>
      </c>
      <c r="N204" s="106" t="str">
        <f t="shared" si="7"/>
        <v>41</v>
      </c>
      <c r="O204" s="107"/>
      <c r="P204" s="108" t="s">
        <v>2179</v>
      </c>
      <c r="Q204" s="107"/>
      <c r="R204" s="115" t="s">
        <v>1704</v>
      </c>
      <c r="S204" s="92" t="s">
        <v>1587</v>
      </c>
      <c r="T204" s="110"/>
      <c r="U204" s="94" t="s">
        <v>1704</v>
      </c>
      <c r="V204" s="107"/>
      <c r="W204" s="111">
        <v>7600393</v>
      </c>
      <c r="X204" s="115" t="s">
        <v>1704</v>
      </c>
      <c r="Y204" s="98" t="s">
        <v>2181</v>
      </c>
      <c r="Z204" s="124" t="s">
        <v>1774</v>
      </c>
      <c r="AA204" s="125" t="s">
        <v>1699</v>
      </c>
      <c r="AB204" s="155"/>
      <c r="AG204" s="88" t="s">
        <v>1778</v>
      </c>
      <c r="AH204" s="88" t="s">
        <v>1779</v>
      </c>
    </row>
    <row r="205" spans="2:34" ht="17.45" customHeight="1">
      <c r="B205" s="96" t="e">
        <f t="shared" si="6"/>
        <v>#REF!</v>
      </c>
      <c r="C205" s="112">
        <v>38492</v>
      </c>
      <c r="D205" s="98" t="s">
        <v>2179</v>
      </c>
      <c r="E205" s="98">
        <v>7600393</v>
      </c>
      <c r="F205" s="113" t="s">
        <v>2178</v>
      </c>
      <c r="G205" s="100" t="s">
        <v>868</v>
      </c>
      <c r="H205" s="101" t="s">
        <v>2169</v>
      </c>
      <c r="I205" s="98" t="s">
        <v>2179</v>
      </c>
      <c r="J205" s="102">
        <v>4</v>
      </c>
      <c r="K205" s="103" t="s">
        <v>1774</v>
      </c>
      <c r="L205" s="124">
        <v>1</v>
      </c>
      <c r="M205" s="125" t="s">
        <v>1699</v>
      </c>
      <c r="N205" s="106" t="str">
        <f t="shared" si="7"/>
        <v>41</v>
      </c>
      <c r="O205" s="107"/>
      <c r="P205" s="114" t="s">
        <v>2179</v>
      </c>
      <c r="Q205" s="107"/>
      <c r="R205" s="115" t="s">
        <v>1704</v>
      </c>
      <c r="S205" s="92" t="s">
        <v>1587</v>
      </c>
      <c r="T205" s="110"/>
      <c r="U205" s="94" t="s">
        <v>1704</v>
      </c>
      <c r="V205" s="107"/>
      <c r="W205" s="117">
        <v>7600393</v>
      </c>
      <c r="X205" s="115" t="s">
        <v>1704</v>
      </c>
      <c r="Y205" s="98" t="s">
        <v>2179</v>
      </c>
      <c r="Z205" s="103" t="s">
        <v>1774</v>
      </c>
      <c r="AA205" s="125" t="s">
        <v>1699</v>
      </c>
      <c r="AG205" s="88" t="s">
        <v>1778</v>
      </c>
      <c r="AH205" s="88" t="s">
        <v>1779</v>
      </c>
    </row>
    <row r="206" spans="2:34" ht="17.45" customHeight="1">
      <c r="B206" s="96" t="e">
        <f t="shared" si="6"/>
        <v>#REF!</v>
      </c>
      <c r="C206" s="148">
        <v>41638</v>
      </c>
      <c r="D206" s="98" t="s">
        <v>2191</v>
      </c>
      <c r="E206" s="118">
        <v>7600760</v>
      </c>
      <c r="F206" s="164" t="s">
        <v>2189</v>
      </c>
      <c r="G206" s="165" t="s">
        <v>870</v>
      </c>
      <c r="H206" s="171" t="s">
        <v>2180</v>
      </c>
      <c r="I206" s="98" t="s">
        <v>2191</v>
      </c>
      <c r="J206" s="172">
        <v>4</v>
      </c>
      <c r="K206" s="130" t="s">
        <v>1774</v>
      </c>
      <c r="L206" s="124">
        <v>1</v>
      </c>
      <c r="M206" s="125" t="s">
        <v>1699</v>
      </c>
      <c r="N206" s="106" t="str">
        <f t="shared" si="7"/>
        <v>41</v>
      </c>
      <c r="O206" s="107"/>
      <c r="P206" s="108" t="s">
        <v>2190</v>
      </c>
      <c r="Q206" s="107"/>
      <c r="R206" s="115" t="s">
        <v>1705</v>
      </c>
      <c r="S206" s="92" t="s">
        <v>1587</v>
      </c>
      <c r="T206" s="110"/>
      <c r="U206" s="94" t="s">
        <v>1705</v>
      </c>
      <c r="V206" s="107"/>
      <c r="W206" s="111">
        <v>7600757</v>
      </c>
      <c r="X206" s="115" t="s">
        <v>1705</v>
      </c>
      <c r="Y206" s="98" t="s">
        <v>2191</v>
      </c>
      <c r="Z206" s="130" t="s">
        <v>1774</v>
      </c>
      <c r="AA206" s="125" t="s">
        <v>1699</v>
      </c>
      <c r="AB206" s="155"/>
      <c r="AG206" s="88" t="s">
        <v>1778</v>
      </c>
      <c r="AH206" s="88" t="s">
        <v>1779</v>
      </c>
    </row>
    <row r="207" spans="2:34" ht="17.45" customHeight="1">
      <c r="B207" s="96" t="e">
        <f t="shared" si="6"/>
        <v>#REF!</v>
      </c>
      <c r="C207" s="148">
        <v>41583</v>
      </c>
      <c r="D207" s="98" t="s">
        <v>2190</v>
      </c>
      <c r="E207" s="118">
        <v>7600757</v>
      </c>
      <c r="F207" s="164" t="s">
        <v>2189</v>
      </c>
      <c r="G207" s="165" t="s">
        <v>876</v>
      </c>
      <c r="H207" s="171" t="s">
        <v>2180</v>
      </c>
      <c r="I207" s="98" t="s">
        <v>2190</v>
      </c>
      <c r="J207" s="172">
        <v>4</v>
      </c>
      <c r="K207" s="130" t="s">
        <v>1774</v>
      </c>
      <c r="L207" s="124">
        <v>1</v>
      </c>
      <c r="M207" s="125" t="s">
        <v>1699</v>
      </c>
      <c r="N207" s="106" t="str">
        <f t="shared" si="7"/>
        <v>41</v>
      </c>
      <c r="O207" s="107"/>
      <c r="P207" s="108" t="s">
        <v>2190</v>
      </c>
      <c r="Q207" s="107"/>
      <c r="R207" s="115" t="s">
        <v>1705</v>
      </c>
      <c r="S207" s="92" t="s">
        <v>1587</v>
      </c>
      <c r="T207" s="110"/>
      <c r="U207" s="94" t="s">
        <v>1705</v>
      </c>
      <c r="V207" s="107"/>
      <c r="W207" s="111">
        <v>7600757</v>
      </c>
      <c r="X207" s="115" t="s">
        <v>1705</v>
      </c>
      <c r="Y207" s="98" t="s">
        <v>2190</v>
      </c>
      <c r="Z207" s="130" t="s">
        <v>1774</v>
      </c>
      <c r="AA207" s="125" t="s">
        <v>1699</v>
      </c>
      <c r="AB207" s="155"/>
      <c r="AG207" s="88" t="s">
        <v>1778</v>
      </c>
      <c r="AH207" s="88" t="s">
        <v>1779</v>
      </c>
    </row>
    <row r="208" spans="2:34" ht="17.45" customHeight="1">
      <c r="B208" s="96" t="e">
        <f t="shared" si="6"/>
        <v>#REF!</v>
      </c>
      <c r="C208" s="148">
        <v>42447</v>
      </c>
      <c r="D208" s="98" t="s">
        <v>2247</v>
      </c>
      <c r="E208" s="98">
        <v>7601076</v>
      </c>
      <c r="F208" s="113" t="s">
        <v>2243</v>
      </c>
      <c r="G208" s="165" t="s">
        <v>898</v>
      </c>
      <c r="H208" s="171" t="s">
        <v>1772</v>
      </c>
      <c r="I208" s="98" t="s">
        <v>2247</v>
      </c>
      <c r="J208" s="181">
        <v>4</v>
      </c>
      <c r="K208" s="131" t="s">
        <v>1774</v>
      </c>
      <c r="L208" s="124">
        <v>2</v>
      </c>
      <c r="M208" s="125" t="s">
        <v>1706</v>
      </c>
      <c r="N208" s="106" t="str">
        <f t="shared" si="7"/>
        <v>42</v>
      </c>
      <c r="O208" s="107"/>
      <c r="P208" s="108" t="s">
        <v>2245</v>
      </c>
      <c r="Q208" s="107"/>
      <c r="R208" s="115" t="s">
        <v>1712</v>
      </c>
      <c r="S208" s="92" t="s">
        <v>1588</v>
      </c>
      <c r="T208" s="110"/>
      <c r="U208" s="94" t="s">
        <v>1712</v>
      </c>
      <c r="V208" s="107"/>
      <c r="W208" s="111">
        <v>7600976</v>
      </c>
      <c r="X208" s="115" t="s">
        <v>1712</v>
      </c>
      <c r="Y208" s="98" t="s">
        <v>2247</v>
      </c>
      <c r="Z208" s="131" t="s">
        <v>1774</v>
      </c>
      <c r="AA208" s="125" t="s">
        <v>1706</v>
      </c>
      <c r="AB208" s="155"/>
      <c r="AG208" s="88" t="s">
        <v>1778</v>
      </c>
      <c r="AH208" s="88" t="s">
        <v>1779</v>
      </c>
    </row>
    <row r="209" spans="1:54" ht="17.45" customHeight="1">
      <c r="B209" s="96" t="e">
        <f t="shared" si="6"/>
        <v>#REF!</v>
      </c>
      <c r="C209" s="148">
        <v>39303</v>
      </c>
      <c r="D209" s="98" t="s">
        <v>2245</v>
      </c>
      <c r="E209" s="118">
        <v>7600976</v>
      </c>
      <c r="F209" s="164" t="s">
        <v>2243</v>
      </c>
      <c r="G209" s="165" t="s">
        <v>901</v>
      </c>
      <c r="H209" s="171" t="s">
        <v>1772</v>
      </c>
      <c r="I209" s="98" t="s">
        <v>2245</v>
      </c>
      <c r="J209" s="181">
        <v>4</v>
      </c>
      <c r="K209" s="131" t="s">
        <v>1774</v>
      </c>
      <c r="L209" s="124">
        <v>2</v>
      </c>
      <c r="M209" s="125" t="s">
        <v>1706</v>
      </c>
      <c r="N209" s="106" t="str">
        <f t="shared" si="7"/>
        <v>42</v>
      </c>
      <c r="O209" s="107"/>
      <c r="P209" s="108" t="s">
        <v>2245</v>
      </c>
      <c r="Q209" s="107"/>
      <c r="R209" s="115" t="s">
        <v>1712</v>
      </c>
      <c r="S209" s="92" t="s">
        <v>1588</v>
      </c>
      <c r="T209" s="110"/>
      <c r="U209" s="94" t="s">
        <v>1712</v>
      </c>
      <c r="V209" s="107"/>
      <c r="W209" s="111">
        <v>7600976</v>
      </c>
      <c r="X209" s="115" t="s">
        <v>1712</v>
      </c>
      <c r="Y209" s="98" t="s">
        <v>2245</v>
      </c>
      <c r="Z209" s="131" t="s">
        <v>1774</v>
      </c>
      <c r="AA209" s="125" t="s">
        <v>1706</v>
      </c>
      <c r="AB209" s="155"/>
      <c r="AG209" s="88" t="s">
        <v>1778</v>
      </c>
      <c r="AH209" s="88" t="s">
        <v>1779</v>
      </c>
    </row>
    <row r="210" spans="1:54" ht="17.45" customHeight="1">
      <c r="B210" s="96" t="e">
        <f t="shared" si="6"/>
        <v>#REF!</v>
      </c>
      <c r="C210" s="148">
        <v>39984</v>
      </c>
      <c r="D210" s="98" t="s">
        <v>1857</v>
      </c>
      <c r="E210" s="118">
        <v>7600501</v>
      </c>
      <c r="F210" s="164" t="s">
        <v>1856</v>
      </c>
      <c r="G210" s="165" t="s">
        <v>881</v>
      </c>
      <c r="H210" s="171" t="s">
        <v>1864</v>
      </c>
      <c r="I210" s="98" t="s">
        <v>1857</v>
      </c>
      <c r="J210" s="181">
        <v>4</v>
      </c>
      <c r="K210" s="131" t="s">
        <v>1774</v>
      </c>
      <c r="L210" s="124">
        <v>2</v>
      </c>
      <c r="M210" s="125" t="s">
        <v>1706</v>
      </c>
      <c r="N210" s="106" t="str">
        <f t="shared" si="7"/>
        <v>42</v>
      </c>
      <c r="O210" s="107"/>
      <c r="P210" s="114" t="s">
        <v>1857</v>
      </c>
      <c r="Q210" s="107"/>
      <c r="R210" s="115" t="s">
        <v>1707</v>
      </c>
      <c r="S210" s="92" t="s">
        <v>1588</v>
      </c>
      <c r="T210" s="110"/>
      <c r="U210" s="94" t="s">
        <v>1707</v>
      </c>
      <c r="V210" s="107"/>
      <c r="W210" s="117">
        <v>7600501</v>
      </c>
      <c r="X210" s="115" t="s">
        <v>1707</v>
      </c>
      <c r="Y210" s="98" t="s">
        <v>1857</v>
      </c>
      <c r="Z210" s="131" t="s">
        <v>1774</v>
      </c>
      <c r="AA210" s="125" t="s">
        <v>1706</v>
      </c>
      <c r="AB210" s="291" t="s">
        <v>1719</v>
      </c>
      <c r="AG210" s="88" t="s">
        <v>1778</v>
      </c>
      <c r="AH210" s="88" t="s">
        <v>1779</v>
      </c>
    </row>
    <row r="211" spans="1:54" ht="17.45" customHeight="1">
      <c r="B211" s="96" t="e">
        <f t="shared" si="6"/>
        <v>#REF!</v>
      </c>
      <c r="C211" s="112">
        <v>39465</v>
      </c>
      <c r="D211" s="98" t="s">
        <v>2049</v>
      </c>
      <c r="E211" s="98">
        <v>7600473</v>
      </c>
      <c r="F211" s="113" t="s">
        <v>2048</v>
      </c>
      <c r="G211" s="100" t="s">
        <v>887</v>
      </c>
      <c r="H211" s="101" t="s">
        <v>2041</v>
      </c>
      <c r="I211" s="98" t="s">
        <v>2049</v>
      </c>
      <c r="J211" s="102">
        <v>4</v>
      </c>
      <c r="K211" s="103" t="s">
        <v>1774</v>
      </c>
      <c r="L211" s="124">
        <v>2</v>
      </c>
      <c r="M211" s="125" t="s">
        <v>1706</v>
      </c>
      <c r="N211" s="106" t="str">
        <f t="shared" si="7"/>
        <v>42</v>
      </c>
      <c r="O211" s="107"/>
      <c r="P211" s="114" t="s">
        <v>2049</v>
      </c>
      <c r="Q211" s="107"/>
      <c r="R211" s="115" t="s">
        <v>1709</v>
      </c>
      <c r="S211" s="92" t="s">
        <v>1588</v>
      </c>
      <c r="T211" s="110"/>
      <c r="U211" s="94" t="s">
        <v>1709</v>
      </c>
      <c r="V211" s="107"/>
      <c r="W211" s="117">
        <v>7600473</v>
      </c>
      <c r="X211" s="115" t="s">
        <v>1709</v>
      </c>
      <c r="Y211" s="98" t="s">
        <v>2049</v>
      </c>
      <c r="Z211" s="103" t="s">
        <v>1774</v>
      </c>
      <c r="AA211" s="125" t="s">
        <v>1706</v>
      </c>
      <c r="AB211" s="155"/>
      <c r="AG211" s="88" t="s">
        <v>1778</v>
      </c>
      <c r="AH211" s="88" t="s">
        <v>1779</v>
      </c>
    </row>
    <row r="212" spans="1:54" ht="17.45" customHeight="1">
      <c r="B212" s="96" t="e">
        <f t="shared" si="6"/>
        <v>#REF!</v>
      </c>
      <c r="C212" s="148">
        <v>42324</v>
      </c>
      <c r="D212" s="98" t="s">
        <v>2162</v>
      </c>
      <c r="E212" s="118">
        <v>7600091</v>
      </c>
      <c r="F212" s="164" t="s">
        <v>2161</v>
      </c>
      <c r="G212" s="165" t="s">
        <v>892</v>
      </c>
      <c r="H212" s="171" t="s">
        <v>2165</v>
      </c>
      <c r="I212" s="98" t="s">
        <v>2162</v>
      </c>
      <c r="J212" s="172">
        <v>4</v>
      </c>
      <c r="K212" s="130" t="s">
        <v>1774</v>
      </c>
      <c r="L212" s="124">
        <v>2</v>
      </c>
      <c r="M212" s="125" t="s">
        <v>1706</v>
      </c>
      <c r="N212" s="106" t="str">
        <f t="shared" si="7"/>
        <v>42</v>
      </c>
      <c r="O212" s="107"/>
      <c r="P212" s="108" t="s">
        <v>2162</v>
      </c>
      <c r="Q212" s="107"/>
      <c r="R212" s="115" t="s">
        <v>1710</v>
      </c>
      <c r="S212" s="92" t="s">
        <v>1588</v>
      </c>
      <c r="T212" s="110"/>
      <c r="U212" s="94" t="s">
        <v>1710</v>
      </c>
      <c r="V212" s="107"/>
      <c r="W212" s="111">
        <v>7600091</v>
      </c>
      <c r="X212" s="115" t="s">
        <v>1710</v>
      </c>
      <c r="Y212" s="98" t="s">
        <v>2162</v>
      </c>
      <c r="Z212" s="130" t="s">
        <v>1774</v>
      </c>
      <c r="AA212" s="125" t="s">
        <v>1706</v>
      </c>
      <c r="AB212" s="155"/>
      <c r="AG212" s="88" t="s">
        <v>1778</v>
      </c>
      <c r="AH212" s="88" t="s">
        <v>1779</v>
      </c>
    </row>
    <row r="213" spans="1:54" ht="17.45" customHeight="1">
      <c r="B213" s="96" t="e">
        <f t="shared" ref="B213:B226" si="8">B212+1</f>
        <v>#REF!</v>
      </c>
      <c r="C213" s="148">
        <v>39674</v>
      </c>
      <c r="D213" s="98" t="s">
        <v>2195</v>
      </c>
      <c r="E213" s="118">
        <v>7601061</v>
      </c>
      <c r="F213" s="164" t="s">
        <v>2193</v>
      </c>
      <c r="G213" s="165" t="s">
        <v>903</v>
      </c>
      <c r="H213" s="171" t="s">
        <v>2185</v>
      </c>
      <c r="I213" s="98" t="s">
        <v>2195</v>
      </c>
      <c r="J213" s="181">
        <v>4</v>
      </c>
      <c r="K213" s="131" t="s">
        <v>1774</v>
      </c>
      <c r="L213" s="124">
        <v>2</v>
      </c>
      <c r="M213" s="125" t="s">
        <v>1706</v>
      </c>
      <c r="N213" s="106" t="str">
        <f t="shared" si="7"/>
        <v>42</v>
      </c>
      <c r="O213" s="107"/>
      <c r="P213" s="108" t="s">
        <v>2195</v>
      </c>
      <c r="Q213" s="107"/>
      <c r="R213" s="115" t="s">
        <v>1711</v>
      </c>
      <c r="S213" s="92" t="s">
        <v>1588</v>
      </c>
      <c r="T213" s="110"/>
      <c r="U213" s="94" t="s">
        <v>1711</v>
      </c>
      <c r="V213" s="107"/>
      <c r="W213" s="111">
        <v>7601061</v>
      </c>
      <c r="X213" s="115" t="s">
        <v>1711</v>
      </c>
      <c r="Y213" s="98" t="s">
        <v>2195</v>
      </c>
      <c r="Z213" s="131" t="s">
        <v>1774</v>
      </c>
      <c r="AA213" s="125" t="s">
        <v>1706</v>
      </c>
      <c r="AB213" s="155"/>
      <c r="AG213" s="88" t="s">
        <v>1778</v>
      </c>
      <c r="AH213" s="88" t="s">
        <v>1779</v>
      </c>
    </row>
    <row r="214" spans="1:54" ht="17.45" customHeight="1">
      <c r="A214" s="86"/>
      <c r="B214" s="96" t="e">
        <f t="shared" si="8"/>
        <v>#REF!</v>
      </c>
      <c r="C214" s="146">
        <v>37525</v>
      </c>
      <c r="D214" s="98" t="s">
        <v>1950</v>
      </c>
      <c r="E214" s="118">
        <v>7600511</v>
      </c>
      <c r="F214" s="168" t="s">
        <v>1943</v>
      </c>
      <c r="G214" s="169" t="s">
        <v>1949</v>
      </c>
      <c r="H214" s="101" t="s">
        <v>1951</v>
      </c>
      <c r="I214" s="98" t="s">
        <v>1950</v>
      </c>
      <c r="J214" s="102">
        <v>4</v>
      </c>
      <c r="K214" s="103" t="s">
        <v>1774</v>
      </c>
      <c r="L214" s="124">
        <v>3</v>
      </c>
      <c r="M214" s="125" t="s">
        <v>1713</v>
      </c>
      <c r="N214" s="106" t="str">
        <f t="shared" si="7"/>
        <v>43</v>
      </c>
      <c r="O214" s="107"/>
      <c r="P214" s="108" t="s">
        <v>1944</v>
      </c>
      <c r="Q214" s="107"/>
      <c r="R214" s="109" t="s">
        <v>1717</v>
      </c>
      <c r="S214" s="92" t="s">
        <v>1589</v>
      </c>
      <c r="T214" s="110"/>
      <c r="U214" s="94" t="s">
        <v>1717</v>
      </c>
      <c r="V214" s="107"/>
      <c r="W214" s="111">
        <v>7600085</v>
      </c>
      <c r="X214" s="109" t="s">
        <v>1717</v>
      </c>
      <c r="Y214" s="98" t="s">
        <v>1950</v>
      </c>
      <c r="Z214" s="103" t="s">
        <v>1774</v>
      </c>
      <c r="AA214" s="125" t="s">
        <v>1713</v>
      </c>
      <c r="AB214" s="155"/>
      <c r="AC214" s="86"/>
      <c r="AD214" s="86"/>
      <c r="AE214" s="86"/>
      <c r="AF214" s="86"/>
      <c r="AG214" s="88" t="s">
        <v>1778</v>
      </c>
      <c r="AH214" s="88" t="s">
        <v>1779</v>
      </c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</row>
    <row r="215" spans="1:54" s="86" customFormat="1" ht="17.45" customHeight="1">
      <c r="A215" s="56"/>
      <c r="B215" s="96" t="e">
        <f t="shared" si="8"/>
        <v>#REF!</v>
      </c>
      <c r="C215" s="146">
        <v>41991</v>
      </c>
      <c r="D215" s="98" t="s">
        <v>1958</v>
      </c>
      <c r="E215" s="118">
        <v>7601262</v>
      </c>
      <c r="F215" s="168" t="s">
        <v>1943</v>
      </c>
      <c r="G215" s="169" t="s">
        <v>929</v>
      </c>
      <c r="H215" s="171" t="s">
        <v>1951</v>
      </c>
      <c r="I215" s="98" t="s">
        <v>1958</v>
      </c>
      <c r="J215" s="102">
        <v>4</v>
      </c>
      <c r="K215" s="103" t="s">
        <v>1774</v>
      </c>
      <c r="L215" s="124">
        <v>3</v>
      </c>
      <c r="M215" s="125" t="s">
        <v>1713</v>
      </c>
      <c r="N215" s="106" t="str">
        <f t="shared" si="7"/>
        <v>43</v>
      </c>
      <c r="O215" s="107"/>
      <c r="P215" s="108" t="s">
        <v>1944</v>
      </c>
      <c r="Q215" s="107"/>
      <c r="R215" s="109" t="s">
        <v>1718</v>
      </c>
      <c r="S215" s="92" t="s">
        <v>1589</v>
      </c>
      <c r="T215" s="110"/>
      <c r="U215" s="94" t="s">
        <v>1718</v>
      </c>
      <c r="V215" s="107"/>
      <c r="W215" s="111">
        <v>7601264</v>
      </c>
      <c r="X215" s="109" t="s">
        <v>1718</v>
      </c>
      <c r="Y215" s="98" t="s">
        <v>1958</v>
      </c>
      <c r="Z215" s="103" t="s">
        <v>1774</v>
      </c>
      <c r="AA215" s="125" t="s">
        <v>1713</v>
      </c>
      <c r="AB215" s="155"/>
      <c r="AC215" s="129"/>
      <c r="AD215" s="74"/>
      <c r="AE215" s="74"/>
      <c r="AF215" s="74"/>
      <c r="AG215" s="88" t="s">
        <v>1778</v>
      </c>
      <c r="AH215" s="88" t="s">
        <v>1779</v>
      </c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</row>
    <row r="216" spans="1:54" s="86" customFormat="1" ht="17.45" customHeight="1">
      <c r="B216" s="96" t="e">
        <f t="shared" si="8"/>
        <v>#REF!</v>
      </c>
      <c r="C216" s="148">
        <v>35445</v>
      </c>
      <c r="D216" s="98" t="s">
        <v>1956</v>
      </c>
      <c r="E216" s="118">
        <v>7601264</v>
      </c>
      <c r="F216" s="168" t="s">
        <v>1943</v>
      </c>
      <c r="G216" s="169" t="s">
        <v>1955</v>
      </c>
      <c r="H216" s="171" t="s">
        <v>1951</v>
      </c>
      <c r="I216" s="98" t="s">
        <v>1956</v>
      </c>
      <c r="J216" s="102">
        <v>4</v>
      </c>
      <c r="K216" s="103" t="s">
        <v>1774</v>
      </c>
      <c r="L216" s="124">
        <v>3</v>
      </c>
      <c r="M216" s="125" t="s">
        <v>1713</v>
      </c>
      <c r="N216" s="106" t="str">
        <f t="shared" si="7"/>
        <v>43</v>
      </c>
      <c r="O216" s="107"/>
      <c r="P216" s="108" t="s">
        <v>1944</v>
      </c>
      <c r="Q216" s="107"/>
      <c r="R216" s="109" t="s">
        <v>1718</v>
      </c>
      <c r="S216" s="92" t="s">
        <v>1589</v>
      </c>
      <c r="T216" s="110"/>
      <c r="U216" s="94" t="s">
        <v>1718</v>
      </c>
      <c r="V216" s="107"/>
      <c r="W216" s="111">
        <v>7601264</v>
      </c>
      <c r="X216" s="109" t="s">
        <v>1718</v>
      </c>
      <c r="Y216" s="98" t="s">
        <v>1956</v>
      </c>
      <c r="Z216" s="103" t="s">
        <v>1774</v>
      </c>
      <c r="AA216" s="125" t="s">
        <v>1713</v>
      </c>
      <c r="AB216" s="155"/>
      <c r="AG216" s="88" t="s">
        <v>1778</v>
      </c>
      <c r="AH216" s="88" t="s">
        <v>1779</v>
      </c>
    </row>
    <row r="217" spans="1:54" s="86" customFormat="1" ht="17.45" customHeight="1">
      <c r="B217" s="96" t="e">
        <f t="shared" si="8"/>
        <v>#REF!</v>
      </c>
      <c r="C217" s="183">
        <v>38852</v>
      </c>
      <c r="D217" s="184" t="s">
        <v>1957</v>
      </c>
      <c r="E217" s="118">
        <v>7601263</v>
      </c>
      <c r="F217" s="168" t="s">
        <v>1943</v>
      </c>
      <c r="G217" s="169" t="s">
        <v>934</v>
      </c>
      <c r="H217" s="171" t="s">
        <v>1951</v>
      </c>
      <c r="I217" s="184" t="s">
        <v>1957</v>
      </c>
      <c r="J217" s="102">
        <v>4</v>
      </c>
      <c r="K217" s="103" t="s">
        <v>1774</v>
      </c>
      <c r="L217" s="124">
        <v>3</v>
      </c>
      <c r="M217" s="125" t="s">
        <v>1713</v>
      </c>
      <c r="N217" s="106" t="str">
        <f t="shared" si="7"/>
        <v>43</v>
      </c>
      <c r="O217" s="107"/>
      <c r="P217" s="108" t="s">
        <v>1944</v>
      </c>
      <c r="Q217" s="107"/>
      <c r="R217" s="109" t="s">
        <v>1718</v>
      </c>
      <c r="S217" s="92" t="s">
        <v>1589</v>
      </c>
      <c r="T217" s="110"/>
      <c r="U217" s="94" t="s">
        <v>1718</v>
      </c>
      <c r="V217" s="107"/>
      <c r="W217" s="111">
        <v>7601264</v>
      </c>
      <c r="X217" s="109" t="s">
        <v>1718</v>
      </c>
      <c r="Y217" s="184" t="s">
        <v>1957</v>
      </c>
      <c r="Z217" s="103" t="s">
        <v>1774</v>
      </c>
      <c r="AA217" s="125" t="s">
        <v>1713</v>
      </c>
      <c r="AB217" s="155"/>
      <c r="AG217" s="88" t="s">
        <v>1778</v>
      </c>
      <c r="AH217" s="88" t="s">
        <v>1779</v>
      </c>
    </row>
    <row r="218" spans="1:54" s="86" customFormat="1" ht="17.45" customHeight="1">
      <c r="A218" s="56"/>
      <c r="B218" s="96" t="e">
        <f t="shared" si="8"/>
        <v>#REF!</v>
      </c>
      <c r="C218" s="185">
        <v>37291</v>
      </c>
      <c r="D218" s="186" t="s">
        <v>1947</v>
      </c>
      <c r="E218" s="118">
        <v>7600299</v>
      </c>
      <c r="F218" s="187" t="s">
        <v>1943</v>
      </c>
      <c r="G218" s="169" t="s">
        <v>909</v>
      </c>
      <c r="H218" s="188" t="s">
        <v>1951</v>
      </c>
      <c r="I218" s="186" t="s">
        <v>1947</v>
      </c>
      <c r="J218" s="102">
        <v>4</v>
      </c>
      <c r="K218" s="103" t="s">
        <v>1774</v>
      </c>
      <c r="L218" s="124">
        <v>3</v>
      </c>
      <c r="M218" s="125" t="s">
        <v>1713</v>
      </c>
      <c r="N218" s="106" t="str">
        <f t="shared" si="7"/>
        <v>43</v>
      </c>
      <c r="O218" s="107"/>
      <c r="P218" s="108" t="s">
        <v>1944</v>
      </c>
      <c r="Q218" s="107"/>
      <c r="R218" s="109" t="s">
        <v>1716</v>
      </c>
      <c r="S218" s="92" t="s">
        <v>1589</v>
      </c>
      <c r="T218" s="110"/>
      <c r="U218" s="94" t="s">
        <v>1716</v>
      </c>
      <c r="V218" s="107"/>
      <c r="W218" s="111">
        <v>7600085</v>
      </c>
      <c r="X218" s="109" t="s">
        <v>1716</v>
      </c>
      <c r="Y218" s="186" t="s">
        <v>1947</v>
      </c>
      <c r="Z218" s="103" t="s">
        <v>1774</v>
      </c>
      <c r="AA218" s="125" t="s">
        <v>1713</v>
      </c>
      <c r="AB218" s="110" t="s">
        <v>1727</v>
      </c>
      <c r="AG218" s="88" t="s">
        <v>1778</v>
      </c>
      <c r="AH218" s="88" t="s">
        <v>1779</v>
      </c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</row>
    <row r="219" spans="1:54" s="86" customFormat="1" ht="17.45" customHeight="1">
      <c r="A219" s="56"/>
      <c r="B219" s="96" t="e">
        <f t="shared" si="8"/>
        <v>#REF!</v>
      </c>
      <c r="C219" s="146">
        <v>36542</v>
      </c>
      <c r="D219" s="98" t="s">
        <v>1945</v>
      </c>
      <c r="E219" s="118">
        <v>7600139</v>
      </c>
      <c r="F219" s="168" t="s">
        <v>1943</v>
      </c>
      <c r="G219" s="169" t="s">
        <v>915</v>
      </c>
      <c r="H219" s="170" t="s">
        <v>1951</v>
      </c>
      <c r="I219" s="98" t="s">
        <v>1945</v>
      </c>
      <c r="J219" s="189">
        <v>4</v>
      </c>
      <c r="K219" s="131" t="s">
        <v>1774</v>
      </c>
      <c r="L219" s="124">
        <v>3</v>
      </c>
      <c r="M219" s="125" t="s">
        <v>1713</v>
      </c>
      <c r="N219" s="106" t="str">
        <f t="shared" si="7"/>
        <v>43</v>
      </c>
      <c r="O219" s="107"/>
      <c r="P219" s="108" t="s">
        <v>1944</v>
      </c>
      <c r="Q219" s="107"/>
      <c r="R219" s="109" t="s">
        <v>1716</v>
      </c>
      <c r="S219" s="92" t="s">
        <v>1589</v>
      </c>
      <c r="T219" s="110"/>
      <c r="U219" s="94" t="s">
        <v>1716</v>
      </c>
      <c r="V219" s="107"/>
      <c r="W219" s="111">
        <v>7600085</v>
      </c>
      <c r="X219" s="109" t="s">
        <v>1716</v>
      </c>
      <c r="Y219" s="98" t="s">
        <v>1945</v>
      </c>
      <c r="Z219" s="131" t="s">
        <v>1774</v>
      </c>
      <c r="AA219" s="125" t="s">
        <v>1713</v>
      </c>
      <c r="AB219" s="110" t="s">
        <v>1720</v>
      </c>
      <c r="AC219" s="129"/>
      <c r="AD219" s="74"/>
      <c r="AE219" s="74"/>
      <c r="AF219" s="74"/>
      <c r="AG219" s="88" t="s">
        <v>1778</v>
      </c>
      <c r="AH219" s="88" t="s">
        <v>1779</v>
      </c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</row>
    <row r="220" spans="1:54" ht="17.45" customHeight="1">
      <c r="A220" s="86"/>
      <c r="B220" s="96" t="e">
        <f t="shared" si="8"/>
        <v>#REF!</v>
      </c>
      <c r="C220" s="148">
        <v>44851</v>
      </c>
      <c r="D220" s="98" t="s">
        <v>1952</v>
      </c>
      <c r="E220" s="118">
        <v>7601209</v>
      </c>
      <c r="F220" s="164" t="s">
        <v>1943</v>
      </c>
      <c r="G220" s="165" t="s">
        <v>919</v>
      </c>
      <c r="H220" s="171" t="s">
        <v>1961</v>
      </c>
      <c r="I220" s="98" t="s">
        <v>1952</v>
      </c>
      <c r="J220" s="181">
        <v>4</v>
      </c>
      <c r="K220" s="131" t="s">
        <v>1774</v>
      </c>
      <c r="L220" s="124">
        <v>3</v>
      </c>
      <c r="M220" s="125" t="s">
        <v>1713</v>
      </c>
      <c r="N220" s="106" t="str">
        <f t="shared" si="7"/>
        <v>43</v>
      </c>
      <c r="O220" s="107"/>
      <c r="P220" s="108" t="s">
        <v>1944</v>
      </c>
      <c r="Q220" s="107"/>
      <c r="R220" s="115" t="s">
        <v>1716</v>
      </c>
      <c r="S220" s="92" t="s">
        <v>1589</v>
      </c>
      <c r="T220" s="110"/>
      <c r="U220" s="94" t="s">
        <v>1716</v>
      </c>
      <c r="V220" s="107"/>
      <c r="W220" s="111">
        <v>7600085</v>
      </c>
      <c r="X220" s="115" t="s">
        <v>1716</v>
      </c>
      <c r="Y220" s="98" t="s">
        <v>1952</v>
      </c>
      <c r="Z220" s="131" t="s">
        <v>1774</v>
      </c>
      <c r="AA220" s="125" t="s">
        <v>1713</v>
      </c>
      <c r="AB220" s="155"/>
      <c r="AC220" s="86"/>
      <c r="AD220" s="86"/>
      <c r="AE220" s="86"/>
      <c r="AF220" s="86"/>
      <c r="AG220" s="88" t="s">
        <v>1778</v>
      </c>
      <c r="AH220" s="88" t="s">
        <v>1779</v>
      </c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</row>
    <row r="221" spans="1:54" ht="17.45" customHeight="1">
      <c r="A221" s="86"/>
      <c r="B221" s="96" t="e">
        <f t="shared" si="8"/>
        <v>#REF!</v>
      </c>
      <c r="C221" s="148">
        <v>35999</v>
      </c>
      <c r="D221" s="98" t="s">
        <v>1944</v>
      </c>
      <c r="E221" s="98">
        <v>7600085</v>
      </c>
      <c r="F221" s="113" t="s">
        <v>1943</v>
      </c>
      <c r="G221" s="165" t="s">
        <v>923</v>
      </c>
      <c r="H221" s="101" t="s">
        <v>1951</v>
      </c>
      <c r="I221" s="98" t="s">
        <v>1944</v>
      </c>
      <c r="J221" s="181">
        <v>4</v>
      </c>
      <c r="K221" s="131" t="s">
        <v>1774</v>
      </c>
      <c r="L221" s="124">
        <v>3</v>
      </c>
      <c r="M221" s="125" t="s">
        <v>1713</v>
      </c>
      <c r="N221" s="106" t="str">
        <f t="shared" si="7"/>
        <v>43</v>
      </c>
      <c r="O221" s="107"/>
      <c r="P221" s="114" t="s">
        <v>1944</v>
      </c>
      <c r="Q221" s="107"/>
      <c r="R221" s="115" t="s">
        <v>1716</v>
      </c>
      <c r="S221" s="92" t="s">
        <v>1589</v>
      </c>
      <c r="T221" s="110"/>
      <c r="U221" s="94" t="s">
        <v>1716</v>
      </c>
      <c r="V221" s="107"/>
      <c r="W221" s="117">
        <v>7600085</v>
      </c>
      <c r="X221" s="115" t="s">
        <v>1716</v>
      </c>
      <c r="Y221" s="98" t="s">
        <v>1944</v>
      </c>
      <c r="Z221" s="131" t="s">
        <v>1774</v>
      </c>
      <c r="AA221" s="125" t="s">
        <v>1713</v>
      </c>
      <c r="AB221" s="110" t="s">
        <v>1621</v>
      </c>
      <c r="AG221" s="88" t="s">
        <v>1778</v>
      </c>
      <c r="AH221" s="88" t="s">
        <v>1779</v>
      </c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</row>
    <row r="222" spans="1:54" ht="17.45" customHeight="1">
      <c r="B222" s="96" t="e">
        <f t="shared" si="8"/>
        <v>#REF!</v>
      </c>
      <c r="C222" s="148">
        <v>36503</v>
      </c>
      <c r="D222" s="98" t="s">
        <v>2045</v>
      </c>
      <c r="E222" s="118">
        <v>7601091</v>
      </c>
      <c r="F222" s="285" t="s">
        <v>2043</v>
      </c>
      <c r="G222" s="286" t="s">
        <v>935</v>
      </c>
      <c r="H222" s="286" t="s">
        <v>2036</v>
      </c>
      <c r="I222" s="98" t="s">
        <v>2045</v>
      </c>
      <c r="J222" s="172">
        <v>4</v>
      </c>
      <c r="K222" s="130" t="s">
        <v>1774</v>
      </c>
      <c r="L222" s="124">
        <v>3</v>
      </c>
      <c r="M222" s="125" t="s">
        <v>1713</v>
      </c>
      <c r="N222" s="106" t="str">
        <f t="shared" si="7"/>
        <v>43</v>
      </c>
      <c r="O222" s="107"/>
      <c r="P222" s="174" t="s">
        <v>2045</v>
      </c>
      <c r="Q222" s="163"/>
      <c r="R222" s="192" t="s">
        <v>1719</v>
      </c>
      <c r="S222" s="92" t="s">
        <v>1589</v>
      </c>
      <c r="T222" s="110"/>
      <c r="U222" s="94" t="s">
        <v>1719</v>
      </c>
      <c r="V222" s="163"/>
      <c r="W222" s="117">
        <v>7601091</v>
      </c>
      <c r="X222" s="192" t="s">
        <v>1719</v>
      </c>
      <c r="Y222" s="98" t="s">
        <v>2045</v>
      </c>
      <c r="Z222" s="130" t="s">
        <v>1774</v>
      </c>
      <c r="AA222" s="125" t="s">
        <v>1713</v>
      </c>
      <c r="AB222" s="155"/>
      <c r="AG222" s="88" t="s">
        <v>1778</v>
      </c>
      <c r="AH222" s="88" t="s">
        <v>1779</v>
      </c>
    </row>
    <row r="223" spans="1:54" ht="17.45" customHeight="1">
      <c r="B223" s="96" t="e">
        <f t="shared" si="8"/>
        <v>#REF!</v>
      </c>
      <c r="C223" s="148">
        <v>44679</v>
      </c>
      <c r="D223" s="98" t="s">
        <v>2047</v>
      </c>
      <c r="E223" s="118">
        <v>7601187</v>
      </c>
      <c r="F223" s="285" t="s">
        <v>2043</v>
      </c>
      <c r="G223" s="286" t="s">
        <v>941</v>
      </c>
      <c r="H223" s="286" t="s">
        <v>2039</v>
      </c>
      <c r="I223" s="98" t="s">
        <v>2047</v>
      </c>
      <c r="J223" s="172">
        <v>4</v>
      </c>
      <c r="K223" s="130" t="s">
        <v>1774</v>
      </c>
      <c r="L223" s="124">
        <v>3</v>
      </c>
      <c r="M223" s="125" t="s">
        <v>1713</v>
      </c>
      <c r="N223" s="106" t="str">
        <f t="shared" si="7"/>
        <v>43</v>
      </c>
      <c r="O223" s="107"/>
      <c r="P223" s="174" t="s">
        <v>2045</v>
      </c>
      <c r="Q223" s="163"/>
      <c r="R223" s="192" t="s">
        <v>1719</v>
      </c>
      <c r="S223" s="92" t="s">
        <v>1589</v>
      </c>
      <c r="T223" s="110"/>
      <c r="U223" s="94" t="s">
        <v>1719</v>
      </c>
      <c r="V223" s="163"/>
      <c r="W223" s="211">
        <v>7601091</v>
      </c>
      <c r="X223" s="192" t="s">
        <v>1719</v>
      </c>
      <c r="Y223" s="98" t="s">
        <v>2047</v>
      </c>
      <c r="Z223" s="130" t="s">
        <v>1774</v>
      </c>
      <c r="AA223" s="125" t="s">
        <v>1713</v>
      </c>
      <c r="AB223" s="155"/>
      <c r="AG223" s="88" t="s">
        <v>1778</v>
      </c>
      <c r="AH223" s="88" t="s">
        <v>1779</v>
      </c>
    </row>
    <row r="224" spans="1:54" ht="17.45" customHeight="1">
      <c r="B224" s="96" t="e">
        <f t="shared" si="8"/>
        <v>#REF!</v>
      </c>
      <c r="C224" s="148">
        <v>44104</v>
      </c>
      <c r="D224" s="98" t="s">
        <v>1865</v>
      </c>
      <c r="E224" s="118">
        <v>7601094</v>
      </c>
      <c r="F224" s="242" t="s">
        <v>1863</v>
      </c>
      <c r="G224" s="171" t="s">
        <v>946</v>
      </c>
      <c r="H224" s="171" t="s">
        <v>2244</v>
      </c>
      <c r="I224" s="98" t="s">
        <v>1865</v>
      </c>
      <c r="J224" s="172">
        <v>4</v>
      </c>
      <c r="K224" s="130" t="s">
        <v>1774</v>
      </c>
      <c r="L224" s="124">
        <v>3</v>
      </c>
      <c r="M224" s="125" t="s">
        <v>1713</v>
      </c>
      <c r="N224" s="106" t="str">
        <f t="shared" si="7"/>
        <v>43</v>
      </c>
      <c r="O224" s="107"/>
      <c r="P224" s="108" t="s">
        <v>1865</v>
      </c>
      <c r="Q224" s="107"/>
      <c r="R224" s="115" t="s">
        <v>1714</v>
      </c>
      <c r="S224" s="92" t="s">
        <v>1589</v>
      </c>
      <c r="T224" s="110"/>
      <c r="U224" s="94" t="s">
        <v>1714</v>
      </c>
      <c r="V224" s="107"/>
      <c r="W224" s="111">
        <v>7601094</v>
      </c>
      <c r="X224" s="115" t="s">
        <v>1714</v>
      </c>
      <c r="Y224" s="98" t="s">
        <v>1865</v>
      </c>
      <c r="Z224" s="130" t="s">
        <v>1774</v>
      </c>
      <c r="AA224" s="125" t="s">
        <v>1713</v>
      </c>
      <c r="AB224" s="110" t="s">
        <v>1669</v>
      </c>
      <c r="AG224" s="88" t="s">
        <v>1778</v>
      </c>
      <c r="AH224" s="88" t="s">
        <v>1779</v>
      </c>
    </row>
    <row r="225" spans="2:34" ht="17.45" customHeight="1">
      <c r="B225" s="96" t="e">
        <f t="shared" si="8"/>
        <v>#REF!</v>
      </c>
      <c r="C225" s="193">
        <v>43702</v>
      </c>
      <c r="D225" s="98" t="s">
        <v>2260</v>
      </c>
      <c r="E225" s="98">
        <v>7601086</v>
      </c>
      <c r="F225" s="153" t="s">
        <v>2259</v>
      </c>
      <c r="G225" s="101" t="s">
        <v>953</v>
      </c>
      <c r="H225" s="154" t="s">
        <v>2297</v>
      </c>
      <c r="I225" s="98" t="s">
        <v>2260</v>
      </c>
      <c r="J225" s="126">
        <v>4</v>
      </c>
      <c r="K225" s="124" t="s">
        <v>1774</v>
      </c>
      <c r="L225" s="124">
        <v>3</v>
      </c>
      <c r="M225" s="125" t="s">
        <v>1713</v>
      </c>
      <c r="N225" s="106" t="str">
        <f t="shared" si="7"/>
        <v>43</v>
      </c>
      <c r="O225" s="107"/>
      <c r="P225" s="108" t="s">
        <v>2260</v>
      </c>
      <c r="Q225" s="107"/>
      <c r="R225" s="115" t="s">
        <v>1720</v>
      </c>
      <c r="S225" s="92" t="s">
        <v>1589</v>
      </c>
      <c r="T225" s="110"/>
      <c r="U225" s="94" t="s">
        <v>1720</v>
      </c>
      <c r="V225" s="107"/>
      <c r="W225" s="111">
        <v>7601086</v>
      </c>
      <c r="X225" s="115" t="s">
        <v>1720</v>
      </c>
      <c r="Y225" s="98" t="s">
        <v>2260</v>
      </c>
      <c r="Z225" s="124" t="s">
        <v>1774</v>
      </c>
      <c r="AA225" s="125" t="s">
        <v>1713</v>
      </c>
      <c r="AB225" s="155"/>
      <c r="AG225" s="88" t="s">
        <v>1778</v>
      </c>
      <c r="AH225" s="88" t="s">
        <v>1779</v>
      </c>
    </row>
    <row r="226" spans="2:34" ht="17.45" customHeight="1">
      <c r="B226" s="96" t="e">
        <f t="shared" si="8"/>
        <v>#REF!</v>
      </c>
      <c r="C226" s="148">
        <v>41563</v>
      </c>
      <c r="D226" s="98" t="s">
        <v>1822</v>
      </c>
      <c r="E226" s="118">
        <v>7600732</v>
      </c>
      <c r="F226" s="164" t="s">
        <v>1820</v>
      </c>
      <c r="G226" s="165" t="s">
        <v>1821</v>
      </c>
      <c r="H226" s="171" t="s">
        <v>2180</v>
      </c>
      <c r="I226" s="98" t="s">
        <v>1822</v>
      </c>
      <c r="J226" s="172">
        <v>4</v>
      </c>
      <c r="K226" s="130" t="s">
        <v>1774</v>
      </c>
      <c r="L226" s="124">
        <v>4</v>
      </c>
      <c r="M226" s="125" t="s">
        <v>1721</v>
      </c>
      <c r="N226" s="106" t="str">
        <f t="shared" si="7"/>
        <v>44</v>
      </c>
      <c r="O226" s="107"/>
      <c r="P226" s="108" t="s">
        <v>1822</v>
      </c>
      <c r="Q226" s="107"/>
      <c r="R226" s="115" t="s">
        <v>1722</v>
      </c>
      <c r="S226" s="92" t="s">
        <v>1590</v>
      </c>
      <c r="T226" s="110"/>
      <c r="U226" s="94" t="s">
        <v>1722</v>
      </c>
      <c r="V226" s="107"/>
      <c r="W226" s="117">
        <v>7600732</v>
      </c>
      <c r="X226" s="115" t="s">
        <v>1722</v>
      </c>
      <c r="Y226" s="98" t="s">
        <v>1822</v>
      </c>
      <c r="Z226" s="130" t="s">
        <v>1774</v>
      </c>
      <c r="AA226" s="125" t="s">
        <v>1721</v>
      </c>
      <c r="AB226" s="110" t="s">
        <v>1738</v>
      </c>
      <c r="AG226" s="88" t="s">
        <v>1778</v>
      </c>
      <c r="AH226" s="88" t="s">
        <v>1779</v>
      </c>
    </row>
    <row r="227" spans="2:34" ht="17.45" customHeight="1">
      <c r="B227" s="96" t="e">
        <f>#REF!+1</f>
        <v>#REF!</v>
      </c>
      <c r="C227" s="148">
        <v>40487</v>
      </c>
      <c r="D227" s="98" t="s">
        <v>2262</v>
      </c>
      <c r="E227" s="118">
        <v>7600935</v>
      </c>
      <c r="F227" s="164" t="s">
        <v>2261</v>
      </c>
      <c r="G227" s="165" t="s">
        <v>963</v>
      </c>
      <c r="H227" s="171" t="s">
        <v>1976</v>
      </c>
      <c r="I227" s="98" t="s">
        <v>2262</v>
      </c>
      <c r="J227" s="181">
        <v>4</v>
      </c>
      <c r="K227" s="131" t="s">
        <v>1774</v>
      </c>
      <c r="L227" s="124">
        <v>4</v>
      </c>
      <c r="M227" s="125" t="s">
        <v>1721</v>
      </c>
      <c r="N227" s="106" t="str">
        <f t="shared" si="7"/>
        <v>44</v>
      </c>
      <c r="O227" s="107"/>
      <c r="P227" s="108" t="s">
        <v>2262</v>
      </c>
      <c r="Q227" s="107"/>
      <c r="R227" s="115" t="s">
        <v>1727</v>
      </c>
      <c r="S227" s="92" t="s">
        <v>1590</v>
      </c>
      <c r="T227" s="110"/>
      <c r="U227" s="94" t="s">
        <v>1727</v>
      </c>
      <c r="V227" s="107"/>
      <c r="W227" s="117">
        <v>7600935</v>
      </c>
      <c r="X227" s="115" t="s">
        <v>1727</v>
      </c>
      <c r="Y227" s="98" t="s">
        <v>2262</v>
      </c>
      <c r="Z227" s="131" t="s">
        <v>1774</v>
      </c>
      <c r="AA227" s="125" t="s">
        <v>1721</v>
      </c>
      <c r="AB227" s="155"/>
      <c r="AG227" s="88" t="s">
        <v>1778</v>
      </c>
      <c r="AH227" s="88" t="s">
        <v>1779</v>
      </c>
    </row>
    <row r="228" spans="2:34" ht="17.45" customHeight="1">
      <c r="B228" s="96" t="e">
        <f t="shared" ref="B228:B247" si="9">B227+1</f>
        <v>#REF!</v>
      </c>
      <c r="C228" s="148">
        <v>42527</v>
      </c>
      <c r="D228" s="98" t="s">
        <v>2052</v>
      </c>
      <c r="E228" s="118">
        <v>7600863</v>
      </c>
      <c r="F228" s="164" t="s">
        <v>2050</v>
      </c>
      <c r="G228" s="165" t="s">
        <v>969</v>
      </c>
      <c r="H228" s="171" t="s">
        <v>2044</v>
      </c>
      <c r="I228" s="98" t="s">
        <v>2052</v>
      </c>
      <c r="J228" s="181">
        <v>4</v>
      </c>
      <c r="K228" s="131" t="s">
        <v>1774</v>
      </c>
      <c r="L228" s="124">
        <v>4</v>
      </c>
      <c r="M228" s="125" t="s">
        <v>1721</v>
      </c>
      <c r="N228" s="106" t="str">
        <f t="shared" si="7"/>
        <v>44</v>
      </c>
      <c r="O228" s="107"/>
      <c r="P228" s="108" t="s">
        <v>2052</v>
      </c>
      <c r="Q228" s="107"/>
      <c r="R228" s="115" t="s">
        <v>1725</v>
      </c>
      <c r="S228" s="92" t="s">
        <v>1590</v>
      </c>
      <c r="T228" s="110"/>
      <c r="U228" s="94" t="s">
        <v>1725</v>
      </c>
      <c r="V228" s="107"/>
      <c r="W228" s="111">
        <v>7600863</v>
      </c>
      <c r="X228" s="115" t="s">
        <v>1725</v>
      </c>
      <c r="Y228" s="98" t="s">
        <v>2052</v>
      </c>
      <c r="Z228" s="131" t="s">
        <v>1774</v>
      </c>
      <c r="AA228" s="125" t="s">
        <v>1721</v>
      </c>
      <c r="AB228" s="155"/>
      <c r="AG228" s="88" t="s">
        <v>1778</v>
      </c>
      <c r="AH228" s="88" t="s">
        <v>1779</v>
      </c>
    </row>
    <row r="229" spans="2:34" ht="17.45" customHeight="1">
      <c r="B229" s="96" t="e">
        <f t="shared" si="9"/>
        <v>#REF!</v>
      </c>
      <c r="C229" s="112">
        <v>36277</v>
      </c>
      <c r="D229" s="98" t="s">
        <v>2037</v>
      </c>
      <c r="E229" s="98">
        <v>7600104</v>
      </c>
      <c r="F229" s="113" t="s">
        <v>2035</v>
      </c>
      <c r="G229" s="100" t="s">
        <v>974</v>
      </c>
      <c r="H229" s="101" t="s">
        <v>2150</v>
      </c>
      <c r="I229" s="98" t="s">
        <v>2037</v>
      </c>
      <c r="J229" s="102">
        <v>4</v>
      </c>
      <c r="K229" s="103" t="s">
        <v>1774</v>
      </c>
      <c r="L229" s="124">
        <v>4</v>
      </c>
      <c r="M229" s="125" t="s">
        <v>1721</v>
      </c>
      <c r="N229" s="106" t="str">
        <f t="shared" si="7"/>
        <v>44</v>
      </c>
      <c r="O229" s="107"/>
      <c r="P229" s="114" t="s">
        <v>2037</v>
      </c>
      <c r="Q229" s="107"/>
      <c r="R229" s="115" t="s">
        <v>1724</v>
      </c>
      <c r="S229" s="92" t="s">
        <v>1590</v>
      </c>
      <c r="T229" s="110"/>
      <c r="U229" s="94" t="s">
        <v>1724</v>
      </c>
      <c r="V229" s="107"/>
      <c r="W229" s="117">
        <v>7600104</v>
      </c>
      <c r="X229" s="115" t="s">
        <v>1724</v>
      </c>
      <c r="Y229" s="98" t="s">
        <v>2037</v>
      </c>
      <c r="Z229" s="103" t="s">
        <v>1774</v>
      </c>
      <c r="AA229" s="125" t="s">
        <v>1721</v>
      </c>
      <c r="AB229" s="155"/>
      <c r="AG229" s="88" t="s">
        <v>1778</v>
      </c>
      <c r="AH229" s="88" t="s">
        <v>1779</v>
      </c>
    </row>
    <row r="230" spans="2:34" ht="17.45" customHeight="1">
      <c r="B230" s="96" t="e">
        <f t="shared" si="9"/>
        <v>#REF!</v>
      </c>
      <c r="C230" s="148">
        <v>41548</v>
      </c>
      <c r="D230" s="98" t="s">
        <v>2040</v>
      </c>
      <c r="E230" s="118">
        <v>7600781</v>
      </c>
      <c r="F230" s="164" t="s">
        <v>2035</v>
      </c>
      <c r="G230" s="165" t="s">
        <v>2038</v>
      </c>
      <c r="H230" s="171" t="s">
        <v>2153</v>
      </c>
      <c r="I230" s="98" t="s">
        <v>2040</v>
      </c>
      <c r="J230" s="181">
        <v>4</v>
      </c>
      <c r="K230" s="131" t="s">
        <v>1774</v>
      </c>
      <c r="L230" s="124">
        <v>4</v>
      </c>
      <c r="M230" s="125" t="s">
        <v>1721</v>
      </c>
      <c r="N230" s="106" t="str">
        <f t="shared" si="7"/>
        <v>44</v>
      </c>
      <c r="O230" s="107"/>
      <c r="P230" s="114" t="s">
        <v>2037</v>
      </c>
      <c r="Q230" s="107"/>
      <c r="R230" s="115" t="s">
        <v>1724</v>
      </c>
      <c r="S230" s="92" t="s">
        <v>1590</v>
      </c>
      <c r="T230" s="110"/>
      <c r="U230" s="94" t="s">
        <v>1724</v>
      </c>
      <c r="V230" s="107"/>
      <c r="W230" s="117">
        <v>7600104</v>
      </c>
      <c r="X230" s="115" t="s">
        <v>1724</v>
      </c>
      <c r="Y230" s="98" t="s">
        <v>2040</v>
      </c>
      <c r="Z230" s="131" t="s">
        <v>1774</v>
      </c>
      <c r="AA230" s="125" t="s">
        <v>1721</v>
      </c>
      <c r="AB230" s="155"/>
      <c r="AG230" s="88" t="s">
        <v>1778</v>
      </c>
      <c r="AH230" s="88" t="s">
        <v>1779</v>
      </c>
    </row>
    <row r="231" spans="2:34" ht="17.45" customHeight="1">
      <c r="B231" s="96" t="e">
        <f t="shared" si="9"/>
        <v>#REF!</v>
      </c>
      <c r="C231" s="148">
        <v>41547</v>
      </c>
      <c r="D231" s="98" t="s">
        <v>2042</v>
      </c>
      <c r="E231" s="118">
        <v>7600763</v>
      </c>
      <c r="F231" s="164" t="s">
        <v>2035</v>
      </c>
      <c r="G231" s="165" t="s">
        <v>981</v>
      </c>
      <c r="H231" s="171" t="s">
        <v>2153</v>
      </c>
      <c r="I231" s="98" t="s">
        <v>2042</v>
      </c>
      <c r="J231" s="172">
        <v>4</v>
      </c>
      <c r="K231" s="130" t="s">
        <v>1774</v>
      </c>
      <c r="L231" s="124">
        <v>4</v>
      </c>
      <c r="M231" s="125" t="s">
        <v>1721</v>
      </c>
      <c r="N231" s="106" t="str">
        <f t="shared" si="7"/>
        <v>44</v>
      </c>
      <c r="O231" s="107"/>
      <c r="P231" s="111" t="s">
        <v>2037</v>
      </c>
      <c r="Q231" s="107"/>
      <c r="R231" s="115" t="s">
        <v>1724</v>
      </c>
      <c r="S231" s="92" t="s">
        <v>1590</v>
      </c>
      <c r="T231" s="110"/>
      <c r="U231" s="94" t="s">
        <v>1724</v>
      </c>
      <c r="V231" s="107"/>
      <c r="W231" s="111">
        <v>7600104</v>
      </c>
      <c r="X231" s="115" t="s">
        <v>1724</v>
      </c>
      <c r="Y231" s="98" t="s">
        <v>2042</v>
      </c>
      <c r="Z231" s="130" t="s">
        <v>1774</v>
      </c>
      <c r="AA231" s="125" t="s">
        <v>1721</v>
      </c>
      <c r="AB231" s="155"/>
      <c r="AG231" s="88" t="s">
        <v>1778</v>
      </c>
      <c r="AH231" s="88" t="s">
        <v>1779</v>
      </c>
    </row>
    <row r="232" spans="2:34" ht="17.45" customHeight="1">
      <c r="B232" s="96" t="e">
        <f t="shared" si="9"/>
        <v>#REF!</v>
      </c>
      <c r="C232" s="148">
        <v>41415</v>
      </c>
      <c r="D232" s="98" t="s">
        <v>2158</v>
      </c>
      <c r="E232" s="118">
        <v>7600743</v>
      </c>
      <c r="F232" s="164" t="s">
        <v>2152</v>
      </c>
      <c r="G232" s="100" t="s">
        <v>985</v>
      </c>
      <c r="H232" s="171" t="s">
        <v>2156</v>
      </c>
      <c r="I232" s="98" t="s">
        <v>2158</v>
      </c>
      <c r="J232" s="181">
        <v>4</v>
      </c>
      <c r="K232" s="131" t="s">
        <v>1774</v>
      </c>
      <c r="L232" s="124">
        <v>4</v>
      </c>
      <c r="M232" s="125" t="s">
        <v>1721</v>
      </c>
      <c r="N232" s="106" t="str">
        <f t="shared" si="7"/>
        <v>44</v>
      </c>
      <c r="O232" s="107"/>
      <c r="P232" s="108" t="s">
        <v>2154</v>
      </c>
      <c r="Q232" s="107"/>
      <c r="R232" s="115" t="s">
        <v>1726</v>
      </c>
      <c r="S232" s="92" t="s">
        <v>1590</v>
      </c>
      <c r="T232" s="110"/>
      <c r="U232" s="94" t="s">
        <v>1726</v>
      </c>
      <c r="V232" s="107"/>
      <c r="W232" s="111">
        <v>7600596</v>
      </c>
      <c r="X232" s="115" t="s">
        <v>1726</v>
      </c>
      <c r="Y232" s="98" t="s">
        <v>2158</v>
      </c>
      <c r="Z232" s="131" t="s">
        <v>1774</v>
      </c>
      <c r="AA232" s="125" t="s">
        <v>1721</v>
      </c>
      <c r="AB232" s="155"/>
      <c r="AG232" s="88" t="s">
        <v>1778</v>
      </c>
      <c r="AH232" s="88" t="s">
        <v>1779</v>
      </c>
    </row>
    <row r="233" spans="2:34" ht="17.45" customHeight="1">
      <c r="B233" s="96" t="e">
        <f t="shared" si="9"/>
        <v>#REF!</v>
      </c>
      <c r="C233" s="148">
        <v>40829</v>
      </c>
      <c r="D233" s="98" t="s">
        <v>2155</v>
      </c>
      <c r="E233" s="118">
        <v>7600597</v>
      </c>
      <c r="F233" s="164" t="s">
        <v>2152</v>
      </c>
      <c r="G233" s="165" t="s">
        <v>990</v>
      </c>
      <c r="H233" s="171" t="s">
        <v>2156</v>
      </c>
      <c r="I233" s="98" t="s">
        <v>2155</v>
      </c>
      <c r="J233" s="181">
        <v>4</v>
      </c>
      <c r="K233" s="131" t="s">
        <v>1774</v>
      </c>
      <c r="L233" s="124">
        <v>4</v>
      </c>
      <c r="M233" s="125" t="s">
        <v>1721</v>
      </c>
      <c r="N233" s="106" t="str">
        <f t="shared" si="7"/>
        <v>44</v>
      </c>
      <c r="O233" s="107"/>
      <c r="P233" s="108" t="s">
        <v>2154</v>
      </c>
      <c r="Q233" s="107"/>
      <c r="R233" s="115" t="s">
        <v>1726</v>
      </c>
      <c r="S233" s="92" t="s">
        <v>1590</v>
      </c>
      <c r="T233" s="110"/>
      <c r="U233" s="94" t="s">
        <v>1726</v>
      </c>
      <c r="V233" s="107"/>
      <c r="W233" s="111">
        <v>7600596</v>
      </c>
      <c r="X233" s="115" t="s">
        <v>1726</v>
      </c>
      <c r="Y233" s="98" t="s">
        <v>2155</v>
      </c>
      <c r="Z233" s="131" t="s">
        <v>1774</v>
      </c>
      <c r="AA233" s="125" t="s">
        <v>1721</v>
      </c>
      <c r="AB233" s="155"/>
      <c r="AG233" s="88" t="s">
        <v>1778</v>
      </c>
      <c r="AH233" s="88" t="s">
        <v>1779</v>
      </c>
    </row>
    <row r="234" spans="2:34" ht="17.45" customHeight="1">
      <c r="B234" s="96" t="e">
        <f t="shared" si="9"/>
        <v>#REF!</v>
      </c>
      <c r="C234" s="146">
        <v>41373</v>
      </c>
      <c r="D234" s="98" t="s">
        <v>2157</v>
      </c>
      <c r="E234" s="118">
        <v>7600737</v>
      </c>
      <c r="F234" s="168" t="s">
        <v>2152</v>
      </c>
      <c r="G234" s="169" t="s">
        <v>993</v>
      </c>
      <c r="H234" s="171" t="s">
        <v>2156</v>
      </c>
      <c r="I234" s="98" t="s">
        <v>2157</v>
      </c>
      <c r="J234" s="181">
        <v>4</v>
      </c>
      <c r="K234" s="131" t="s">
        <v>1774</v>
      </c>
      <c r="L234" s="124">
        <v>4</v>
      </c>
      <c r="M234" s="125" t="s">
        <v>1721</v>
      </c>
      <c r="N234" s="106" t="str">
        <f t="shared" si="7"/>
        <v>44</v>
      </c>
      <c r="O234" s="107"/>
      <c r="P234" s="108" t="s">
        <v>2154</v>
      </c>
      <c r="Q234" s="107"/>
      <c r="R234" s="115" t="s">
        <v>1726</v>
      </c>
      <c r="S234" s="92" t="s">
        <v>1590</v>
      </c>
      <c r="T234" s="110"/>
      <c r="U234" s="94" t="s">
        <v>1726</v>
      </c>
      <c r="V234" s="107"/>
      <c r="W234" s="111">
        <v>7600596</v>
      </c>
      <c r="X234" s="115" t="s">
        <v>1726</v>
      </c>
      <c r="Y234" s="98" t="s">
        <v>2157</v>
      </c>
      <c r="Z234" s="131" t="s">
        <v>1774</v>
      </c>
      <c r="AA234" s="125" t="s">
        <v>1721</v>
      </c>
      <c r="AB234" s="155"/>
      <c r="AG234" s="88" t="s">
        <v>1778</v>
      </c>
      <c r="AH234" s="88" t="s">
        <v>1779</v>
      </c>
    </row>
    <row r="235" spans="2:34" ht="17.45" customHeight="1">
      <c r="B235" s="96" t="e">
        <f t="shared" si="9"/>
        <v>#REF!</v>
      </c>
      <c r="C235" s="146">
        <v>41106</v>
      </c>
      <c r="D235" s="98" t="s">
        <v>2154</v>
      </c>
      <c r="E235" s="118">
        <v>7600596</v>
      </c>
      <c r="F235" s="168" t="s">
        <v>2152</v>
      </c>
      <c r="G235" s="169" t="s">
        <v>996</v>
      </c>
      <c r="H235" s="171" t="s">
        <v>2156</v>
      </c>
      <c r="I235" s="98" t="s">
        <v>2154</v>
      </c>
      <c r="J235" s="181">
        <v>4</v>
      </c>
      <c r="K235" s="131" t="s">
        <v>1774</v>
      </c>
      <c r="L235" s="124">
        <v>4</v>
      </c>
      <c r="M235" s="125" t="s">
        <v>1721</v>
      </c>
      <c r="N235" s="106" t="str">
        <f t="shared" si="7"/>
        <v>44</v>
      </c>
      <c r="O235" s="107"/>
      <c r="P235" s="108" t="s">
        <v>2154</v>
      </c>
      <c r="Q235" s="107"/>
      <c r="R235" s="109" t="s">
        <v>1726</v>
      </c>
      <c r="S235" s="92" t="s">
        <v>1590</v>
      </c>
      <c r="T235" s="110"/>
      <c r="U235" s="94" t="s">
        <v>1726</v>
      </c>
      <c r="V235" s="107"/>
      <c r="W235" s="111">
        <v>7600596</v>
      </c>
      <c r="X235" s="109" t="s">
        <v>1726</v>
      </c>
      <c r="Y235" s="98" t="s">
        <v>2154</v>
      </c>
      <c r="Z235" s="131" t="s">
        <v>1774</v>
      </c>
      <c r="AA235" s="125" t="s">
        <v>1721</v>
      </c>
      <c r="AB235" s="155"/>
      <c r="AG235" s="88" t="s">
        <v>1778</v>
      </c>
      <c r="AH235" s="88" t="s">
        <v>1779</v>
      </c>
    </row>
    <row r="236" spans="2:34" ht="17.45" customHeight="1">
      <c r="B236" s="96" t="e">
        <f t="shared" si="9"/>
        <v>#REF!</v>
      </c>
      <c r="C236" s="146">
        <v>37237</v>
      </c>
      <c r="D236" s="98" t="s">
        <v>2034</v>
      </c>
      <c r="E236" s="118">
        <v>7600286</v>
      </c>
      <c r="F236" s="164" t="s">
        <v>2033</v>
      </c>
      <c r="G236" s="165" t="s">
        <v>998</v>
      </c>
      <c r="H236" s="171" t="s">
        <v>2023</v>
      </c>
      <c r="I236" s="98" t="s">
        <v>2034</v>
      </c>
      <c r="J236" s="181">
        <v>4</v>
      </c>
      <c r="K236" s="131" t="s">
        <v>1774</v>
      </c>
      <c r="L236" s="124">
        <v>5</v>
      </c>
      <c r="M236" s="125" t="s">
        <v>1728</v>
      </c>
      <c r="N236" s="106" t="str">
        <f t="shared" si="7"/>
        <v>45</v>
      </c>
      <c r="O236" s="107"/>
      <c r="P236" s="108" t="s">
        <v>2034</v>
      </c>
      <c r="Q236" s="107"/>
      <c r="R236" s="115" t="s">
        <v>1729</v>
      </c>
      <c r="S236" s="92" t="s">
        <v>1591</v>
      </c>
      <c r="T236" s="110"/>
      <c r="U236" s="94" t="s">
        <v>1729</v>
      </c>
      <c r="V236" s="107"/>
      <c r="W236" s="111">
        <v>7600286</v>
      </c>
      <c r="X236" s="115" t="s">
        <v>1729</v>
      </c>
      <c r="Y236" s="98" t="s">
        <v>2034</v>
      </c>
      <c r="Z236" s="131" t="s">
        <v>1774</v>
      </c>
      <c r="AA236" s="125" t="s">
        <v>1728</v>
      </c>
      <c r="AB236" s="155"/>
      <c r="AG236" s="88" t="s">
        <v>1778</v>
      </c>
      <c r="AH236" s="88" t="s">
        <v>1779</v>
      </c>
    </row>
    <row r="237" spans="2:34" ht="17.45" customHeight="1">
      <c r="B237" s="96" t="e">
        <f t="shared" si="9"/>
        <v>#REF!</v>
      </c>
      <c r="C237" s="148">
        <v>42628</v>
      </c>
      <c r="D237" s="98" t="s">
        <v>2096</v>
      </c>
      <c r="E237" s="98">
        <v>7600927</v>
      </c>
      <c r="F237" s="99" t="s">
        <v>2094</v>
      </c>
      <c r="G237" s="100" t="s">
        <v>1004</v>
      </c>
      <c r="H237" s="101" t="s">
        <v>2106</v>
      </c>
      <c r="I237" s="98" t="s">
        <v>2096</v>
      </c>
      <c r="J237" s="102">
        <v>4</v>
      </c>
      <c r="K237" s="103" t="s">
        <v>1774</v>
      </c>
      <c r="L237" s="124">
        <v>5</v>
      </c>
      <c r="M237" s="125" t="s">
        <v>1728</v>
      </c>
      <c r="N237" s="106" t="str">
        <f t="shared" si="7"/>
        <v>45</v>
      </c>
      <c r="O237" s="107"/>
      <c r="P237" s="114" t="s">
        <v>2096</v>
      </c>
      <c r="Q237" s="107"/>
      <c r="R237" s="115" t="s">
        <v>1731</v>
      </c>
      <c r="S237" s="92" t="s">
        <v>1591</v>
      </c>
      <c r="T237" s="110"/>
      <c r="U237" s="94" t="s">
        <v>1731</v>
      </c>
      <c r="V237" s="107"/>
      <c r="W237" s="117">
        <v>7600927</v>
      </c>
      <c r="X237" s="115" t="s">
        <v>1731</v>
      </c>
      <c r="Y237" s="98" t="s">
        <v>2096</v>
      </c>
      <c r="Z237" s="103" t="s">
        <v>1774</v>
      </c>
      <c r="AA237" s="125" t="s">
        <v>1728</v>
      </c>
      <c r="AB237" s="155"/>
      <c r="AC237" s="107"/>
      <c r="AG237" s="88" t="s">
        <v>1778</v>
      </c>
      <c r="AH237" s="88" t="s">
        <v>1779</v>
      </c>
    </row>
    <row r="238" spans="2:34" ht="17.45" customHeight="1">
      <c r="B238" s="96" t="e">
        <f t="shared" si="9"/>
        <v>#REF!</v>
      </c>
      <c r="C238" s="112">
        <v>40021</v>
      </c>
      <c r="D238" s="98" t="s">
        <v>2159</v>
      </c>
      <c r="E238" s="98">
        <v>7600948</v>
      </c>
      <c r="F238" s="113" t="s">
        <v>2152</v>
      </c>
      <c r="G238" s="100" t="s">
        <v>1010</v>
      </c>
      <c r="H238" s="101" t="s">
        <v>2156</v>
      </c>
      <c r="I238" s="98" t="s">
        <v>2159</v>
      </c>
      <c r="J238" s="102">
        <v>4</v>
      </c>
      <c r="K238" s="102" t="s">
        <v>1774</v>
      </c>
      <c r="L238" s="126">
        <v>5</v>
      </c>
      <c r="M238" s="125" t="s">
        <v>1728</v>
      </c>
      <c r="N238" s="106" t="str">
        <f t="shared" si="7"/>
        <v>45</v>
      </c>
      <c r="O238" s="107"/>
      <c r="P238" s="114" t="s">
        <v>2154</v>
      </c>
      <c r="Q238" s="107"/>
      <c r="R238" s="115" t="s">
        <v>1732</v>
      </c>
      <c r="S238" s="92" t="s">
        <v>1591</v>
      </c>
      <c r="T238" s="110"/>
      <c r="U238" s="94" t="s">
        <v>1732</v>
      </c>
      <c r="V238" s="107"/>
      <c r="W238" s="111">
        <v>7600948</v>
      </c>
      <c r="X238" s="115" t="s">
        <v>1732</v>
      </c>
      <c r="Y238" s="98" t="s">
        <v>2159</v>
      </c>
      <c r="Z238" s="102" t="s">
        <v>1774</v>
      </c>
      <c r="AA238" s="125" t="s">
        <v>1728</v>
      </c>
      <c r="AB238" s="155"/>
      <c r="AC238" s="107"/>
      <c r="AG238" s="88" t="s">
        <v>1778</v>
      </c>
      <c r="AH238" s="88" t="s">
        <v>1779</v>
      </c>
    </row>
    <row r="239" spans="2:34" ht="17.45" customHeight="1">
      <c r="B239" s="96" t="e">
        <f t="shared" si="9"/>
        <v>#REF!</v>
      </c>
      <c r="C239" s="112">
        <v>43025</v>
      </c>
      <c r="D239" s="98" t="s">
        <v>2160</v>
      </c>
      <c r="E239" s="98">
        <v>7600985</v>
      </c>
      <c r="F239" s="113" t="s">
        <v>2152</v>
      </c>
      <c r="G239" s="100" t="s">
        <v>1016</v>
      </c>
      <c r="H239" s="101" t="s">
        <v>2156</v>
      </c>
      <c r="I239" s="98" t="s">
        <v>2160</v>
      </c>
      <c r="J239" s="102">
        <v>4</v>
      </c>
      <c r="K239" s="102" t="s">
        <v>1774</v>
      </c>
      <c r="L239" s="126">
        <v>5</v>
      </c>
      <c r="M239" s="125" t="s">
        <v>1728</v>
      </c>
      <c r="N239" s="106" t="str">
        <f t="shared" si="7"/>
        <v>45</v>
      </c>
      <c r="O239" s="107"/>
      <c r="P239" s="114" t="s">
        <v>2154</v>
      </c>
      <c r="Q239" s="107"/>
      <c r="R239" s="115" t="s">
        <v>1732</v>
      </c>
      <c r="S239" s="92" t="s">
        <v>1591</v>
      </c>
      <c r="T239" s="110"/>
      <c r="U239" s="94" t="s">
        <v>1732</v>
      </c>
      <c r="V239" s="107"/>
      <c r="W239" s="111">
        <v>7600948</v>
      </c>
      <c r="X239" s="115" t="s">
        <v>1732</v>
      </c>
      <c r="Y239" s="98" t="s">
        <v>2160</v>
      </c>
      <c r="Z239" s="102" t="s">
        <v>1774</v>
      </c>
      <c r="AA239" s="125" t="s">
        <v>1728</v>
      </c>
      <c r="AB239" s="155"/>
      <c r="AC239" s="107"/>
      <c r="AG239" s="88" t="s">
        <v>1778</v>
      </c>
      <c r="AH239" s="88" t="s">
        <v>1779</v>
      </c>
    </row>
    <row r="240" spans="2:34" ht="17.45" customHeight="1">
      <c r="B240" s="96" t="e">
        <f t="shared" si="9"/>
        <v>#REF!</v>
      </c>
      <c r="C240" s="282">
        <v>44148</v>
      </c>
      <c r="D240" s="283" t="s">
        <v>2225</v>
      </c>
      <c r="E240" s="98">
        <v>7601136</v>
      </c>
      <c r="F240" s="224" t="s">
        <v>2224</v>
      </c>
      <c r="G240" s="101" t="s">
        <v>1017</v>
      </c>
      <c r="H240" s="154" t="s">
        <v>2220</v>
      </c>
      <c r="I240" s="283" t="s">
        <v>2225</v>
      </c>
      <c r="J240" s="126">
        <v>4</v>
      </c>
      <c r="K240" s="126" t="s">
        <v>1774</v>
      </c>
      <c r="L240" s="126">
        <v>5</v>
      </c>
      <c r="M240" s="125" t="s">
        <v>1728</v>
      </c>
      <c r="N240" s="106" t="str">
        <f t="shared" si="7"/>
        <v>45</v>
      </c>
      <c r="O240" s="107"/>
      <c r="P240" s="114" t="s">
        <v>2225</v>
      </c>
      <c r="Q240" s="107"/>
      <c r="R240" s="115" t="s">
        <v>1733</v>
      </c>
      <c r="S240" s="92" t="s">
        <v>1591</v>
      </c>
      <c r="T240" s="110"/>
      <c r="U240" s="94" t="s">
        <v>1733</v>
      </c>
      <c r="V240" s="107"/>
      <c r="W240" s="214">
        <v>7601136</v>
      </c>
      <c r="X240" s="115" t="s">
        <v>1733</v>
      </c>
      <c r="Y240" s="283" t="s">
        <v>2225</v>
      </c>
      <c r="Z240" s="126" t="s">
        <v>1774</v>
      </c>
      <c r="AA240" s="125" t="s">
        <v>1728</v>
      </c>
      <c r="AB240" s="155"/>
      <c r="AC240" s="107"/>
      <c r="AG240" s="88" t="s">
        <v>1778</v>
      </c>
      <c r="AH240" s="88" t="s">
        <v>1779</v>
      </c>
    </row>
    <row r="241" spans="1:54" s="88" customFormat="1" ht="17.45" customHeight="1">
      <c r="A241" s="56"/>
      <c r="B241" s="96" t="e">
        <f t="shared" si="9"/>
        <v>#REF!</v>
      </c>
      <c r="C241" s="148">
        <v>36804</v>
      </c>
      <c r="D241" s="98" t="s">
        <v>2249</v>
      </c>
      <c r="E241" s="98">
        <v>7600164</v>
      </c>
      <c r="F241" s="99" t="s">
        <v>2248</v>
      </c>
      <c r="G241" s="100" t="s">
        <v>1023</v>
      </c>
      <c r="H241" s="101" t="s">
        <v>2251</v>
      </c>
      <c r="I241" s="98" t="s">
        <v>2249</v>
      </c>
      <c r="J241" s="102">
        <v>4</v>
      </c>
      <c r="K241" s="103" t="s">
        <v>1774</v>
      </c>
      <c r="L241" s="124">
        <v>5</v>
      </c>
      <c r="M241" s="125" t="s">
        <v>1728</v>
      </c>
      <c r="N241" s="106" t="str">
        <f t="shared" si="7"/>
        <v>45</v>
      </c>
      <c r="O241" s="107"/>
      <c r="P241" s="114" t="s">
        <v>2249</v>
      </c>
      <c r="Q241" s="107"/>
      <c r="R241" s="115" t="s">
        <v>1734</v>
      </c>
      <c r="S241" s="92" t="s">
        <v>1591</v>
      </c>
      <c r="T241" s="110"/>
      <c r="U241" s="94" t="s">
        <v>1734</v>
      </c>
      <c r="V241" s="107"/>
      <c r="W241" s="117">
        <v>7600164</v>
      </c>
      <c r="X241" s="115" t="s">
        <v>1734</v>
      </c>
      <c r="Y241" s="98" t="s">
        <v>2249</v>
      </c>
      <c r="Z241" s="103" t="s">
        <v>1774</v>
      </c>
      <c r="AA241" s="125" t="s">
        <v>1728</v>
      </c>
      <c r="AB241" s="155"/>
      <c r="AC241" s="107"/>
      <c r="AD241" s="74"/>
      <c r="AE241" s="74"/>
      <c r="AF241" s="74"/>
      <c r="AG241" s="88" t="s">
        <v>1778</v>
      </c>
      <c r="AH241" s="88" t="s">
        <v>1779</v>
      </c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</row>
    <row r="242" spans="1:54" ht="17.45" customHeight="1">
      <c r="B242" s="96" t="e">
        <f t="shared" si="9"/>
        <v>#REF!</v>
      </c>
      <c r="C242" s="146">
        <v>41516</v>
      </c>
      <c r="D242" s="98" t="s">
        <v>2250</v>
      </c>
      <c r="E242" s="118">
        <v>7600755</v>
      </c>
      <c r="F242" s="164" t="s">
        <v>2248</v>
      </c>
      <c r="G242" s="165" t="s">
        <v>1029</v>
      </c>
      <c r="H242" s="171" t="s">
        <v>2251</v>
      </c>
      <c r="I242" s="98" t="s">
        <v>2250</v>
      </c>
      <c r="J242" s="181">
        <v>4</v>
      </c>
      <c r="K242" s="131" t="s">
        <v>1774</v>
      </c>
      <c r="L242" s="124">
        <v>5</v>
      </c>
      <c r="M242" s="125" t="s">
        <v>1728</v>
      </c>
      <c r="N242" s="106" t="str">
        <f t="shared" si="7"/>
        <v>45</v>
      </c>
      <c r="O242" s="107"/>
      <c r="P242" s="108" t="s">
        <v>2249</v>
      </c>
      <c r="Q242" s="107"/>
      <c r="R242" s="115" t="s">
        <v>1734</v>
      </c>
      <c r="S242" s="92" t="s">
        <v>1591</v>
      </c>
      <c r="T242" s="110"/>
      <c r="U242" s="94" t="s">
        <v>1734</v>
      </c>
      <c r="V242" s="107"/>
      <c r="W242" s="111">
        <v>7600164</v>
      </c>
      <c r="X242" s="115" t="s">
        <v>1734</v>
      </c>
      <c r="Y242" s="98" t="s">
        <v>2250</v>
      </c>
      <c r="Z242" s="131" t="s">
        <v>1774</v>
      </c>
      <c r="AA242" s="125" t="s">
        <v>1728</v>
      </c>
      <c r="AB242" s="155"/>
      <c r="AC242" s="107"/>
      <c r="AG242" s="88" t="s">
        <v>1778</v>
      </c>
      <c r="AH242" s="88" t="s">
        <v>1779</v>
      </c>
    </row>
    <row r="243" spans="1:54" ht="17.45" customHeight="1">
      <c r="A243" s="88"/>
      <c r="B243" s="96" t="e">
        <f t="shared" si="9"/>
        <v>#REF!</v>
      </c>
      <c r="C243" s="148">
        <v>41631</v>
      </c>
      <c r="D243" s="98" t="s">
        <v>2252</v>
      </c>
      <c r="E243" s="118">
        <v>7600779</v>
      </c>
      <c r="F243" s="164" t="s">
        <v>2248</v>
      </c>
      <c r="G243" s="165" t="s">
        <v>1031</v>
      </c>
      <c r="H243" s="171" t="s">
        <v>2251</v>
      </c>
      <c r="I243" s="98" t="s">
        <v>2252</v>
      </c>
      <c r="J243" s="172">
        <v>4</v>
      </c>
      <c r="K243" s="130" t="s">
        <v>1774</v>
      </c>
      <c r="L243" s="124">
        <v>5</v>
      </c>
      <c r="M243" s="125" t="s">
        <v>1728</v>
      </c>
      <c r="N243" s="106" t="str">
        <f t="shared" si="7"/>
        <v>45</v>
      </c>
      <c r="O243" s="107"/>
      <c r="P243" s="114" t="s">
        <v>2249</v>
      </c>
      <c r="Q243" s="107"/>
      <c r="R243" s="115" t="s">
        <v>1734</v>
      </c>
      <c r="S243" s="92" t="s">
        <v>1591</v>
      </c>
      <c r="T243" s="110"/>
      <c r="U243" s="94" t="s">
        <v>1734</v>
      </c>
      <c r="V243" s="107"/>
      <c r="W243" s="117">
        <v>7600164</v>
      </c>
      <c r="X243" s="115" t="s">
        <v>1734</v>
      </c>
      <c r="Y243" s="98" t="s">
        <v>2252</v>
      </c>
      <c r="Z243" s="130" t="s">
        <v>1774</v>
      </c>
      <c r="AA243" s="125" t="s">
        <v>1728</v>
      </c>
      <c r="AB243" s="155"/>
      <c r="AC243" s="107"/>
      <c r="AG243" s="88" t="s">
        <v>1778</v>
      </c>
      <c r="AH243" s="88" t="s">
        <v>1779</v>
      </c>
      <c r="AI243" s="88"/>
      <c r="AJ243" s="88"/>
      <c r="AK243" s="88"/>
      <c r="AL243" s="88"/>
      <c r="AM243" s="88"/>
      <c r="AN243" s="88"/>
      <c r="AO243" s="88"/>
      <c r="AP243" s="88"/>
      <c r="AQ243" s="88"/>
      <c r="AR243" s="88"/>
      <c r="AS243" s="88"/>
      <c r="AT243" s="88"/>
      <c r="AU243" s="88"/>
      <c r="AV243" s="88"/>
      <c r="AW243" s="88"/>
      <c r="AX243" s="88"/>
      <c r="AY243" s="88"/>
      <c r="AZ243" s="88"/>
      <c r="BA243" s="88"/>
      <c r="BB243" s="88"/>
    </row>
    <row r="244" spans="1:54" ht="17.45" customHeight="1">
      <c r="B244" s="96" t="e">
        <f t="shared" si="9"/>
        <v>#REF!</v>
      </c>
      <c r="C244" s="146">
        <v>41631</v>
      </c>
      <c r="D244" s="98" t="s">
        <v>1906</v>
      </c>
      <c r="E244" s="118">
        <v>7600678</v>
      </c>
      <c r="F244" s="164" t="s">
        <v>1905</v>
      </c>
      <c r="G244" s="165" t="s">
        <v>1049</v>
      </c>
      <c r="H244" s="171" t="s">
        <v>1887</v>
      </c>
      <c r="I244" s="98" t="s">
        <v>1906</v>
      </c>
      <c r="J244" s="172">
        <v>4</v>
      </c>
      <c r="K244" s="130" t="s">
        <v>1774</v>
      </c>
      <c r="L244" s="124">
        <v>6</v>
      </c>
      <c r="M244" s="125" t="s">
        <v>1735</v>
      </c>
      <c r="N244" s="106" t="str">
        <f t="shared" si="7"/>
        <v>46</v>
      </c>
      <c r="O244" s="107"/>
      <c r="P244" s="108" t="s">
        <v>1906</v>
      </c>
      <c r="Q244" s="107"/>
      <c r="R244" s="115" t="s">
        <v>1738</v>
      </c>
      <c r="S244" s="92" t="s">
        <v>1577</v>
      </c>
      <c r="T244" s="110"/>
      <c r="U244" s="94" t="s">
        <v>1738</v>
      </c>
      <c r="V244" s="107"/>
      <c r="W244" s="111">
        <v>7600678</v>
      </c>
      <c r="X244" s="115" t="s">
        <v>1738</v>
      </c>
      <c r="Y244" s="98" t="s">
        <v>1906</v>
      </c>
      <c r="Z244" s="130" t="s">
        <v>1774</v>
      </c>
      <c r="AA244" s="125" t="s">
        <v>1735</v>
      </c>
      <c r="AB244" s="110" t="s">
        <v>1710</v>
      </c>
      <c r="AC244" s="107"/>
      <c r="AG244" s="88" t="s">
        <v>1778</v>
      </c>
      <c r="AH244" s="88" t="s">
        <v>1779</v>
      </c>
    </row>
    <row r="245" spans="1:54" ht="17.45" customHeight="1">
      <c r="B245" s="96" t="e">
        <f t="shared" si="9"/>
        <v>#REF!</v>
      </c>
      <c r="C245" s="112">
        <v>42480</v>
      </c>
      <c r="D245" s="98" t="s">
        <v>2000</v>
      </c>
      <c r="E245" s="98">
        <v>7600897</v>
      </c>
      <c r="F245" s="113" t="s">
        <v>1999</v>
      </c>
      <c r="G245" s="100" t="s">
        <v>1066</v>
      </c>
      <c r="H245" s="101" t="s">
        <v>1990</v>
      </c>
      <c r="I245" s="98" t="s">
        <v>2000</v>
      </c>
      <c r="J245" s="126">
        <v>4</v>
      </c>
      <c r="K245" s="124" t="s">
        <v>1774</v>
      </c>
      <c r="L245" s="124">
        <v>6</v>
      </c>
      <c r="M245" s="125" t="s">
        <v>1735</v>
      </c>
      <c r="N245" s="106" t="str">
        <f t="shared" si="7"/>
        <v>46</v>
      </c>
      <c r="O245" s="107"/>
      <c r="P245" s="114" t="s">
        <v>2000</v>
      </c>
      <c r="Q245" s="107"/>
      <c r="R245" s="115" t="s">
        <v>1741</v>
      </c>
      <c r="S245" s="92" t="s">
        <v>1577</v>
      </c>
      <c r="T245" s="110"/>
      <c r="U245" s="94" t="s">
        <v>1741</v>
      </c>
      <c r="V245" s="107"/>
      <c r="W245" s="117">
        <v>7600897</v>
      </c>
      <c r="X245" s="115" t="s">
        <v>1741</v>
      </c>
      <c r="Y245" s="98" t="s">
        <v>2000</v>
      </c>
      <c r="Z245" s="124" t="s">
        <v>1774</v>
      </c>
      <c r="AA245" s="125" t="s">
        <v>1735</v>
      </c>
      <c r="AB245" s="155"/>
      <c r="AC245" s="107"/>
      <c r="AG245" s="88" t="s">
        <v>1778</v>
      </c>
      <c r="AH245" s="88" t="s">
        <v>1779</v>
      </c>
    </row>
    <row r="246" spans="1:54" s="147" customFormat="1" ht="17.45" customHeight="1">
      <c r="B246" s="96" t="e">
        <f t="shared" si="9"/>
        <v>#REF!</v>
      </c>
      <c r="C246" s="148">
        <v>42275</v>
      </c>
      <c r="D246" s="98" t="s">
        <v>2123</v>
      </c>
      <c r="E246" s="118">
        <v>7600810</v>
      </c>
      <c r="F246" s="164" t="s">
        <v>2122</v>
      </c>
      <c r="G246" s="165" t="s">
        <v>1041</v>
      </c>
      <c r="H246" s="171" t="s">
        <v>2046</v>
      </c>
      <c r="I246" s="98" t="s">
        <v>2123</v>
      </c>
      <c r="J246" s="172">
        <v>4</v>
      </c>
      <c r="K246" s="130" t="s">
        <v>1774</v>
      </c>
      <c r="L246" s="124">
        <v>6</v>
      </c>
      <c r="M246" s="125" t="s">
        <v>1735</v>
      </c>
      <c r="N246" s="106" t="str">
        <f t="shared" si="7"/>
        <v>46</v>
      </c>
      <c r="O246" s="107"/>
      <c r="P246" s="114" t="s">
        <v>2123</v>
      </c>
      <c r="Q246" s="107"/>
      <c r="R246" s="115" t="s">
        <v>1742</v>
      </c>
      <c r="S246" s="92" t="s">
        <v>1577</v>
      </c>
      <c r="T246" s="110"/>
      <c r="U246" s="94" t="s">
        <v>1742</v>
      </c>
      <c r="V246" s="107"/>
      <c r="W246" s="117">
        <v>7600810</v>
      </c>
      <c r="X246" s="115" t="s">
        <v>1742</v>
      </c>
      <c r="Y246" s="98" t="s">
        <v>2123</v>
      </c>
      <c r="Z246" s="130" t="s">
        <v>1774</v>
      </c>
      <c r="AA246" s="125" t="s">
        <v>1735</v>
      </c>
      <c r="AB246" s="155"/>
      <c r="AC246" s="107"/>
      <c r="AD246" s="74"/>
      <c r="AE246" s="74"/>
      <c r="AF246" s="74"/>
      <c r="AG246" s="88" t="s">
        <v>1778</v>
      </c>
      <c r="AH246" s="88" t="s">
        <v>1779</v>
      </c>
    </row>
    <row r="247" spans="1:54" ht="17.45" customHeight="1">
      <c r="B247" s="96" t="e">
        <f t="shared" si="9"/>
        <v>#REF!</v>
      </c>
      <c r="C247" s="112">
        <v>42796</v>
      </c>
      <c r="D247" s="98" t="s">
        <v>2124</v>
      </c>
      <c r="E247" s="98">
        <v>7600872</v>
      </c>
      <c r="F247" s="99" t="s">
        <v>2122</v>
      </c>
      <c r="G247" s="100" t="s">
        <v>1046</v>
      </c>
      <c r="H247" s="151" t="s">
        <v>2046</v>
      </c>
      <c r="I247" s="98" t="s">
        <v>2124</v>
      </c>
      <c r="J247" s="126">
        <v>4</v>
      </c>
      <c r="K247" s="126" t="s">
        <v>1774</v>
      </c>
      <c r="L247" s="126">
        <v>6</v>
      </c>
      <c r="M247" s="125" t="s">
        <v>1735</v>
      </c>
      <c r="N247" s="106" t="str">
        <f t="shared" si="7"/>
        <v>46</v>
      </c>
      <c r="O247" s="107"/>
      <c r="P247" s="114" t="s">
        <v>2123</v>
      </c>
      <c r="Q247" s="107"/>
      <c r="R247" s="115" t="s">
        <v>1742</v>
      </c>
      <c r="S247" s="92" t="s">
        <v>1577</v>
      </c>
      <c r="T247" s="110"/>
      <c r="U247" s="94" t="s">
        <v>1742</v>
      </c>
      <c r="V247" s="107"/>
      <c r="W247" s="117">
        <v>7600810</v>
      </c>
      <c r="X247" s="115" t="s">
        <v>1742</v>
      </c>
      <c r="Y247" s="98" t="s">
        <v>2124</v>
      </c>
      <c r="Z247" s="126" t="s">
        <v>1774</v>
      </c>
      <c r="AA247" s="125" t="s">
        <v>1735</v>
      </c>
      <c r="AB247" s="155"/>
      <c r="AC247" s="107"/>
      <c r="AF247" s="74" t="e">
        <f>VLOOKUP(#REF!,'Lista de Concessionárias (2 (3)'!$G$5:$M$264,7,0)</f>
        <v>#REF!</v>
      </c>
      <c r="AG247" s="88" t="s">
        <v>1778</v>
      </c>
      <c r="AH247" s="88" t="s">
        <v>1779</v>
      </c>
    </row>
    <row r="248" spans="1:54" ht="17.45" customHeight="1">
      <c r="B248" s="96">
        <v>1</v>
      </c>
      <c r="C248" s="112">
        <v>41999</v>
      </c>
      <c r="D248" s="98" t="s">
        <v>1773</v>
      </c>
      <c r="E248" s="98">
        <v>7600804</v>
      </c>
      <c r="F248" s="113" t="s">
        <v>1771</v>
      </c>
      <c r="G248" s="100" t="s">
        <v>1056</v>
      </c>
      <c r="H248" s="101" t="s">
        <v>2071</v>
      </c>
      <c r="I248" s="98" t="s">
        <v>1773</v>
      </c>
      <c r="J248" s="126">
        <v>4</v>
      </c>
      <c r="K248" s="124" t="s">
        <v>1774</v>
      </c>
      <c r="L248" s="124">
        <v>6</v>
      </c>
      <c r="M248" s="125" t="s">
        <v>1735</v>
      </c>
      <c r="N248" s="106" t="str">
        <f t="shared" si="7"/>
        <v>46</v>
      </c>
      <c r="O248" s="107"/>
      <c r="P248" s="117" t="s">
        <v>1773</v>
      </c>
      <c r="Q248" s="107"/>
      <c r="R248" s="115" t="s">
        <v>1736</v>
      </c>
      <c r="S248" s="92" t="s">
        <v>1577</v>
      </c>
      <c r="T248" s="110"/>
      <c r="U248" s="94" t="s">
        <v>1736</v>
      </c>
      <c r="V248" s="107"/>
      <c r="W248" s="117">
        <v>7600804</v>
      </c>
      <c r="X248" s="115" t="s">
        <v>1736</v>
      </c>
      <c r="Y248" s="98" t="s">
        <v>1773</v>
      </c>
      <c r="Z248" s="124" t="s">
        <v>1774</v>
      </c>
      <c r="AA248" s="125" t="s">
        <v>1735</v>
      </c>
      <c r="AB248" s="110" t="s">
        <v>1736</v>
      </c>
      <c r="AC248" s="107"/>
      <c r="AG248" s="88" t="s">
        <v>1778</v>
      </c>
      <c r="AH248" s="88" t="s">
        <v>1779</v>
      </c>
    </row>
    <row r="249" spans="1:54" ht="17.45" customHeight="1">
      <c r="B249" s="96">
        <f t="shared" ref="B249:B264" si="10">B248+1</f>
        <v>2</v>
      </c>
      <c r="C249" s="112">
        <v>43774</v>
      </c>
      <c r="D249" s="98" t="s">
        <v>1780</v>
      </c>
      <c r="E249" s="98">
        <v>7601095</v>
      </c>
      <c r="F249" s="153" t="s">
        <v>1771</v>
      </c>
      <c r="G249" s="101" t="s">
        <v>1061</v>
      </c>
      <c r="H249" s="154" t="s">
        <v>2071</v>
      </c>
      <c r="I249" s="98" t="s">
        <v>1780</v>
      </c>
      <c r="J249" s="126">
        <v>4</v>
      </c>
      <c r="K249" s="124" t="s">
        <v>1774</v>
      </c>
      <c r="L249" s="124">
        <v>6</v>
      </c>
      <c r="M249" s="125" t="s">
        <v>1735</v>
      </c>
      <c r="N249" s="106" t="str">
        <f t="shared" si="7"/>
        <v>46</v>
      </c>
      <c r="O249" s="107"/>
      <c r="P249" s="117" t="s">
        <v>1773</v>
      </c>
      <c r="Q249" s="107"/>
      <c r="R249" s="115" t="s">
        <v>1736</v>
      </c>
      <c r="S249" s="92" t="s">
        <v>1577</v>
      </c>
      <c r="T249" s="110"/>
      <c r="U249" s="94" t="s">
        <v>1736</v>
      </c>
      <c r="V249" s="107"/>
      <c r="W249" s="117">
        <v>7600804</v>
      </c>
      <c r="X249" s="115" t="s">
        <v>1736</v>
      </c>
      <c r="Y249" s="98" t="s">
        <v>1780</v>
      </c>
      <c r="Z249" s="124" t="s">
        <v>1774</v>
      </c>
      <c r="AA249" s="125" t="s">
        <v>1735</v>
      </c>
      <c r="AB249" s="110" t="s">
        <v>1658</v>
      </c>
      <c r="AC249" s="107"/>
      <c r="AG249" s="88" t="s">
        <v>1778</v>
      </c>
      <c r="AH249" s="88" t="s">
        <v>1779</v>
      </c>
    </row>
    <row r="250" spans="1:54" ht="17.45" customHeight="1">
      <c r="B250" s="96">
        <f t="shared" si="10"/>
        <v>3</v>
      </c>
      <c r="C250" s="112">
        <v>40765</v>
      </c>
      <c r="D250" s="98" t="s">
        <v>2134</v>
      </c>
      <c r="E250" s="98">
        <v>7600599</v>
      </c>
      <c r="F250" s="113" t="s">
        <v>2132</v>
      </c>
      <c r="G250" s="100" t="s">
        <v>1064</v>
      </c>
      <c r="H250" s="101" t="s">
        <v>2239</v>
      </c>
      <c r="I250" s="98" t="s">
        <v>2134</v>
      </c>
      <c r="J250" s="102">
        <v>4</v>
      </c>
      <c r="K250" s="103" t="s">
        <v>1774</v>
      </c>
      <c r="L250" s="124">
        <v>6</v>
      </c>
      <c r="M250" s="125" t="s">
        <v>1735</v>
      </c>
      <c r="N250" s="106" t="str">
        <f t="shared" si="7"/>
        <v>46</v>
      </c>
      <c r="O250" s="107"/>
      <c r="P250" s="114" t="s">
        <v>2134</v>
      </c>
      <c r="Q250" s="107"/>
      <c r="R250" s="115" t="s">
        <v>2136</v>
      </c>
      <c r="S250" s="92" t="s">
        <v>1577</v>
      </c>
      <c r="T250" s="110"/>
      <c r="U250" s="94" t="s">
        <v>1743</v>
      </c>
      <c r="V250" s="107"/>
      <c r="W250" s="117">
        <v>7600599</v>
      </c>
      <c r="X250" s="115" t="s">
        <v>2136</v>
      </c>
      <c r="Y250" s="98" t="s">
        <v>2134</v>
      </c>
      <c r="Z250" s="103" t="s">
        <v>1774</v>
      </c>
      <c r="AA250" s="125" t="s">
        <v>1735</v>
      </c>
      <c r="AB250" s="155"/>
      <c r="AC250" s="107"/>
      <c r="AG250" s="88" t="s">
        <v>1778</v>
      </c>
      <c r="AH250" s="88" t="s">
        <v>1779</v>
      </c>
    </row>
    <row r="251" spans="1:54" ht="17.45" customHeight="1">
      <c r="B251" s="96">
        <f t="shared" si="10"/>
        <v>4</v>
      </c>
      <c r="C251" s="112">
        <v>41612</v>
      </c>
      <c r="D251" s="98" t="s">
        <v>1888</v>
      </c>
      <c r="E251" s="98">
        <v>7600718</v>
      </c>
      <c r="F251" s="113" t="s">
        <v>1885</v>
      </c>
      <c r="G251" s="100" t="s">
        <v>1083</v>
      </c>
      <c r="H251" s="101" t="s">
        <v>1920</v>
      </c>
      <c r="I251" s="98" t="s">
        <v>1888</v>
      </c>
      <c r="J251" s="102">
        <v>4</v>
      </c>
      <c r="K251" s="103" t="s">
        <v>1774</v>
      </c>
      <c r="L251" s="124">
        <v>7</v>
      </c>
      <c r="M251" s="125" t="s">
        <v>1744</v>
      </c>
      <c r="N251" s="106" t="str">
        <f t="shared" si="7"/>
        <v>47</v>
      </c>
      <c r="O251" s="107"/>
      <c r="P251" s="114" t="s">
        <v>1886</v>
      </c>
      <c r="Q251" s="107"/>
      <c r="R251" s="115" t="s">
        <v>1745</v>
      </c>
      <c r="S251" s="92" t="s">
        <v>1592</v>
      </c>
      <c r="T251" s="110"/>
      <c r="U251" s="94" t="s">
        <v>1745</v>
      </c>
      <c r="V251" s="107"/>
      <c r="W251" s="117">
        <v>7600466</v>
      </c>
      <c r="X251" s="115" t="s">
        <v>1745</v>
      </c>
      <c r="Y251" s="98" t="s">
        <v>1888</v>
      </c>
      <c r="Z251" s="103" t="s">
        <v>1774</v>
      </c>
      <c r="AA251" s="125" t="s">
        <v>1744</v>
      </c>
      <c r="AB251" s="110" t="s">
        <v>1683</v>
      </c>
      <c r="AG251" s="88" t="s">
        <v>1778</v>
      </c>
      <c r="AH251" s="88" t="s">
        <v>1779</v>
      </c>
    </row>
    <row r="252" spans="1:54" ht="17.45" customHeight="1">
      <c r="B252" s="96">
        <f t="shared" si="10"/>
        <v>5</v>
      </c>
      <c r="C252" s="112">
        <v>39289</v>
      </c>
      <c r="D252" s="98" t="s">
        <v>1886</v>
      </c>
      <c r="E252" s="98">
        <v>7600466</v>
      </c>
      <c r="F252" s="113" t="s">
        <v>1885</v>
      </c>
      <c r="G252" s="100" t="s">
        <v>1086</v>
      </c>
      <c r="H252" s="101" t="s">
        <v>1920</v>
      </c>
      <c r="I252" s="98" t="s">
        <v>1886</v>
      </c>
      <c r="J252" s="102">
        <v>4</v>
      </c>
      <c r="K252" s="103" t="s">
        <v>1774</v>
      </c>
      <c r="L252" s="124">
        <v>7</v>
      </c>
      <c r="M252" s="125" t="s">
        <v>1744</v>
      </c>
      <c r="N252" s="106" t="str">
        <f t="shared" si="7"/>
        <v>47</v>
      </c>
      <c r="O252" s="107"/>
      <c r="P252" s="114" t="s">
        <v>1886</v>
      </c>
      <c r="Q252" s="107"/>
      <c r="R252" s="115" t="s">
        <v>1745</v>
      </c>
      <c r="S252" s="92" t="s">
        <v>1592</v>
      </c>
      <c r="T252" s="110"/>
      <c r="U252" s="94" t="s">
        <v>1745</v>
      </c>
      <c r="V252" s="107"/>
      <c r="W252" s="117">
        <v>7600466</v>
      </c>
      <c r="X252" s="115" t="s">
        <v>1745</v>
      </c>
      <c r="Y252" s="98" t="s">
        <v>1886</v>
      </c>
      <c r="Z252" s="103" t="s">
        <v>1774</v>
      </c>
      <c r="AA252" s="125" t="s">
        <v>1744</v>
      </c>
      <c r="AB252" s="110" t="s">
        <v>1750</v>
      </c>
      <c r="AG252" s="88" t="s">
        <v>1778</v>
      </c>
      <c r="AH252" s="88" t="s">
        <v>1779</v>
      </c>
    </row>
    <row r="253" spans="1:54" ht="17.45" customHeight="1">
      <c r="B253" s="96">
        <f t="shared" si="10"/>
        <v>6</v>
      </c>
      <c r="C253" s="112">
        <v>44946</v>
      </c>
      <c r="D253" s="98" t="s">
        <v>1901</v>
      </c>
      <c r="E253" s="98">
        <v>7601196</v>
      </c>
      <c r="F253" s="153" t="s">
        <v>1885</v>
      </c>
      <c r="G253" s="100" t="s">
        <v>1102</v>
      </c>
      <c r="H253" s="154" t="s">
        <v>1920</v>
      </c>
      <c r="I253" s="98" t="s">
        <v>1901</v>
      </c>
      <c r="J253" s="126">
        <v>4</v>
      </c>
      <c r="K253" s="124" t="s">
        <v>1774</v>
      </c>
      <c r="L253" s="124">
        <v>7</v>
      </c>
      <c r="M253" s="125" t="s">
        <v>1744</v>
      </c>
      <c r="N253" s="106" t="str">
        <f t="shared" si="7"/>
        <v>47</v>
      </c>
      <c r="O253" s="107"/>
      <c r="P253" s="114" t="s">
        <v>1886</v>
      </c>
      <c r="Q253" s="107"/>
      <c r="R253" s="115" t="s">
        <v>1745</v>
      </c>
      <c r="S253" s="92" t="s">
        <v>1592</v>
      </c>
      <c r="T253" s="110"/>
      <c r="U253" s="94" t="s">
        <v>1745</v>
      </c>
      <c r="V253" s="107"/>
      <c r="W253" s="117">
        <v>7600466</v>
      </c>
      <c r="X253" s="115" t="s">
        <v>1745</v>
      </c>
      <c r="Y253" s="98" t="s">
        <v>1901</v>
      </c>
      <c r="Z253" s="124" t="s">
        <v>1774</v>
      </c>
      <c r="AA253" s="125" t="s">
        <v>1744</v>
      </c>
      <c r="AB253" s="110" t="s">
        <v>1642</v>
      </c>
      <c r="AG253" s="88" t="s">
        <v>1778</v>
      </c>
      <c r="AH253" s="88" t="s">
        <v>1779</v>
      </c>
    </row>
    <row r="254" spans="1:54" ht="17.45" customHeight="1">
      <c r="B254" s="96">
        <f t="shared" si="10"/>
        <v>7</v>
      </c>
      <c r="C254" s="112">
        <v>39703</v>
      </c>
      <c r="D254" s="98" t="s">
        <v>1893</v>
      </c>
      <c r="E254" s="98">
        <v>7601156</v>
      </c>
      <c r="F254" s="113" t="s">
        <v>1885</v>
      </c>
      <c r="G254" s="100" t="s">
        <v>1072</v>
      </c>
      <c r="H254" s="101" t="s">
        <v>1920</v>
      </c>
      <c r="I254" s="98" t="s">
        <v>1893</v>
      </c>
      <c r="J254" s="126">
        <v>4</v>
      </c>
      <c r="K254" s="124" t="s">
        <v>1774</v>
      </c>
      <c r="L254" s="124">
        <v>7</v>
      </c>
      <c r="M254" s="125" t="s">
        <v>1744</v>
      </c>
      <c r="N254" s="106" t="str">
        <f t="shared" si="7"/>
        <v>47</v>
      </c>
      <c r="O254" s="107"/>
      <c r="P254" s="114" t="s">
        <v>1886</v>
      </c>
      <c r="Q254" s="107"/>
      <c r="R254" s="115" t="s">
        <v>1748</v>
      </c>
      <c r="S254" s="92" t="s">
        <v>1592</v>
      </c>
      <c r="T254" s="110"/>
      <c r="U254" s="94" t="s">
        <v>1748</v>
      </c>
      <c r="V254" s="107"/>
      <c r="W254" s="117">
        <v>7601156</v>
      </c>
      <c r="X254" s="115" t="s">
        <v>1748</v>
      </c>
      <c r="Y254" s="98" t="s">
        <v>1893</v>
      </c>
      <c r="Z254" s="124" t="s">
        <v>1774</v>
      </c>
      <c r="AA254" s="125" t="s">
        <v>1744</v>
      </c>
      <c r="AB254" s="290" t="s">
        <v>1684</v>
      </c>
      <c r="AG254" s="88" t="s">
        <v>1778</v>
      </c>
      <c r="AH254" s="88" t="s">
        <v>1779</v>
      </c>
    </row>
    <row r="255" spans="1:54" ht="17.45" customHeight="1">
      <c r="B255" s="96">
        <f t="shared" si="10"/>
        <v>8</v>
      </c>
      <c r="C255" s="112">
        <v>44166</v>
      </c>
      <c r="D255" s="98" t="s">
        <v>1896</v>
      </c>
      <c r="E255" s="98">
        <v>7601135</v>
      </c>
      <c r="F255" s="113" t="s">
        <v>1885</v>
      </c>
      <c r="G255" s="100" t="s">
        <v>1079</v>
      </c>
      <c r="H255" s="101" t="s">
        <v>1920</v>
      </c>
      <c r="I255" s="98" t="s">
        <v>1896</v>
      </c>
      <c r="J255" s="102">
        <v>4</v>
      </c>
      <c r="K255" s="103" t="s">
        <v>1774</v>
      </c>
      <c r="L255" s="124">
        <v>7</v>
      </c>
      <c r="M255" s="125" t="s">
        <v>1744</v>
      </c>
      <c r="N255" s="106" t="str">
        <f t="shared" si="7"/>
        <v>47</v>
      </c>
      <c r="O255" s="107"/>
      <c r="P255" s="114" t="s">
        <v>1886</v>
      </c>
      <c r="Q255" s="107"/>
      <c r="R255" s="115" t="s">
        <v>1748</v>
      </c>
      <c r="S255" s="92" t="s">
        <v>1592</v>
      </c>
      <c r="T255" s="110"/>
      <c r="U255" s="94" t="s">
        <v>1748</v>
      </c>
      <c r="V255" s="107"/>
      <c r="W255" s="117">
        <v>7601156</v>
      </c>
      <c r="X255" s="115" t="s">
        <v>1748</v>
      </c>
      <c r="Y255" s="98" t="s">
        <v>1896</v>
      </c>
      <c r="Z255" s="103" t="s">
        <v>1774</v>
      </c>
      <c r="AA255" s="125" t="s">
        <v>1744</v>
      </c>
      <c r="AB255" s="110" t="s">
        <v>1650</v>
      </c>
      <c r="AG255" s="88" t="s">
        <v>1778</v>
      </c>
      <c r="AH255" s="88" t="s">
        <v>1779</v>
      </c>
    </row>
    <row r="256" spans="1:54" ht="17.45" customHeight="1">
      <c r="B256" s="96">
        <f t="shared" si="10"/>
        <v>9</v>
      </c>
      <c r="C256" s="112">
        <v>38377</v>
      </c>
      <c r="D256" s="98" t="s">
        <v>1892</v>
      </c>
      <c r="E256" s="98">
        <v>7601153</v>
      </c>
      <c r="F256" s="113" t="s">
        <v>1885</v>
      </c>
      <c r="G256" s="100" t="s">
        <v>1091</v>
      </c>
      <c r="H256" s="101" t="s">
        <v>1920</v>
      </c>
      <c r="I256" s="98" t="s">
        <v>1892</v>
      </c>
      <c r="J256" s="102">
        <v>4</v>
      </c>
      <c r="K256" s="103" t="s">
        <v>1774</v>
      </c>
      <c r="L256" s="124">
        <v>7</v>
      </c>
      <c r="M256" s="125" t="s">
        <v>1744</v>
      </c>
      <c r="N256" s="106" t="str">
        <f t="shared" si="7"/>
        <v>47</v>
      </c>
      <c r="O256" s="107"/>
      <c r="P256" s="114" t="s">
        <v>1886</v>
      </c>
      <c r="Q256" s="107"/>
      <c r="R256" s="115" t="s">
        <v>1747</v>
      </c>
      <c r="S256" s="92" t="s">
        <v>1592</v>
      </c>
      <c r="T256" s="110"/>
      <c r="U256" s="94" t="s">
        <v>1747</v>
      </c>
      <c r="V256" s="107"/>
      <c r="W256" s="117">
        <v>7601153</v>
      </c>
      <c r="X256" s="115" t="s">
        <v>1747</v>
      </c>
      <c r="Y256" s="98" t="s">
        <v>1892</v>
      </c>
      <c r="Z256" s="103" t="s">
        <v>1774</v>
      </c>
      <c r="AA256" s="125" t="s">
        <v>1744</v>
      </c>
      <c r="AB256" s="110" t="s">
        <v>1929</v>
      </c>
      <c r="AG256" s="88" t="s">
        <v>1778</v>
      </c>
      <c r="AH256" s="88" t="s">
        <v>1779</v>
      </c>
    </row>
    <row r="257" spans="2:34" ht="17.45" customHeight="1">
      <c r="B257" s="96">
        <f t="shared" si="10"/>
        <v>10</v>
      </c>
      <c r="C257" s="112">
        <v>41638</v>
      </c>
      <c r="D257" s="98" t="s">
        <v>1895</v>
      </c>
      <c r="E257" s="98">
        <v>7601159</v>
      </c>
      <c r="F257" s="113" t="s">
        <v>1885</v>
      </c>
      <c r="G257" s="100" t="s">
        <v>1094</v>
      </c>
      <c r="H257" s="101" t="s">
        <v>1920</v>
      </c>
      <c r="I257" s="98" t="s">
        <v>1895</v>
      </c>
      <c r="J257" s="126">
        <v>4</v>
      </c>
      <c r="K257" s="124" t="s">
        <v>1774</v>
      </c>
      <c r="L257" s="124">
        <v>7</v>
      </c>
      <c r="M257" s="125" t="s">
        <v>1744</v>
      </c>
      <c r="N257" s="106" t="str">
        <f t="shared" si="7"/>
        <v>47</v>
      </c>
      <c r="O257" s="107"/>
      <c r="P257" s="114" t="s">
        <v>1886</v>
      </c>
      <c r="Q257" s="107"/>
      <c r="R257" s="115" t="s">
        <v>1747</v>
      </c>
      <c r="S257" s="92" t="s">
        <v>1592</v>
      </c>
      <c r="T257" s="110"/>
      <c r="U257" s="94" t="s">
        <v>1747</v>
      </c>
      <c r="V257" s="107"/>
      <c r="W257" s="117">
        <v>7601153</v>
      </c>
      <c r="X257" s="115" t="s">
        <v>1747</v>
      </c>
      <c r="Y257" s="98" t="s">
        <v>1895</v>
      </c>
      <c r="Z257" s="124" t="s">
        <v>1774</v>
      </c>
      <c r="AA257" s="125" t="s">
        <v>1744</v>
      </c>
      <c r="AB257" s="110" t="s">
        <v>1931</v>
      </c>
      <c r="AG257" s="88" t="s">
        <v>1778</v>
      </c>
      <c r="AH257" s="88" t="s">
        <v>1779</v>
      </c>
    </row>
    <row r="258" spans="2:34" ht="17.45" customHeight="1">
      <c r="B258" s="96">
        <f t="shared" si="10"/>
        <v>11</v>
      </c>
      <c r="C258" s="112">
        <v>36867</v>
      </c>
      <c r="D258" s="98" t="s">
        <v>1890</v>
      </c>
      <c r="E258" s="98">
        <v>7601158</v>
      </c>
      <c r="F258" s="153" t="s">
        <v>1885</v>
      </c>
      <c r="G258" s="101" t="s">
        <v>1088</v>
      </c>
      <c r="H258" s="154" t="s">
        <v>1920</v>
      </c>
      <c r="I258" s="98" t="s">
        <v>1890</v>
      </c>
      <c r="J258" s="126">
        <v>4</v>
      </c>
      <c r="K258" s="124" t="s">
        <v>1774</v>
      </c>
      <c r="L258" s="124">
        <v>7</v>
      </c>
      <c r="M258" s="125" t="s">
        <v>1744</v>
      </c>
      <c r="N258" s="106" t="str">
        <f t="shared" si="7"/>
        <v>47</v>
      </c>
      <c r="O258" s="107"/>
      <c r="P258" s="114" t="s">
        <v>1886</v>
      </c>
      <c r="Q258" s="107"/>
      <c r="R258" s="115" t="s">
        <v>1746</v>
      </c>
      <c r="S258" s="92" t="s">
        <v>1592</v>
      </c>
      <c r="T258" s="110"/>
      <c r="U258" s="94" t="s">
        <v>1746</v>
      </c>
      <c r="V258" s="107"/>
      <c r="W258" s="117">
        <v>7601155</v>
      </c>
      <c r="X258" s="115" t="s">
        <v>1746</v>
      </c>
      <c r="Y258" s="98" t="s">
        <v>1890</v>
      </c>
      <c r="Z258" s="124" t="s">
        <v>1774</v>
      </c>
      <c r="AA258" s="125" t="s">
        <v>1744</v>
      </c>
      <c r="AB258" s="110" t="s">
        <v>1742</v>
      </c>
      <c r="AG258" s="88" t="s">
        <v>1778</v>
      </c>
      <c r="AH258" s="88" t="s">
        <v>1779</v>
      </c>
    </row>
    <row r="259" spans="2:34" ht="17.45" customHeight="1">
      <c r="B259" s="96">
        <f t="shared" si="10"/>
        <v>12</v>
      </c>
      <c r="C259" s="112">
        <v>36586</v>
      </c>
      <c r="D259" s="98" t="s">
        <v>1898</v>
      </c>
      <c r="E259" s="98">
        <v>7601155</v>
      </c>
      <c r="F259" s="153" t="s">
        <v>1885</v>
      </c>
      <c r="G259" s="101" t="s">
        <v>1098</v>
      </c>
      <c r="H259" s="154" t="s">
        <v>1920</v>
      </c>
      <c r="I259" s="98" t="s">
        <v>1898</v>
      </c>
      <c r="J259" s="126">
        <v>4</v>
      </c>
      <c r="K259" s="124" t="s">
        <v>1774</v>
      </c>
      <c r="L259" s="124">
        <v>7</v>
      </c>
      <c r="M259" s="125" t="s">
        <v>1744</v>
      </c>
      <c r="N259" s="106" t="str">
        <f t="shared" si="7"/>
        <v>47</v>
      </c>
      <c r="O259" s="107"/>
      <c r="P259" s="114" t="s">
        <v>1886</v>
      </c>
      <c r="Q259" s="107"/>
      <c r="R259" s="115" t="s">
        <v>1746</v>
      </c>
      <c r="S259" s="92" t="s">
        <v>1592</v>
      </c>
      <c r="T259" s="110"/>
      <c r="U259" s="94" t="s">
        <v>1746</v>
      </c>
      <c r="V259" s="107"/>
      <c r="W259" s="117">
        <v>7601155</v>
      </c>
      <c r="X259" s="115" t="s">
        <v>1746</v>
      </c>
      <c r="Y259" s="98" t="s">
        <v>1898</v>
      </c>
      <c r="Z259" s="124" t="s">
        <v>1774</v>
      </c>
      <c r="AA259" s="125" t="s">
        <v>1744</v>
      </c>
      <c r="AB259" s="110" t="s">
        <v>1665</v>
      </c>
      <c r="AG259" s="88" t="s">
        <v>1778</v>
      </c>
      <c r="AH259" s="88" t="s">
        <v>1779</v>
      </c>
    </row>
    <row r="260" spans="2:34" ht="17.45" customHeight="1">
      <c r="B260" s="96">
        <f t="shared" si="10"/>
        <v>13</v>
      </c>
      <c r="C260" s="112">
        <v>43007</v>
      </c>
      <c r="D260" s="98" t="s">
        <v>1900</v>
      </c>
      <c r="E260" s="98">
        <v>7601154</v>
      </c>
      <c r="F260" s="153" t="s">
        <v>1885</v>
      </c>
      <c r="G260" s="100" t="s">
        <v>1101</v>
      </c>
      <c r="H260" s="154" t="s">
        <v>1920</v>
      </c>
      <c r="I260" s="98" t="s">
        <v>1900</v>
      </c>
      <c r="J260" s="126">
        <v>4</v>
      </c>
      <c r="K260" s="124" t="s">
        <v>1774</v>
      </c>
      <c r="L260" s="124">
        <v>7</v>
      </c>
      <c r="M260" s="125" t="s">
        <v>1744</v>
      </c>
      <c r="N260" s="106" t="str">
        <f t="shared" si="7"/>
        <v>47</v>
      </c>
      <c r="O260" s="107"/>
      <c r="P260" s="114" t="s">
        <v>1886</v>
      </c>
      <c r="Q260" s="107"/>
      <c r="R260" s="115" t="s">
        <v>1746</v>
      </c>
      <c r="S260" s="92" t="s">
        <v>1592</v>
      </c>
      <c r="T260" s="110"/>
      <c r="U260" s="94" t="s">
        <v>1746</v>
      </c>
      <c r="V260" s="107"/>
      <c r="W260" s="117">
        <v>7601155</v>
      </c>
      <c r="X260" s="115" t="s">
        <v>1746</v>
      </c>
      <c r="Y260" s="98" t="s">
        <v>1900</v>
      </c>
      <c r="Z260" s="124" t="s">
        <v>1774</v>
      </c>
      <c r="AA260" s="125" t="s">
        <v>1744</v>
      </c>
      <c r="AB260" s="110" t="s">
        <v>1726</v>
      </c>
      <c r="AG260" s="88" t="s">
        <v>1778</v>
      </c>
      <c r="AH260" s="88" t="s">
        <v>1779</v>
      </c>
    </row>
    <row r="261" spans="2:34" ht="17.45" customHeight="1">
      <c r="B261" s="96"/>
      <c r="C261" s="183"/>
      <c r="D261" s="98" t="s">
        <v>1902</v>
      </c>
      <c r="E261" s="98">
        <v>7601291</v>
      </c>
      <c r="F261" s="224"/>
      <c r="G261" s="299" t="s">
        <v>1169</v>
      </c>
      <c r="H261" s="154"/>
      <c r="I261" s="98" t="s">
        <v>1902</v>
      </c>
      <c r="J261" s="126">
        <v>4</v>
      </c>
      <c r="K261" s="124" t="s">
        <v>1774</v>
      </c>
      <c r="L261" s="124">
        <v>7</v>
      </c>
      <c r="M261" s="125" t="s">
        <v>1744</v>
      </c>
      <c r="N261" s="106" t="s">
        <v>2298</v>
      </c>
      <c r="O261" s="107"/>
      <c r="P261" s="195"/>
      <c r="Q261" s="107"/>
      <c r="R261" s="196" t="s">
        <v>1903</v>
      </c>
      <c r="S261" s="92" t="s">
        <v>1592</v>
      </c>
      <c r="T261" s="110"/>
      <c r="U261" s="94"/>
      <c r="V261" s="107"/>
      <c r="W261" s="215">
        <v>7601291</v>
      </c>
      <c r="X261" s="196"/>
      <c r="Y261" s="98"/>
      <c r="Z261" s="124"/>
      <c r="AA261" s="125"/>
      <c r="AB261" s="110"/>
      <c r="AG261" s="88"/>
      <c r="AH261" s="88"/>
    </row>
    <row r="262" spans="2:34" ht="17.45" customHeight="1">
      <c r="B262" s="96"/>
      <c r="C262" s="183"/>
      <c r="D262" s="98" t="s">
        <v>1904</v>
      </c>
      <c r="E262" s="98">
        <v>7601292</v>
      </c>
      <c r="F262" s="224"/>
      <c r="G262" s="299" t="s">
        <v>1170</v>
      </c>
      <c r="H262" s="154"/>
      <c r="I262" s="98" t="s">
        <v>1904</v>
      </c>
      <c r="J262" s="126">
        <v>4</v>
      </c>
      <c r="K262" s="124" t="s">
        <v>1774</v>
      </c>
      <c r="L262" s="124">
        <v>7</v>
      </c>
      <c r="M262" s="125" t="s">
        <v>1744</v>
      </c>
      <c r="N262" s="106" t="s">
        <v>2298</v>
      </c>
      <c r="O262" s="107"/>
      <c r="P262" s="195"/>
      <c r="Q262" s="107"/>
      <c r="R262" s="196" t="s">
        <v>1903</v>
      </c>
      <c r="S262" s="92" t="s">
        <v>1592</v>
      </c>
      <c r="T262" s="110"/>
      <c r="U262" s="94"/>
      <c r="V262" s="107"/>
      <c r="W262" s="215">
        <v>7601291</v>
      </c>
      <c r="X262" s="196"/>
      <c r="Y262" s="98"/>
      <c r="Z262" s="124"/>
      <c r="AA262" s="125"/>
      <c r="AB262" s="110"/>
      <c r="AG262" s="88"/>
      <c r="AH262" s="88"/>
    </row>
    <row r="263" spans="2:34" ht="17.45" customHeight="1">
      <c r="B263" s="96">
        <f>B260+1</f>
        <v>14</v>
      </c>
      <c r="C263" s="183">
        <v>39673</v>
      </c>
      <c r="D263" s="98" t="s">
        <v>2064</v>
      </c>
      <c r="E263" s="98">
        <v>7600764</v>
      </c>
      <c r="F263" s="99" t="s">
        <v>2062</v>
      </c>
      <c r="G263" s="100" t="s">
        <v>1104</v>
      </c>
      <c r="H263" s="101" t="s">
        <v>2063</v>
      </c>
      <c r="I263" s="98" t="s">
        <v>2064</v>
      </c>
      <c r="J263" s="126">
        <v>4</v>
      </c>
      <c r="K263" s="124" t="s">
        <v>1774</v>
      </c>
      <c r="L263" s="124">
        <v>7</v>
      </c>
      <c r="M263" s="125" t="s">
        <v>1744</v>
      </c>
      <c r="N263" s="106" t="str">
        <f t="shared" si="7"/>
        <v>47</v>
      </c>
      <c r="O263" s="107"/>
      <c r="P263" s="195" t="s">
        <v>2064</v>
      </c>
      <c r="Q263" s="107"/>
      <c r="R263" s="196" t="s">
        <v>1749</v>
      </c>
      <c r="S263" s="92" t="s">
        <v>1592</v>
      </c>
      <c r="T263" s="110"/>
      <c r="U263" s="94" t="s">
        <v>1749</v>
      </c>
      <c r="V263" s="107"/>
      <c r="W263" s="215">
        <v>7600764</v>
      </c>
      <c r="X263" s="196" t="s">
        <v>1749</v>
      </c>
      <c r="Y263" s="98" t="s">
        <v>2064</v>
      </c>
      <c r="Z263" s="124" t="s">
        <v>1774</v>
      </c>
      <c r="AA263" s="125" t="s">
        <v>1744</v>
      </c>
      <c r="AB263" s="155"/>
      <c r="AG263" s="88" t="s">
        <v>1778</v>
      </c>
      <c r="AH263" s="88" t="s">
        <v>1779</v>
      </c>
    </row>
    <row r="264" spans="2:34" ht="17.45" customHeight="1" thickBot="1">
      <c r="B264" s="96">
        <f t="shared" si="10"/>
        <v>15</v>
      </c>
      <c r="C264" s="197">
        <v>41272</v>
      </c>
      <c r="D264" s="198" t="s">
        <v>2113</v>
      </c>
      <c r="E264" s="198">
        <v>7600709</v>
      </c>
      <c r="F264" s="292" t="s">
        <v>2112</v>
      </c>
      <c r="G264" s="293" t="s">
        <v>1111</v>
      </c>
      <c r="H264" s="199" t="s">
        <v>2117</v>
      </c>
      <c r="I264" s="198" t="s">
        <v>2113</v>
      </c>
      <c r="J264" s="200">
        <v>4</v>
      </c>
      <c r="K264" s="200" t="s">
        <v>1774</v>
      </c>
      <c r="L264" s="200">
        <v>7</v>
      </c>
      <c r="M264" s="201" t="s">
        <v>1744</v>
      </c>
      <c r="N264" s="202" t="str">
        <f t="shared" si="7"/>
        <v>47</v>
      </c>
      <c r="O264" s="107"/>
      <c r="P264" s="203" t="s">
        <v>2113</v>
      </c>
      <c r="Q264" s="107"/>
      <c r="R264" s="204" t="s">
        <v>1750</v>
      </c>
      <c r="S264" s="92" t="s">
        <v>1592</v>
      </c>
      <c r="T264" s="110"/>
      <c r="U264" s="94" t="s">
        <v>1750</v>
      </c>
      <c r="V264" s="107"/>
      <c r="W264" s="216">
        <v>7600709</v>
      </c>
      <c r="X264" s="204" t="s">
        <v>1750</v>
      </c>
      <c r="Y264" s="198" t="s">
        <v>2113</v>
      </c>
      <c r="Z264" s="200" t="s">
        <v>1774</v>
      </c>
      <c r="AA264" s="201" t="s">
        <v>1744</v>
      </c>
      <c r="AB264" s="155"/>
      <c r="AG264" s="88" t="s">
        <v>1778</v>
      </c>
      <c r="AH264" s="88" t="s">
        <v>1779</v>
      </c>
    </row>
  </sheetData>
  <autoFilter ref="A4:BB264" xr:uid="{BD765269-3F90-4D77-B5F7-C732A2C1BADC}"/>
  <dataConsolidate/>
  <pageMargins left="0.19" right="0.17" top="0.39370078740157483" bottom="0.32" header="0.19685039370078741" footer="0.19685039370078741"/>
  <pageSetup paperSize="9" scale="48" orientation="landscape" horizontalDpi="409" verticalDpi="409" r:id="rId1"/>
  <headerFooter alignWithMargins="0">
    <oddFooter>&amp;L&amp;D&amp;CPágina &amp;P&amp;R_x000D_&amp;1#&amp;"Arial"&amp;10&amp;K000000 Confidential C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7F06-A533-40C4-B68F-3FDAED643BF6}">
  <sheetPr codeName="Planilha9">
    <tabColor theme="0" tint="-0.34998626667073579"/>
  </sheetPr>
  <dimension ref="A1:AZ267"/>
  <sheetViews>
    <sheetView showGridLines="0" zoomScale="70" zoomScaleNormal="70" workbookViewId="0">
      <pane ySplit="4" topLeftCell="A99" activePane="bottomLeft" state="frozen"/>
      <selection pane="bottomLeft" sqref="A1:XFD1048576"/>
      <selection activeCell="A16" sqref="A16:D22"/>
    </sheetView>
  </sheetViews>
  <sheetFormatPr defaultColWidth="11.42578125" defaultRowHeight="17.45" customHeight="1"/>
  <cols>
    <col min="1" max="1" width="3.5703125" style="56" customWidth="1"/>
    <col min="2" max="2" width="4.5703125" style="205" bestFit="1" customWidth="1"/>
    <col min="3" max="3" width="16.5703125" style="206" hidden="1" customWidth="1"/>
    <col min="4" max="5" width="13.42578125" style="129" customWidth="1"/>
    <col min="6" max="6" width="74.5703125" style="207" hidden="1" customWidth="1"/>
    <col min="7" max="7" width="73.5703125" style="74" bestFit="1" customWidth="1"/>
    <col min="8" max="8" width="58.5703125" style="205" hidden="1" customWidth="1"/>
    <col min="9" max="9" width="13.42578125" style="129" customWidth="1"/>
    <col min="10" max="10" width="8" style="163" bestFit="1" customWidth="1"/>
    <col min="11" max="11" width="8" style="163" customWidth="1"/>
    <col min="12" max="12" width="7.42578125" style="163" bestFit="1" customWidth="1"/>
    <col min="13" max="13" width="7.42578125" style="163" customWidth="1"/>
    <col min="14" max="14" width="14.5703125" style="74" bestFit="1" customWidth="1"/>
    <col min="15" max="15" width="2.5703125" style="74" customWidth="1"/>
    <col min="16" max="16" width="14.42578125" style="129" hidden="1" customWidth="1"/>
    <col min="17" max="17" width="2.5703125" style="129" customWidth="1"/>
    <col min="18" max="19" width="23.5703125" style="74" bestFit="1" customWidth="1"/>
    <col min="20" max="20" width="1.5703125" style="74" customWidth="1"/>
    <col min="21" max="21" width="23.5703125" style="74" hidden="1" customWidth="1"/>
    <col min="22" max="22" width="2.5703125" style="129" customWidth="1"/>
    <col min="23" max="23" width="17" style="166" bestFit="1" customWidth="1"/>
    <col min="24" max="24" width="23.5703125" style="74" bestFit="1" customWidth="1"/>
    <col min="25" max="25" width="11.42578125" style="74" customWidth="1"/>
    <col min="26" max="26" width="25.42578125" style="61" hidden="1" customWidth="1"/>
    <col min="27" max="27" width="2.5703125" style="129" hidden="1" customWidth="1"/>
    <col min="28" max="28" width="0" style="74" hidden="1" customWidth="1"/>
    <col min="29" max="16384" width="11.42578125" style="74"/>
  </cols>
  <sheetData>
    <row r="1" spans="1:32" s="61" customFormat="1" ht="83.1" customHeight="1">
      <c r="A1" s="56"/>
      <c r="B1" s="57"/>
      <c r="C1" s="58"/>
      <c r="D1" s="59"/>
      <c r="E1" s="59"/>
      <c r="F1" s="60"/>
      <c r="G1" s="60"/>
      <c r="I1" s="59"/>
      <c r="W1" s="62"/>
    </row>
    <row r="2" spans="1:32" s="61" customFormat="1" ht="17.45" customHeight="1" thickBot="1">
      <c r="A2" s="56"/>
      <c r="B2" s="57"/>
      <c r="C2" s="58"/>
      <c r="D2" s="59"/>
      <c r="E2" s="59"/>
      <c r="F2" s="63" t="s">
        <v>2281</v>
      </c>
      <c r="G2" s="64"/>
      <c r="I2" s="59"/>
      <c r="W2" s="62"/>
    </row>
    <row r="3" spans="1:32" ht="17.45" customHeight="1" thickBot="1">
      <c r="B3" s="65" t="s">
        <v>1752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7"/>
      <c r="O3" s="68"/>
      <c r="P3" s="69"/>
      <c r="Q3" s="70"/>
      <c r="R3" s="71" t="s">
        <v>1753</v>
      </c>
      <c r="S3" s="72"/>
      <c r="T3" s="73"/>
      <c r="U3" s="62"/>
      <c r="V3" s="70"/>
      <c r="W3" s="62"/>
      <c r="X3" s="71" t="s">
        <v>1753</v>
      </c>
      <c r="Z3" s="62"/>
      <c r="AA3" s="70"/>
    </row>
    <row r="4" spans="1:32" s="86" customFormat="1" ht="25.5" thickBot="1">
      <c r="A4" s="56"/>
      <c r="B4" s="75" t="s">
        <v>2282</v>
      </c>
      <c r="C4" s="76" t="s">
        <v>1755</v>
      </c>
      <c r="D4" s="77" t="s">
        <v>1761</v>
      </c>
      <c r="E4" s="77"/>
      <c r="F4" s="78" t="s">
        <v>1757</v>
      </c>
      <c r="G4" s="78" t="s">
        <v>1758</v>
      </c>
      <c r="H4" s="78" t="s">
        <v>1759</v>
      </c>
      <c r="I4" s="77" t="s">
        <v>1761</v>
      </c>
      <c r="J4" s="77" t="s">
        <v>1760</v>
      </c>
      <c r="K4" s="77"/>
      <c r="L4" s="77" t="s">
        <v>1566</v>
      </c>
      <c r="M4" s="79"/>
      <c r="N4" s="80" t="s">
        <v>2283</v>
      </c>
      <c r="O4" s="70"/>
      <c r="P4" s="81" t="s">
        <v>2284</v>
      </c>
      <c r="Q4" s="70"/>
      <c r="R4" s="82" t="s">
        <v>1593</v>
      </c>
      <c r="S4" s="83" t="s">
        <v>1568</v>
      </c>
      <c r="T4" s="70"/>
      <c r="U4" s="84" t="s">
        <v>1770</v>
      </c>
      <c r="V4" s="70"/>
      <c r="W4" s="85" t="s">
        <v>1767</v>
      </c>
      <c r="X4" s="82" t="s">
        <v>1593</v>
      </c>
      <c r="Z4" s="87" t="s">
        <v>1770</v>
      </c>
      <c r="AA4" s="70"/>
      <c r="AB4" s="86">
        <f>COUNTA(Z:Z)-1</f>
        <v>85</v>
      </c>
    </row>
    <row r="5" spans="1:32" ht="17.100000000000001" customHeight="1">
      <c r="B5" s="219" t="e">
        <f t="shared" ref="B5:B11" si="0">B4+1</f>
        <v>#VALUE!</v>
      </c>
      <c r="C5" s="221">
        <v>44456</v>
      </c>
      <c r="D5" s="98" t="s">
        <v>2301</v>
      </c>
      <c r="E5" s="98">
        <v>7601152</v>
      </c>
      <c r="F5" s="223" t="s">
        <v>2302</v>
      </c>
      <c r="G5" s="227" t="s">
        <v>481</v>
      </c>
      <c r="H5" s="230" t="s">
        <v>2303</v>
      </c>
      <c r="I5" s="98" t="s">
        <v>2301</v>
      </c>
      <c r="J5" s="270">
        <v>2</v>
      </c>
      <c r="K5" s="270" t="s">
        <v>1784</v>
      </c>
      <c r="L5" s="274">
        <v>3</v>
      </c>
      <c r="M5" s="130" t="s">
        <v>1638</v>
      </c>
      <c r="N5" s="237" t="str">
        <f t="shared" ref="N5:N68" si="1">J5&amp;L5</f>
        <v>23</v>
      </c>
      <c r="O5" s="107"/>
      <c r="P5" s="108" t="s">
        <v>2301</v>
      </c>
      <c r="Q5" s="107"/>
      <c r="R5" s="109" t="s">
        <v>1642</v>
      </c>
      <c r="S5" s="92" t="s">
        <v>1579</v>
      </c>
      <c r="T5" s="110"/>
      <c r="U5" s="94" t="s">
        <v>1642</v>
      </c>
      <c r="V5" s="107"/>
      <c r="W5" s="214">
        <v>7601152</v>
      </c>
      <c r="X5" s="109" t="s">
        <v>1642</v>
      </c>
      <c r="Z5" s="95"/>
      <c r="AE5" s="88" t="s">
        <v>1778</v>
      </c>
      <c r="AF5" s="88" t="s">
        <v>1779</v>
      </c>
    </row>
    <row r="6" spans="1:32" ht="17.45" customHeight="1">
      <c r="B6" s="96" t="e">
        <f t="shared" si="0"/>
        <v>#VALUE!</v>
      </c>
      <c r="C6" s="97">
        <v>42447</v>
      </c>
      <c r="D6" s="98" t="s">
        <v>2247</v>
      </c>
      <c r="E6" s="98">
        <v>7601076</v>
      </c>
      <c r="F6" s="99" t="s">
        <v>2243</v>
      </c>
      <c r="G6" s="100" t="s">
        <v>898</v>
      </c>
      <c r="H6" s="101" t="s">
        <v>1772</v>
      </c>
      <c r="I6" s="98" t="s">
        <v>2247</v>
      </c>
      <c r="J6" s="102">
        <v>4</v>
      </c>
      <c r="K6" s="103" t="s">
        <v>1774</v>
      </c>
      <c r="L6" s="125">
        <v>2</v>
      </c>
      <c r="M6" s="130" t="s">
        <v>1706</v>
      </c>
      <c r="N6" s="217" t="str">
        <f t="shared" si="1"/>
        <v>42</v>
      </c>
      <c r="O6" s="107"/>
      <c r="P6" s="108" t="s">
        <v>2245</v>
      </c>
      <c r="Q6" s="107"/>
      <c r="R6" s="109" t="s">
        <v>1712</v>
      </c>
      <c r="S6" s="92" t="s">
        <v>1588</v>
      </c>
      <c r="T6" s="110"/>
      <c r="U6" s="94" t="s">
        <v>1712</v>
      </c>
      <c r="V6" s="107"/>
      <c r="W6" s="111">
        <v>7600976</v>
      </c>
      <c r="X6" s="109" t="s">
        <v>1712</v>
      </c>
      <c r="Z6" s="95"/>
      <c r="AE6" s="88" t="s">
        <v>1778</v>
      </c>
      <c r="AF6" s="88" t="s">
        <v>1779</v>
      </c>
    </row>
    <row r="7" spans="1:32" ht="17.45" customHeight="1">
      <c r="B7" s="96" t="e">
        <f t="shared" si="0"/>
        <v>#VALUE!</v>
      </c>
      <c r="C7" s="112">
        <v>39303</v>
      </c>
      <c r="D7" s="98" t="s">
        <v>2245</v>
      </c>
      <c r="E7" s="98">
        <v>7600976</v>
      </c>
      <c r="F7" s="113" t="s">
        <v>2243</v>
      </c>
      <c r="G7" s="100" t="s">
        <v>901</v>
      </c>
      <c r="H7" s="101" t="s">
        <v>1772</v>
      </c>
      <c r="I7" s="98" t="s">
        <v>2245</v>
      </c>
      <c r="J7" s="102">
        <v>4</v>
      </c>
      <c r="K7" s="103" t="s">
        <v>1774</v>
      </c>
      <c r="L7" s="125">
        <v>2</v>
      </c>
      <c r="M7" s="130" t="s">
        <v>1706</v>
      </c>
      <c r="N7" s="217" t="str">
        <f t="shared" si="1"/>
        <v>42</v>
      </c>
      <c r="O7" s="107"/>
      <c r="P7" s="114" t="s">
        <v>2245</v>
      </c>
      <c r="Q7" s="107"/>
      <c r="R7" s="115" t="s">
        <v>1712</v>
      </c>
      <c r="S7" s="92" t="s">
        <v>1588</v>
      </c>
      <c r="T7" s="110"/>
      <c r="U7" s="94" t="s">
        <v>1712</v>
      </c>
      <c r="V7" s="107"/>
      <c r="W7" s="117">
        <v>7600976</v>
      </c>
      <c r="X7" s="115" t="s">
        <v>1712</v>
      </c>
      <c r="Z7" s="116"/>
      <c r="AE7" s="88" t="s">
        <v>1778</v>
      </c>
      <c r="AF7" s="88" t="s">
        <v>1779</v>
      </c>
    </row>
    <row r="8" spans="1:32" ht="17.45" customHeight="1">
      <c r="B8" s="96" t="e">
        <f t="shared" si="0"/>
        <v>#VALUE!</v>
      </c>
      <c r="C8" s="112">
        <v>44379</v>
      </c>
      <c r="D8" s="98" t="s">
        <v>1799</v>
      </c>
      <c r="E8" s="98">
        <v>7601165</v>
      </c>
      <c r="F8" s="113" t="s">
        <v>1793</v>
      </c>
      <c r="G8" s="100" t="s">
        <v>316</v>
      </c>
      <c r="H8" s="101" t="s">
        <v>1782</v>
      </c>
      <c r="I8" s="98" t="s">
        <v>1799</v>
      </c>
      <c r="J8" s="102">
        <v>2</v>
      </c>
      <c r="K8" s="103" t="s">
        <v>1784</v>
      </c>
      <c r="L8" s="125">
        <v>2</v>
      </c>
      <c r="M8" s="130" t="s">
        <v>1634</v>
      </c>
      <c r="N8" s="217" t="str">
        <f t="shared" si="1"/>
        <v>22</v>
      </c>
      <c r="O8" s="107"/>
      <c r="P8" s="114" t="s">
        <v>1794</v>
      </c>
      <c r="Q8" s="107"/>
      <c r="R8" s="115" t="s">
        <v>1635</v>
      </c>
      <c r="S8" s="92" t="s">
        <v>1578</v>
      </c>
      <c r="T8" s="110"/>
      <c r="U8" s="94" t="s">
        <v>1635</v>
      </c>
      <c r="V8" s="107"/>
      <c r="W8" s="117">
        <v>7601062</v>
      </c>
      <c r="X8" s="115" t="s">
        <v>1635</v>
      </c>
      <c r="Z8" s="127" t="s">
        <v>1659</v>
      </c>
      <c r="AE8" s="88" t="s">
        <v>1778</v>
      </c>
      <c r="AF8" s="88" t="s">
        <v>1779</v>
      </c>
    </row>
    <row r="9" spans="1:32" ht="17.45" customHeight="1">
      <c r="B9" s="96" t="e">
        <f t="shared" si="0"/>
        <v>#VALUE!</v>
      </c>
      <c r="C9" s="112">
        <v>43368</v>
      </c>
      <c r="D9" s="98" t="s">
        <v>1794</v>
      </c>
      <c r="E9" s="98">
        <v>7601062</v>
      </c>
      <c r="F9" s="113" t="s">
        <v>1793</v>
      </c>
      <c r="G9" s="100" t="s">
        <v>322</v>
      </c>
      <c r="H9" s="101" t="s">
        <v>1782</v>
      </c>
      <c r="I9" s="98" t="s">
        <v>1794</v>
      </c>
      <c r="J9" s="102">
        <v>2</v>
      </c>
      <c r="K9" s="103" t="s">
        <v>1784</v>
      </c>
      <c r="L9" s="125">
        <v>2</v>
      </c>
      <c r="M9" s="130" t="s">
        <v>1634</v>
      </c>
      <c r="N9" s="217" t="str">
        <f t="shared" si="1"/>
        <v>22</v>
      </c>
      <c r="O9" s="107"/>
      <c r="P9" s="114" t="s">
        <v>1794</v>
      </c>
      <c r="Q9" s="107"/>
      <c r="R9" s="115" t="s">
        <v>1635</v>
      </c>
      <c r="S9" s="92" t="s">
        <v>1578</v>
      </c>
      <c r="T9" s="110"/>
      <c r="U9" s="94" t="s">
        <v>1635</v>
      </c>
      <c r="V9" s="107"/>
      <c r="W9" s="117">
        <v>7601062</v>
      </c>
      <c r="X9" s="115" t="s">
        <v>1635</v>
      </c>
      <c r="Z9" s="127" t="s">
        <v>1641</v>
      </c>
      <c r="AE9" s="88" t="s">
        <v>1778</v>
      </c>
      <c r="AF9" s="88" t="s">
        <v>1779</v>
      </c>
    </row>
    <row r="10" spans="1:32" ht="17.45" customHeight="1">
      <c r="A10" s="74"/>
      <c r="B10" s="96" t="e">
        <f t="shared" si="0"/>
        <v>#VALUE!</v>
      </c>
      <c r="C10" s="112">
        <v>43889</v>
      </c>
      <c r="D10" s="98" t="s">
        <v>2218</v>
      </c>
      <c r="E10" s="98">
        <v>7601108</v>
      </c>
      <c r="F10" s="113" t="s">
        <v>2217</v>
      </c>
      <c r="G10" s="100" t="s">
        <v>58</v>
      </c>
      <c r="H10" s="101" t="s">
        <v>1789</v>
      </c>
      <c r="I10" s="98" t="s">
        <v>2218</v>
      </c>
      <c r="J10" s="102">
        <v>1</v>
      </c>
      <c r="K10" s="103" t="s">
        <v>1810</v>
      </c>
      <c r="L10" s="105">
        <v>1</v>
      </c>
      <c r="M10" s="218" t="s">
        <v>1596</v>
      </c>
      <c r="N10" s="217" t="str">
        <f t="shared" si="1"/>
        <v>11</v>
      </c>
      <c r="O10" s="107"/>
      <c r="P10" s="114" t="s">
        <v>2218</v>
      </c>
      <c r="Q10" s="107"/>
      <c r="R10" s="115" t="s">
        <v>1599</v>
      </c>
      <c r="S10" s="92" t="s">
        <v>1570</v>
      </c>
      <c r="T10" s="110"/>
      <c r="U10" s="94" t="s">
        <v>1599</v>
      </c>
      <c r="V10" s="107"/>
      <c r="W10" s="117">
        <v>7601108</v>
      </c>
      <c r="X10" s="115" t="s">
        <v>1599</v>
      </c>
      <c r="Z10" s="116"/>
      <c r="AA10" s="107"/>
      <c r="AE10" s="88" t="s">
        <v>1778</v>
      </c>
      <c r="AF10" s="88" t="s">
        <v>1779</v>
      </c>
    </row>
    <row r="11" spans="1:32" ht="17.45" customHeight="1">
      <c r="B11" s="96" t="e">
        <f t="shared" si="0"/>
        <v>#VALUE!</v>
      </c>
      <c r="C11" s="112">
        <v>36134</v>
      </c>
      <c r="D11" s="98" t="s">
        <v>1788</v>
      </c>
      <c r="E11" s="98">
        <v>7600093</v>
      </c>
      <c r="F11" s="113" t="s">
        <v>1781</v>
      </c>
      <c r="G11" s="100" t="s">
        <v>454</v>
      </c>
      <c r="H11" s="101" t="s">
        <v>1791</v>
      </c>
      <c r="I11" s="98" t="s">
        <v>1788</v>
      </c>
      <c r="J11" s="102">
        <v>2</v>
      </c>
      <c r="K11" s="103" t="s">
        <v>1784</v>
      </c>
      <c r="L11" s="125">
        <v>7</v>
      </c>
      <c r="M11" s="130" t="s">
        <v>1657</v>
      </c>
      <c r="N11" s="217" t="str">
        <f t="shared" si="1"/>
        <v>27</v>
      </c>
      <c r="O11" s="107"/>
      <c r="P11" s="114" t="s">
        <v>1783</v>
      </c>
      <c r="Q11" s="107"/>
      <c r="R11" s="115" t="s">
        <v>1658</v>
      </c>
      <c r="S11" s="92" t="s">
        <v>1577</v>
      </c>
      <c r="T11" s="110"/>
      <c r="U11" s="94" t="s">
        <v>1658</v>
      </c>
      <c r="V11" s="107"/>
      <c r="W11" s="117">
        <v>7600033</v>
      </c>
      <c r="X11" s="115" t="s">
        <v>1658</v>
      </c>
      <c r="Z11" s="127" t="s">
        <v>1690</v>
      </c>
      <c r="AE11" s="88" t="s">
        <v>1778</v>
      </c>
      <c r="AF11" s="88" t="s">
        <v>1779</v>
      </c>
    </row>
    <row r="12" spans="1:32" ht="17.45" customHeight="1">
      <c r="B12" s="96" t="e">
        <f>#REF!+1</f>
        <v>#REF!</v>
      </c>
      <c r="C12" s="112">
        <v>41271</v>
      </c>
      <c r="D12" s="98" t="s">
        <v>1790</v>
      </c>
      <c r="E12" s="118">
        <v>7600713</v>
      </c>
      <c r="F12" s="119" t="s">
        <v>1781</v>
      </c>
      <c r="G12" s="120" t="s">
        <v>456</v>
      </c>
      <c r="H12" s="121" t="s">
        <v>1791</v>
      </c>
      <c r="I12" s="98" t="s">
        <v>1790</v>
      </c>
      <c r="J12" s="122">
        <v>2</v>
      </c>
      <c r="K12" s="123" t="s">
        <v>1784</v>
      </c>
      <c r="L12" s="125">
        <v>7</v>
      </c>
      <c r="M12" s="130" t="s">
        <v>1657</v>
      </c>
      <c r="N12" s="217" t="str">
        <f t="shared" si="1"/>
        <v>27</v>
      </c>
      <c r="O12" s="107"/>
      <c r="P12" s="114" t="s">
        <v>1783</v>
      </c>
      <c r="Q12" s="107"/>
      <c r="R12" s="115" t="s">
        <v>1658</v>
      </c>
      <c r="S12" s="92" t="s">
        <v>1577</v>
      </c>
      <c r="T12" s="110"/>
      <c r="U12" s="94" t="s">
        <v>1658</v>
      </c>
      <c r="V12" s="107"/>
      <c r="W12" s="117">
        <v>7600033</v>
      </c>
      <c r="X12" s="115" t="s">
        <v>1658</v>
      </c>
      <c r="Z12" s="127" t="s">
        <v>1798</v>
      </c>
      <c r="AE12" s="88" t="s">
        <v>1778</v>
      </c>
      <c r="AF12" s="88" t="s">
        <v>1779</v>
      </c>
    </row>
    <row r="13" spans="1:32" ht="17.45" customHeight="1">
      <c r="B13" s="96" t="e">
        <f t="shared" ref="B13:B76" si="2">B12+1</f>
        <v>#REF!</v>
      </c>
      <c r="C13" s="112">
        <v>35781</v>
      </c>
      <c r="D13" s="98" t="s">
        <v>1783</v>
      </c>
      <c r="E13" s="118">
        <v>7600033</v>
      </c>
      <c r="F13" s="119" t="s">
        <v>1781</v>
      </c>
      <c r="G13" s="120" t="s">
        <v>461</v>
      </c>
      <c r="H13" s="121" t="s">
        <v>1791</v>
      </c>
      <c r="I13" s="98" t="s">
        <v>1783</v>
      </c>
      <c r="J13" s="122">
        <v>2</v>
      </c>
      <c r="K13" s="123" t="s">
        <v>1784</v>
      </c>
      <c r="L13" s="125">
        <v>7</v>
      </c>
      <c r="M13" s="130" t="s">
        <v>1657</v>
      </c>
      <c r="N13" s="217" t="str">
        <f t="shared" si="1"/>
        <v>27</v>
      </c>
      <c r="O13" s="107"/>
      <c r="P13" s="117" t="s">
        <v>1783</v>
      </c>
      <c r="Q13" s="107"/>
      <c r="R13" s="115" t="s">
        <v>1658</v>
      </c>
      <c r="S13" s="92" t="s">
        <v>1577</v>
      </c>
      <c r="T13" s="110"/>
      <c r="U13" s="94" t="s">
        <v>1658</v>
      </c>
      <c r="V13" s="107"/>
      <c r="W13" s="117">
        <v>7600033</v>
      </c>
      <c r="X13" s="115" t="s">
        <v>1658</v>
      </c>
      <c r="Z13" s="127" t="s">
        <v>1635</v>
      </c>
      <c r="AE13" s="88" t="s">
        <v>1778</v>
      </c>
      <c r="AF13" s="88" t="s">
        <v>1779</v>
      </c>
    </row>
    <row r="14" spans="1:32" ht="17.45" customHeight="1">
      <c r="B14" s="96" t="e">
        <f t="shared" si="2"/>
        <v>#REF!</v>
      </c>
      <c r="C14" s="112">
        <v>42733</v>
      </c>
      <c r="D14" s="98" t="s">
        <v>1792</v>
      </c>
      <c r="E14" s="98">
        <v>7600951</v>
      </c>
      <c r="F14" s="113" t="s">
        <v>1781</v>
      </c>
      <c r="G14" s="100" t="s">
        <v>464</v>
      </c>
      <c r="H14" s="101" t="s">
        <v>1791</v>
      </c>
      <c r="I14" s="98" t="s">
        <v>1792</v>
      </c>
      <c r="J14" s="102">
        <v>2</v>
      </c>
      <c r="K14" s="103" t="s">
        <v>1784</v>
      </c>
      <c r="L14" s="124">
        <v>7</v>
      </c>
      <c r="M14" s="125" t="s">
        <v>1657</v>
      </c>
      <c r="N14" s="106" t="str">
        <f t="shared" si="1"/>
        <v>27</v>
      </c>
      <c r="O14" s="107"/>
      <c r="P14" s="114" t="s">
        <v>1783</v>
      </c>
      <c r="Q14" s="107"/>
      <c r="R14" s="115" t="s">
        <v>1658</v>
      </c>
      <c r="S14" s="92" t="s">
        <v>1577</v>
      </c>
      <c r="T14" s="110"/>
      <c r="U14" s="94" t="s">
        <v>1658</v>
      </c>
      <c r="V14" s="107"/>
      <c r="W14" s="117">
        <v>7600033</v>
      </c>
      <c r="X14" s="115" t="s">
        <v>1658</v>
      </c>
      <c r="Z14" s="127" t="s">
        <v>1678</v>
      </c>
      <c r="AE14" s="88" t="s">
        <v>1778</v>
      </c>
      <c r="AF14" s="88" t="s">
        <v>1779</v>
      </c>
    </row>
    <row r="15" spans="1:32" ht="17.45" customHeight="1">
      <c r="B15" s="96" t="e">
        <f t="shared" si="2"/>
        <v>#REF!</v>
      </c>
      <c r="C15" s="112">
        <v>41247</v>
      </c>
      <c r="D15" s="98" t="s">
        <v>2294</v>
      </c>
      <c r="E15" s="98">
        <v>7600770</v>
      </c>
      <c r="F15" s="113" t="s">
        <v>1978</v>
      </c>
      <c r="G15" s="100" t="s">
        <v>646</v>
      </c>
      <c r="H15" s="101" t="s">
        <v>1806</v>
      </c>
      <c r="I15" s="98" t="s">
        <v>2294</v>
      </c>
      <c r="J15" s="126">
        <v>3</v>
      </c>
      <c r="K15" s="124" t="s">
        <v>1802</v>
      </c>
      <c r="L15" s="124">
        <v>3</v>
      </c>
      <c r="M15" s="125" t="s">
        <v>1677</v>
      </c>
      <c r="N15" s="106" t="str">
        <f t="shared" si="1"/>
        <v>33</v>
      </c>
      <c r="O15" s="107"/>
      <c r="P15" s="114" t="s">
        <v>1980</v>
      </c>
      <c r="Q15" s="107"/>
      <c r="R15" s="115" t="s">
        <v>1681</v>
      </c>
      <c r="S15" s="92" t="s">
        <v>1583</v>
      </c>
      <c r="T15" s="110"/>
      <c r="U15" s="94" t="s">
        <v>1681</v>
      </c>
      <c r="V15" s="107"/>
      <c r="W15" s="117">
        <v>7600690</v>
      </c>
      <c r="X15" s="115" t="s">
        <v>1681</v>
      </c>
      <c r="Z15" s="116"/>
      <c r="AE15" s="88" t="s">
        <v>1778</v>
      </c>
      <c r="AF15" s="88" t="s">
        <v>1779</v>
      </c>
    </row>
    <row r="16" spans="1:32" ht="17.100000000000001" customHeight="1">
      <c r="B16" s="96" t="e">
        <f t="shared" si="2"/>
        <v>#REF!</v>
      </c>
      <c r="C16" s="112">
        <v>41600</v>
      </c>
      <c r="D16" s="98" t="s">
        <v>1980</v>
      </c>
      <c r="E16" s="98">
        <v>7600690</v>
      </c>
      <c r="F16" s="113" t="s">
        <v>1978</v>
      </c>
      <c r="G16" s="100" t="s">
        <v>652</v>
      </c>
      <c r="H16" s="101" t="s">
        <v>1806</v>
      </c>
      <c r="I16" s="98" t="s">
        <v>1980</v>
      </c>
      <c r="J16" s="102">
        <v>3</v>
      </c>
      <c r="K16" s="103" t="s">
        <v>1802</v>
      </c>
      <c r="L16" s="124">
        <v>3</v>
      </c>
      <c r="M16" s="125" t="s">
        <v>1677</v>
      </c>
      <c r="N16" s="106" t="str">
        <f t="shared" si="1"/>
        <v>33</v>
      </c>
      <c r="O16" s="107"/>
      <c r="P16" s="114" t="s">
        <v>1980</v>
      </c>
      <c r="Q16" s="107"/>
      <c r="R16" s="115" t="s">
        <v>1681</v>
      </c>
      <c r="S16" s="92" t="s">
        <v>1583</v>
      </c>
      <c r="T16" s="110"/>
      <c r="U16" s="94" t="s">
        <v>1681</v>
      </c>
      <c r="V16" s="107"/>
      <c r="W16" s="117">
        <v>7600690</v>
      </c>
      <c r="X16" s="115" t="s">
        <v>1681</v>
      </c>
      <c r="Z16" s="116"/>
      <c r="AE16" s="88" t="s">
        <v>1778</v>
      </c>
      <c r="AF16" s="88" t="s">
        <v>1779</v>
      </c>
    </row>
    <row r="17" spans="2:32" ht="17.45" customHeight="1">
      <c r="B17" s="96" t="e">
        <f t="shared" si="2"/>
        <v>#REF!</v>
      </c>
      <c r="C17" s="112">
        <v>41999</v>
      </c>
      <c r="D17" s="98" t="s">
        <v>1982</v>
      </c>
      <c r="E17" s="98">
        <v>7600820</v>
      </c>
      <c r="F17" s="113" t="s">
        <v>1978</v>
      </c>
      <c r="G17" s="100" t="s">
        <v>657</v>
      </c>
      <c r="H17" s="101" t="s">
        <v>1806</v>
      </c>
      <c r="I17" s="98" t="s">
        <v>1982</v>
      </c>
      <c r="J17" s="126">
        <v>3</v>
      </c>
      <c r="K17" s="124" t="s">
        <v>1802</v>
      </c>
      <c r="L17" s="124">
        <v>3</v>
      </c>
      <c r="M17" s="125" t="s">
        <v>1677</v>
      </c>
      <c r="N17" s="106" t="str">
        <f t="shared" si="1"/>
        <v>33</v>
      </c>
      <c r="O17" s="107"/>
      <c r="P17" s="114" t="s">
        <v>1980</v>
      </c>
      <c r="Q17" s="107"/>
      <c r="R17" s="115" t="s">
        <v>1681</v>
      </c>
      <c r="S17" s="92" t="s">
        <v>1583</v>
      </c>
      <c r="T17" s="110"/>
      <c r="U17" s="94" t="s">
        <v>1681</v>
      </c>
      <c r="V17" s="107"/>
      <c r="W17" s="117">
        <v>7600690</v>
      </c>
      <c r="X17" s="115" t="s">
        <v>1681</v>
      </c>
      <c r="Z17" s="116"/>
      <c r="AE17" s="88" t="s">
        <v>1778</v>
      </c>
      <c r="AF17" s="88" t="s">
        <v>1779</v>
      </c>
    </row>
    <row r="18" spans="2:32" ht="17.45" customHeight="1">
      <c r="B18" s="96" t="e">
        <f t="shared" si="2"/>
        <v>#REF!</v>
      </c>
      <c r="C18" s="112">
        <v>41989</v>
      </c>
      <c r="D18" s="98" t="s">
        <v>1981</v>
      </c>
      <c r="E18" s="98">
        <v>7600813</v>
      </c>
      <c r="F18" s="113" t="s">
        <v>1978</v>
      </c>
      <c r="G18" s="100" t="s">
        <v>662</v>
      </c>
      <c r="H18" s="101" t="s">
        <v>1806</v>
      </c>
      <c r="I18" s="98" t="s">
        <v>1981</v>
      </c>
      <c r="J18" s="126">
        <v>3</v>
      </c>
      <c r="K18" s="124" t="s">
        <v>1802</v>
      </c>
      <c r="L18" s="124">
        <v>3</v>
      </c>
      <c r="M18" s="125" t="s">
        <v>1677</v>
      </c>
      <c r="N18" s="106" t="str">
        <f t="shared" si="1"/>
        <v>33</v>
      </c>
      <c r="O18" s="107"/>
      <c r="P18" s="114" t="s">
        <v>1980</v>
      </c>
      <c r="Q18" s="107"/>
      <c r="R18" s="115" t="s">
        <v>1681</v>
      </c>
      <c r="S18" s="92" t="s">
        <v>1583</v>
      </c>
      <c r="T18" s="110"/>
      <c r="U18" s="94" t="s">
        <v>1681</v>
      </c>
      <c r="V18" s="107"/>
      <c r="W18" s="117">
        <v>7600690</v>
      </c>
      <c r="X18" s="115" t="s">
        <v>1681</v>
      </c>
      <c r="Z18" s="116"/>
      <c r="AE18" s="88" t="s">
        <v>1778</v>
      </c>
      <c r="AF18" s="88" t="s">
        <v>1779</v>
      </c>
    </row>
    <row r="19" spans="2:32" ht="17.45" customHeight="1">
      <c r="B19" s="96" t="e">
        <f t="shared" si="2"/>
        <v>#REF!</v>
      </c>
      <c r="C19" s="112">
        <v>40542</v>
      </c>
      <c r="D19" s="98" t="s">
        <v>2168</v>
      </c>
      <c r="E19" s="98">
        <v>7600560</v>
      </c>
      <c r="F19" s="113" t="s">
        <v>2163</v>
      </c>
      <c r="G19" s="100" t="s">
        <v>101</v>
      </c>
      <c r="H19" s="101" t="s">
        <v>1815</v>
      </c>
      <c r="I19" s="98" t="s">
        <v>2168</v>
      </c>
      <c r="J19" s="102">
        <v>1</v>
      </c>
      <c r="K19" s="103" t="s">
        <v>1810</v>
      </c>
      <c r="L19" s="124">
        <v>7</v>
      </c>
      <c r="M19" s="125" t="s">
        <v>1622</v>
      </c>
      <c r="N19" s="106" t="str">
        <f t="shared" si="1"/>
        <v>17</v>
      </c>
      <c r="O19" s="107"/>
      <c r="P19" s="114" t="s">
        <v>2164</v>
      </c>
      <c r="Q19" s="107"/>
      <c r="R19" s="115" t="s">
        <v>1626</v>
      </c>
      <c r="S19" s="92" t="s">
        <v>1576</v>
      </c>
      <c r="T19" s="110"/>
      <c r="U19" s="94" t="s">
        <v>1626</v>
      </c>
      <c r="V19" s="107"/>
      <c r="W19" s="117">
        <v>7600007</v>
      </c>
      <c r="X19" s="115" t="s">
        <v>1626</v>
      </c>
      <c r="Z19" s="116"/>
      <c r="AE19" s="88" t="s">
        <v>1778</v>
      </c>
      <c r="AF19" s="88" t="s">
        <v>1779</v>
      </c>
    </row>
    <row r="20" spans="2:32" ht="17.45" customHeight="1">
      <c r="B20" s="96" t="e">
        <f t="shared" si="2"/>
        <v>#REF!</v>
      </c>
      <c r="C20" s="112">
        <v>36972</v>
      </c>
      <c r="D20" s="98" t="s">
        <v>2166</v>
      </c>
      <c r="E20" s="98">
        <v>7600219</v>
      </c>
      <c r="F20" s="113" t="s">
        <v>2163</v>
      </c>
      <c r="G20" s="100" t="s">
        <v>108</v>
      </c>
      <c r="H20" s="101" t="s">
        <v>1815</v>
      </c>
      <c r="I20" s="98" t="s">
        <v>2166</v>
      </c>
      <c r="J20" s="102">
        <v>1</v>
      </c>
      <c r="K20" s="103" t="s">
        <v>1810</v>
      </c>
      <c r="L20" s="124">
        <v>7</v>
      </c>
      <c r="M20" s="125" t="s">
        <v>1622</v>
      </c>
      <c r="N20" s="106" t="str">
        <f t="shared" si="1"/>
        <v>17</v>
      </c>
      <c r="O20" s="107"/>
      <c r="P20" s="114" t="s">
        <v>2164</v>
      </c>
      <c r="Q20" s="107"/>
      <c r="R20" s="115" t="s">
        <v>1626</v>
      </c>
      <c r="S20" s="92" t="s">
        <v>1576</v>
      </c>
      <c r="T20" s="110"/>
      <c r="U20" s="94" t="s">
        <v>1626</v>
      </c>
      <c r="V20" s="107"/>
      <c r="W20" s="117">
        <v>7600007</v>
      </c>
      <c r="X20" s="115" t="s">
        <v>1626</v>
      </c>
      <c r="Z20" s="116"/>
      <c r="AE20" s="88" t="s">
        <v>1778</v>
      </c>
      <c r="AF20" s="88" t="s">
        <v>1779</v>
      </c>
    </row>
    <row r="21" spans="2:32" ht="17.45" customHeight="1">
      <c r="B21" s="96" t="e">
        <f t="shared" si="2"/>
        <v>#REF!</v>
      </c>
      <c r="C21" s="112">
        <v>35455</v>
      </c>
      <c r="D21" s="98" t="s">
        <v>2164</v>
      </c>
      <c r="E21" s="98">
        <v>7600007</v>
      </c>
      <c r="F21" s="113" t="s">
        <v>2163</v>
      </c>
      <c r="G21" s="100" t="s">
        <v>111</v>
      </c>
      <c r="H21" s="101" t="s">
        <v>1815</v>
      </c>
      <c r="I21" s="98" t="s">
        <v>2164</v>
      </c>
      <c r="J21" s="102">
        <v>1</v>
      </c>
      <c r="K21" s="103" t="s">
        <v>1810</v>
      </c>
      <c r="L21" s="124">
        <v>7</v>
      </c>
      <c r="M21" s="125" t="s">
        <v>1622</v>
      </c>
      <c r="N21" s="106" t="str">
        <f t="shared" si="1"/>
        <v>17</v>
      </c>
      <c r="O21" s="107"/>
      <c r="P21" s="114" t="s">
        <v>2164</v>
      </c>
      <c r="Q21" s="107"/>
      <c r="R21" s="115" t="s">
        <v>1626</v>
      </c>
      <c r="S21" s="92" t="s">
        <v>1576</v>
      </c>
      <c r="T21" s="110"/>
      <c r="U21" s="94" t="s">
        <v>1626</v>
      </c>
      <c r="V21" s="107"/>
      <c r="W21" s="117">
        <v>7600007</v>
      </c>
      <c r="X21" s="115" t="s">
        <v>1626</v>
      </c>
      <c r="Z21" s="116"/>
      <c r="AE21" s="88" t="s">
        <v>1778</v>
      </c>
      <c r="AF21" s="88" t="s">
        <v>1779</v>
      </c>
    </row>
    <row r="22" spans="2:32" ht="17.45" customHeight="1">
      <c r="B22" s="96" t="e">
        <f t="shared" si="2"/>
        <v>#REF!</v>
      </c>
      <c r="C22" s="112">
        <v>40892</v>
      </c>
      <c r="D22" s="98" t="s">
        <v>2170</v>
      </c>
      <c r="E22" s="98">
        <v>7600642</v>
      </c>
      <c r="F22" s="113" t="s">
        <v>2163</v>
      </c>
      <c r="G22" s="100" t="s">
        <v>114</v>
      </c>
      <c r="H22" s="101" t="s">
        <v>1815</v>
      </c>
      <c r="I22" s="98" t="s">
        <v>2170</v>
      </c>
      <c r="J22" s="102">
        <v>1</v>
      </c>
      <c r="K22" s="103" t="s">
        <v>1810</v>
      </c>
      <c r="L22" s="124">
        <v>7</v>
      </c>
      <c r="M22" s="125" t="s">
        <v>1622</v>
      </c>
      <c r="N22" s="106" t="str">
        <f t="shared" si="1"/>
        <v>17</v>
      </c>
      <c r="O22" s="107"/>
      <c r="P22" s="114" t="s">
        <v>2164</v>
      </c>
      <c r="Q22" s="107"/>
      <c r="R22" s="115" t="s">
        <v>1626</v>
      </c>
      <c r="S22" s="92" t="s">
        <v>1576</v>
      </c>
      <c r="T22" s="110"/>
      <c r="U22" s="94" t="s">
        <v>1626</v>
      </c>
      <c r="V22" s="107"/>
      <c r="W22" s="117">
        <v>7600007</v>
      </c>
      <c r="X22" s="115" t="s">
        <v>1626</v>
      </c>
      <c r="Z22" s="95"/>
      <c r="AE22" s="88" t="s">
        <v>1778</v>
      </c>
      <c r="AF22" s="88" t="s">
        <v>1779</v>
      </c>
    </row>
    <row r="23" spans="2:32" ht="17.45" customHeight="1">
      <c r="B23" s="96" t="e">
        <f t="shared" si="2"/>
        <v>#REF!</v>
      </c>
      <c r="C23" s="112">
        <v>41627</v>
      </c>
      <c r="D23" s="98" t="s">
        <v>2171</v>
      </c>
      <c r="E23" s="98">
        <v>7600778</v>
      </c>
      <c r="F23" s="113" t="s">
        <v>2163</v>
      </c>
      <c r="G23" s="100" t="s">
        <v>117</v>
      </c>
      <c r="H23" s="101" t="s">
        <v>1815</v>
      </c>
      <c r="I23" s="98" t="s">
        <v>2171</v>
      </c>
      <c r="J23" s="126">
        <v>1</v>
      </c>
      <c r="K23" s="124" t="s">
        <v>1810</v>
      </c>
      <c r="L23" s="124">
        <v>7</v>
      </c>
      <c r="M23" s="125" t="s">
        <v>1622</v>
      </c>
      <c r="N23" s="106" t="str">
        <f t="shared" si="1"/>
        <v>17</v>
      </c>
      <c r="O23" s="107"/>
      <c r="P23" s="114" t="s">
        <v>2164</v>
      </c>
      <c r="Q23" s="107"/>
      <c r="R23" s="115" t="s">
        <v>1626</v>
      </c>
      <c r="S23" s="92" t="s">
        <v>1576</v>
      </c>
      <c r="T23" s="110"/>
      <c r="U23" s="94" t="s">
        <v>1626</v>
      </c>
      <c r="V23" s="107"/>
      <c r="W23" s="117">
        <v>7600007</v>
      </c>
      <c r="X23" s="115" t="s">
        <v>1626</v>
      </c>
      <c r="Z23" s="116"/>
      <c r="AE23" s="88" t="s">
        <v>1778</v>
      </c>
      <c r="AF23" s="88" t="s">
        <v>1779</v>
      </c>
    </row>
    <row r="24" spans="2:32" ht="17.45" customHeight="1">
      <c r="B24" s="96" t="e">
        <f t="shared" si="2"/>
        <v>#REF!</v>
      </c>
      <c r="C24" s="112">
        <v>37256</v>
      </c>
      <c r="D24" s="98" t="s">
        <v>1817</v>
      </c>
      <c r="E24" s="98">
        <v>7601216</v>
      </c>
      <c r="F24" s="113" t="s">
        <v>1808</v>
      </c>
      <c r="G24" s="100" t="s">
        <v>137</v>
      </c>
      <c r="H24" s="101" t="s">
        <v>1828</v>
      </c>
      <c r="I24" s="98" t="s">
        <v>1817</v>
      </c>
      <c r="J24" s="102">
        <v>1</v>
      </c>
      <c r="K24" s="103" t="s">
        <v>1810</v>
      </c>
      <c r="L24" s="124">
        <v>3</v>
      </c>
      <c r="M24" s="125" t="s">
        <v>1604</v>
      </c>
      <c r="N24" s="106" t="str">
        <f t="shared" si="1"/>
        <v>13</v>
      </c>
      <c r="O24" s="107"/>
      <c r="P24" s="114" t="s">
        <v>1809</v>
      </c>
      <c r="Q24" s="107"/>
      <c r="R24" s="115" t="s">
        <v>1605</v>
      </c>
      <c r="S24" s="92" t="s">
        <v>1572</v>
      </c>
      <c r="T24" s="110"/>
      <c r="U24" s="94" t="s">
        <v>1605</v>
      </c>
      <c r="V24" s="107"/>
      <c r="W24" s="117">
        <v>7600742</v>
      </c>
      <c r="X24" s="115" t="s">
        <v>1605</v>
      </c>
      <c r="Z24" s="127" t="s">
        <v>1633</v>
      </c>
      <c r="AE24" s="88" t="s">
        <v>1778</v>
      </c>
      <c r="AF24" s="88" t="s">
        <v>1779</v>
      </c>
    </row>
    <row r="25" spans="2:32" ht="17.45" customHeight="1">
      <c r="B25" s="96" t="e">
        <f t="shared" si="2"/>
        <v>#REF!</v>
      </c>
      <c r="C25" s="112">
        <v>44866</v>
      </c>
      <c r="D25" s="98" t="s">
        <v>1816</v>
      </c>
      <c r="E25" s="98">
        <v>7601210</v>
      </c>
      <c r="F25" s="113" t="s">
        <v>1808</v>
      </c>
      <c r="G25" s="100" t="s">
        <v>142</v>
      </c>
      <c r="H25" s="101" t="s">
        <v>1828</v>
      </c>
      <c r="I25" s="98" t="s">
        <v>1816</v>
      </c>
      <c r="J25" s="126">
        <v>1</v>
      </c>
      <c r="K25" s="124" t="s">
        <v>1810</v>
      </c>
      <c r="L25" s="124">
        <v>3</v>
      </c>
      <c r="M25" s="125" t="s">
        <v>1604</v>
      </c>
      <c r="N25" s="106" t="str">
        <f t="shared" si="1"/>
        <v>13</v>
      </c>
      <c r="O25" s="107"/>
      <c r="P25" s="114" t="s">
        <v>1809</v>
      </c>
      <c r="Q25" s="107"/>
      <c r="R25" s="115" t="s">
        <v>1605</v>
      </c>
      <c r="S25" s="92" t="s">
        <v>1572</v>
      </c>
      <c r="T25" s="110"/>
      <c r="U25" s="94" t="s">
        <v>1605</v>
      </c>
      <c r="V25" s="107"/>
      <c r="W25" s="117">
        <v>7600742</v>
      </c>
      <c r="X25" s="115" t="s">
        <v>1605</v>
      </c>
      <c r="Z25" s="127" t="s">
        <v>1610</v>
      </c>
      <c r="AE25" s="88" t="s">
        <v>1778</v>
      </c>
      <c r="AF25" s="88" t="s">
        <v>1779</v>
      </c>
    </row>
    <row r="26" spans="2:32" ht="17.45" customHeight="1">
      <c r="B26" s="96" t="e">
        <f t="shared" si="2"/>
        <v>#REF!</v>
      </c>
      <c r="C26" s="112">
        <v>45202</v>
      </c>
      <c r="D26" s="98" t="s">
        <v>1819</v>
      </c>
      <c r="E26" s="98">
        <v>7601224</v>
      </c>
      <c r="F26" s="113" t="s">
        <v>1808</v>
      </c>
      <c r="G26" s="128" t="s">
        <v>1818</v>
      </c>
      <c r="H26" s="101" t="s">
        <v>1828</v>
      </c>
      <c r="I26" s="98" t="s">
        <v>1819</v>
      </c>
      <c r="J26" s="102">
        <v>1</v>
      </c>
      <c r="K26" s="103" t="s">
        <v>1810</v>
      </c>
      <c r="L26" s="124">
        <v>3</v>
      </c>
      <c r="M26" s="125" t="s">
        <v>1604</v>
      </c>
      <c r="N26" s="106" t="str">
        <f t="shared" si="1"/>
        <v>13</v>
      </c>
      <c r="O26" s="107"/>
      <c r="P26" s="114" t="s">
        <v>1809</v>
      </c>
      <c r="Q26" s="107"/>
      <c r="R26" s="115" t="s">
        <v>1605</v>
      </c>
      <c r="S26" s="92" t="s">
        <v>1572</v>
      </c>
      <c r="T26" s="110"/>
      <c r="U26" s="94" t="s">
        <v>1605</v>
      </c>
      <c r="V26" s="107"/>
      <c r="W26" s="117">
        <v>7600742</v>
      </c>
      <c r="X26" s="115" t="s">
        <v>1605</v>
      </c>
      <c r="Z26" s="127" t="s">
        <v>1834</v>
      </c>
      <c r="AE26" s="88" t="s">
        <v>1778</v>
      </c>
      <c r="AF26" s="88" t="s">
        <v>1779</v>
      </c>
    </row>
    <row r="27" spans="2:32" ht="17.45" customHeight="1">
      <c r="B27" s="96" t="e">
        <f t="shared" si="2"/>
        <v>#REF!</v>
      </c>
      <c r="C27" s="112">
        <v>41628</v>
      </c>
      <c r="D27" s="98" t="s">
        <v>1813</v>
      </c>
      <c r="E27" s="98">
        <v>7600777</v>
      </c>
      <c r="F27" s="113" t="s">
        <v>1808</v>
      </c>
      <c r="G27" s="100" t="s">
        <v>148</v>
      </c>
      <c r="H27" s="101" t="s">
        <v>1828</v>
      </c>
      <c r="I27" s="98" t="s">
        <v>1813</v>
      </c>
      <c r="J27" s="126">
        <v>1</v>
      </c>
      <c r="K27" s="124" t="s">
        <v>1810</v>
      </c>
      <c r="L27" s="124">
        <v>3</v>
      </c>
      <c r="M27" s="125" t="s">
        <v>1604</v>
      </c>
      <c r="N27" s="106" t="str">
        <f t="shared" si="1"/>
        <v>13</v>
      </c>
      <c r="O27" s="107"/>
      <c r="P27" s="114" t="s">
        <v>1809</v>
      </c>
      <c r="Q27" s="107"/>
      <c r="R27" s="115" t="s">
        <v>1605</v>
      </c>
      <c r="S27" s="92" t="s">
        <v>1572</v>
      </c>
      <c r="T27" s="110"/>
      <c r="U27" s="94" t="s">
        <v>1605</v>
      </c>
      <c r="V27" s="107"/>
      <c r="W27" s="117">
        <v>7600742</v>
      </c>
      <c r="X27" s="115" t="s">
        <v>1605</v>
      </c>
      <c r="Z27" s="127" t="s">
        <v>1714</v>
      </c>
      <c r="AE27" s="88" t="s">
        <v>1778</v>
      </c>
      <c r="AF27" s="88" t="s">
        <v>1779</v>
      </c>
    </row>
    <row r="28" spans="2:32" ht="17.45" customHeight="1">
      <c r="B28" s="96" t="e">
        <f t="shared" si="2"/>
        <v>#REF!</v>
      </c>
      <c r="C28" s="112">
        <v>41486</v>
      </c>
      <c r="D28" s="98" t="s">
        <v>1809</v>
      </c>
      <c r="E28" s="98">
        <v>7600742</v>
      </c>
      <c r="F28" s="113" t="s">
        <v>1808</v>
      </c>
      <c r="G28" s="100" t="s">
        <v>151</v>
      </c>
      <c r="H28" s="101" t="s">
        <v>1828</v>
      </c>
      <c r="I28" s="98" t="s">
        <v>1809</v>
      </c>
      <c r="J28" s="126">
        <v>1</v>
      </c>
      <c r="K28" s="124" t="s">
        <v>1810</v>
      </c>
      <c r="L28" s="124">
        <v>3</v>
      </c>
      <c r="M28" s="125" t="s">
        <v>1604</v>
      </c>
      <c r="N28" s="106" t="str">
        <f t="shared" si="1"/>
        <v>13</v>
      </c>
      <c r="O28" s="107"/>
      <c r="P28" s="114" t="s">
        <v>1809</v>
      </c>
      <c r="Q28" s="107"/>
      <c r="R28" s="115" t="s">
        <v>1605</v>
      </c>
      <c r="S28" s="92" t="s">
        <v>1572</v>
      </c>
      <c r="T28" s="110"/>
      <c r="U28" s="94" t="s">
        <v>1605</v>
      </c>
      <c r="V28" s="107"/>
      <c r="W28" s="117">
        <v>7600742</v>
      </c>
      <c r="X28" s="115" t="s">
        <v>1605</v>
      </c>
      <c r="Z28" s="127" t="s">
        <v>1688</v>
      </c>
      <c r="AE28" s="88" t="s">
        <v>1778</v>
      </c>
      <c r="AF28" s="88" t="s">
        <v>1779</v>
      </c>
    </row>
    <row r="29" spans="2:32" ht="17.45" customHeight="1">
      <c r="B29" s="96" t="e">
        <f t="shared" si="2"/>
        <v>#REF!</v>
      </c>
      <c r="C29" s="112">
        <v>42502</v>
      </c>
      <c r="D29" s="98" t="s">
        <v>1814</v>
      </c>
      <c r="E29" s="98">
        <v>7600873</v>
      </c>
      <c r="F29" s="113" t="s">
        <v>1808</v>
      </c>
      <c r="G29" s="100" t="s">
        <v>154</v>
      </c>
      <c r="H29" s="101" t="s">
        <v>1828</v>
      </c>
      <c r="I29" s="98" t="s">
        <v>1814</v>
      </c>
      <c r="J29" s="126">
        <v>1</v>
      </c>
      <c r="K29" s="124" t="s">
        <v>1810</v>
      </c>
      <c r="L29" s="124">
        <v>3</v>
      </c>
      <c r="M29" s="125" t="s">
        <v>1604</v>
      </c>
      <c r="N29" s="106" t="str">
        <f t="shared" si="1"/>
        <v>13</v>
      </c>
      <c r="O29" s="107"/>
      <c r="P29" s="114" t="s">
        <v>1809</v>
      </c>
      <c r="Q29" s="107"/>
      <c r="R29" s="115" t="s">
        <v>1605</v>
      </c>
      <c r="S29" s="92" t="s">
        <v>1572</v>
      </c>
      <c r="T29" s="110"/>
      <c r="U29" s="94" t="s">
        <v>1605</v>
      </c>
      <c r="V29" s="107"/>
      <c r="W29" s="117">
        <v>7600742</v>
      </c>
      <c r="X29" s="115" t="s">
        <v>1605</v>
      </c>
      <c r="Z29" s="127" t="s">
        <v>1649</v>
      </c>
      <c r="AE29" s="88" t="s">
        <v>1778</v>
      </c>
      <c r="AF29" s="88" t="s">
        <v>1779</v>
      </c>
    </row>
    <row r="30" spans="2:32" ht="17.45" customHeight="1">
      <c r="B30" s="96" t="e">
        <f t="shared" si="2"/>
        <v>#REF!</v>
      </c>
      <c r="C30" s="112">
        <v>41563</v>
      </c>
      <c r="D30" s="98" t="s">
        <v>1822</v>
      </c>
      <c r="E30" s="98">
        <v>7600732</v>
      </c>
      <c r="F30" s="113" t="s">
        <v>1820</v>
      </c>
      <c r="G30" s="100" t="s">
        <v>1821</v>
      </c>
      <c r="H30" s="101" t="s">
        <v>2180</v>
      </c>
      <c r="I30" s="98" t="s">
        <v>1822</v>
      </c>
      <c r="J30" s="126">
        <v>4</v>
      </c>
      <c r="K30" s="124" t="s">
        <v>1774</v>
      </c>
      <c r="L30" s="124">
        <v>4</v>
      </c>
      <c r="M30" s="125" t="s">
        <v>1721</v>
      </c>
      <c r="N30" s="106" t="str">
        <f t="shared" si="1"/>
        <v>44</v>
      </c>
      <c r="O30" s="107"/>
      <c r="P30" s="114" t="s">
        <v>1822</v>
      </c>
      <c r="Q30" s="107"/>
      <c r="R30" s="115" t="s">
        <v>1722</v>
      </c>
      <c r="S30" s="92" t="s">
        <v>1590</v>
      </c>
      <c r="T30" s="110"/>
      <c r="U30" s="94" t="s">
        <v>1722</v>
      </c>
      <c r="V30" s="107"/>
      <c r="W30" s="117">
        <v>7600732</v>
      </c>
      <c r="X30" s="115" t="s">
        <v>1722</v>
      </c>
      <c r="Z30" s="127" t="s">
        <v>1738</v>
      </c>
      <c r="AE30" s="88" t="s">
        <v>1778</v>
      </c>
      <c r="AF30" s="88" t="s">
        <v>1779</v>
      </c>
    </row>
    <row r="31" spans="2:32" ht="17.45" customHeight="1">
      <c r="B31" s="96" t="e">
        <f t="shared" si="2"/>
        <v>#REF!</v>
      </c>
      <c r="C31" s="112">
        <v>42094</v>
      </c>
      <c r="D31" s="98" t="s">
        <v>1829</v>
      </c>
      <c r="E31" s="98">
        <v>7600878</v>
      </c>
      <c r="F31" s="113" t="s">
        <v>1824</v>
      </c>
      <c r="G31" s="100" t="s">
        <v>1156</v>
      </c>
      <c r="H31" s="101" t="s">
        <v>1839</v>
      </c>
      <c r="I31" s="98" t="s">
        <v>1829</v>
      </c>
      <c r="J31" s="126">
        <v>3</v>
      </c>
      <c r="K31" s="124" t="s">
        <v>1802</v>
      </c>
      <c r="L31" s="124">
        <v>3</v>
      </c>
      <c r="M31" s="125" t="s">
        <v>1677</v>
      </c>
      <c r="N31" s="106" t="str">
        <f t="shared" si="1"/>
        <v>33</v>
      </c>
      <c r="O31" s="107"/>
      <c r="P31" s="114" t="s">
        <v>1829</v>
      </c>
      <c r="Q31" s="107"/>
      <c r="R31" s="115" t="s">
        <v>1678</v>
      </c>
      <c r="S31" s="92" t="s">
        <v>1583</v>
      </c>
      <c r="T31" s="110"/>
      <c r="U31" s="94" t="s">
        <v>1678</v>
      </c>
      <c r="V31" s="107"/>
      <c r="W31" s="117">
        <v>7600878</v>
      </c>
      <c r="X31" s="115" t="s">
        <v>1678</v>
      </c>
      <c r="Y31" s="147"/>
      <c r="Z31" s="127" t="s">
        <v>1619</v>
      </c>
      <c r="AE31" s="88" t="s">
        <v>1778</v>
      </c>
      <c r="AF31" s="88" t="s">
        <v>1779</v>
      </c>
    </row>
    <row r="32" spans="2:32" ht="17.45" customHeight="1">
      <c r="B32" s="96" t="e">
        <f t="shared" si="2"/>
        <v>#REF!</v>
      </c>
      <c r="C32" s="112">
        <v>35468</v>
      </c>
      <c r="D32" s="98" t="s">
        <v>1830</v>
      </c>
      <c r="E32" s="98">
        <v>7601134</v>
      </c>
      <c r="F32" s="113" t="s">
        <v>1824</v>
      </c>
      <c r="G32" s="100" t="s">
        <v>666</v>
      </c>
      <c r="H32" s="101" t="s">
        <v>1839</v>
      </c>
      <c r="I32" s="98" t="s">
        <v>1830</v>
      </c>
      <c r="J32" s="126">
        <v>3</v>
      </c>
      <c r="K32" s="124" t="s">
        <v>1802</v>
      </c>
      <c r="L32" s="124">
        <v>3</v>
      </c>
      <c r="M32" s="125" t="s">
        <v>1677</v>
      </c>
      <c r="N32" s="106" t="str">
        <f t="shared" si="1"/>
        <v>33</v>
      </c>
      <c r="O32" s="107"/>
      <c r="P32" s="114" t="s">
        <v>1829</v>
      </c>
      <c r="Q32" s="107"/>
      <c r="R32" s="115" t="s">
        <v>1678</v>
      </c>
      <c r="S32" s="92" t="s">
        <v>1583</v>
      </c>
      <c r="T32" s="110"/>
      <c r="U32" s="94" t="s">
        <v>1678</v>
      </c>
      <c r="V32" s="107"/>
      <c r="W32" s="117">
        <v>7600878</v>
      </c>
      <c r="X32" s="115" t="s">
        <v>1678</v>
      </c>
      <c r="Y32" s="147"/>
      <c r="Z32" s="127" t="s">
        <v>1639</v>
      </c>
      <c r="AE32" s="88" t="s">
        <v>1778</v>
      </c>
      <c r="AF32" s="88" t="s">
        <v>1779</v>
      </c>
    </row>
    <row r="33" spans="1:52" ht="17.45" customHeight="1">
      <c r="B33" s="96" t="e">
        <f t="shared" si="2"/>
        <v>#REF!</v>
      </c>
      <c r="C33" s="112">
        <v>40542</v>
      </c>
      <c r="D33" s="98" t="s">
        <v>1825</v>
      </c>
      <c r="E33" s="98">
        <v>7600968</v>
      </c>
      <c r="F33" s="113" t="s">
        <v>1824</v>
      </c>
      <c r="G33" s="100" t="s">
        <v>673</v>
      </c>
      <c r="H33" s="101" t="s">
        <v>1839</v>
      </c>
      <c r="I33" s="98" t="s">
        <v>1825</v>
      </c>
      <c r="J33" s="102">
        <v>3</v>
      </c>
      <c r="K33" s="103" t="s">
        <v>1802</v>
      </c>
      <c r="L33" s="124">
        <v>3</v>
      </c>
      <c r="M33" s="125" t="s">
        <v>1677</v>
      </c>
      <c r="N33" s="106" t="str">
        <f t="shared" si="1"/>
        <v>33</v>
      </c>
      <c r="O33" s="107"/>
      <c r="P33" s="114" t="s">
        <v>1829</v>
      </c>
      <c r="Q33" s="107"/>
      <c r="R33" s="115" t="s">
        <v>1678</v>
      </c>
      <c r="S33" s="92" t="s">
        <v>1583</v>
      </c>
      <c r="T33" s="110"/>
      <c r="U33" s="94" t="s">
        <v>1678</v>
      </c>
      <c r="V33" s="107"/>
      <c r="W33" s="117">
        <v>7600878</v>
      </c>
      <c r="X33" s="115" t="s">
        <v>1678</v>
      </c>
      <c r="Y33" s="147"/>
      <c r="Z33" s="127" t="s">
        <v>1691</v>
      </c>
      <c r="AE33" s="88" t="s">
        <v>1778</v>
      </c>
      <c r="AF33" s="88" t="s">
        <v>1779</v>
      </c>
    </row>
    <row r="34" spans="1:52" ht="17.45" customHeight="1">
      <c r="B34" s="96" t="e">
        <f t="shared" si="2"/>
        <v>#REF!</v>
      </c>
      <c r="C34" s="112">
        <v>42366</v>
      </c>
      <c r="D34" s="98" t="s">
        <v>2295</v>
      </c>
      <c r="E34" s="98">
        <v>7600969</v>
      </c>
      <c r="F34" s="113" t="s">
        <v>1824</v>
      </c>
      <c r="G34" s="100" t="s">
        <v>2275</v>
      </c>
      <c r="H34" s="101" t="s">
        <v>1839</v>
      </c>
      <c r="I34" s="98" t="s">
        <v>2295</v>
      </c>
      <c r="J34" s="102">
        <v>3</v>
      </c>
      <c r="K34" s="103" t="s">
        <v>1802</v>
      </c>
      <c r="L34" s="124">
        <v>3</v>
      </c>
      <c r="M34" s="125" t="s">
        <v>1677</v>
      </c>
      <c r="N34" s="106" t="str">
        <f t="shared" si="1"/>
        <v>33</v>
      </c>
      <c r="O34" s="107"/>
      <c r="P34" s="114" t="s">
        <v>1829</v>
      </c>
      <c r="Q34" s="107"/>
      <c r="R34" s="115" t="s">
        <v>1678</v>
      </c>
      <c r="S34" s="92" t="s">
        <v>1583</v>
      </c>
      <c r="T34" s="110"/>
      <c r="U34" s="94" t="s">
        <v>1678</v>
      </c>
      <c r="V34" s="107"/>
      <c r="W34" s="117">
        <v>7600878</v>
      </c>
      <c r="X34" s="115" t="s">
        <v>1678</v>
      </c>
      <c r="Y34" s="147"/>
      <c r="Z34" s="127" t="s">
        <v>1680</v>
      </c>
      <c r="AE34" s="88" t="s">
        <v>1778</v>
      </c>
      <c r="AF34" s="88" t="s">
        <v>1779</v>
      </c>
    </row>
    <row r="35" spans="1:52" ht="17.45" customHeight="1">
      <c r="B35" s="96" t="e">
        <f t="shared" si="2"/>
        <v>#REF!</v>
      </c>
      <c r="C35" s="112">
        <v>40046</v>
      </c>
      <c r="D35" s="98" t="s">
        <v>1832</v>
      </c>
      <c r="E35" s="98">
        <v>7600824</v>
      </c>
      <c r="F35" s="113" t="s">
        <v>1831</v>
      </c>
      <c r="G35" s="100" t="s">
        <v>475</v>
      </c>
      <c r="H35" s="101" t="s">
        <v>1843</v>
      </c>
      <c r="I35" s="98" t="s">
        <v>1832</v>
      </c>
      <c r="J35" s="126">
        <v>2</v>
      </c>
      <c r="K35" s="124" t="s">
        <v>1784</v>
      </c>
      <c r="L35" s="124">
        <v>3</v>
      </c>
      <c r="M35" s="125" t="s">
        <v>1638</v>
      </c>
      <c r="N35" s="106" t="str">
        <f t="shared" si="1"/>
        <v>23</v>
      </c>
      <c r="O35" s="107"/>
      <c r="P35" s="114" t="s">
        <v>1832</v>
      </c>
      <c r="Q35" s="107"/>
      <c r="R35" s="115" t="s">
        <v>1641</v>
      </c>
      <c r="S35" s="92" t="s">
        <v>1579</v>
      </c>
      <c r="T35" s="110"/>
      <c r="U35" s="94" t="s">
        <v>1641</v>
      </c>
      <c r="V35" s="107"/>
      <c r="W35" s="117">
        <v>7600824</v>
      </c>
      <c r="X35" s="115" t="s">
        <v>1641</v>
      </c>
      <c r="Z35" s="127" t="s">
        <v>1653</v>
      </c>
      <c r="AE35" s="88" t="s">
        <v>1778</v>
      </c>
      <c r="AF35" s="88" t="s">
        <v>1779</v>
      </c>
    </row>
    <row r="36" spans="1:52" ht="17.45" customHeight="1">
      <c r="A36" s="74"/>
      <c r="B36" s="96" t="e">
        <f t="shared" si="2"/>
        <v>#REF!</v>
      </c>
      <c r="C36" s="112">
        <v>40749</v>
      </c>
      <c r="D36" s="98" t="s">
        <v>1965</v>
      </c>
      <c r="E36" s="98">
        <v>7600453</v>
      </c>
      <c r="F36" s="113" t="s">
        <v>1963</v>
      </c>
      <c r="G36" s="100" t="s">
        <v>65</v>
      </c>
      <c r="H36" s="101" t="s">
        <v>1846</v>
      </c>
      <c r="I36" s="98" t="s">
        <v>1965</v>
      </c>
      <c r="J36" s="102">
        <v>1</v>
      </c>
      <c r="K36" s="103" t="s">
        <v>1810</v>
      </c>
      <c r="L36" s="104">
        <v>1</v>
      </c>
      <c r="M36" s="275" t="s">
        <v>1596</v>
      </c>
      <c r="N36" s="106" t="str">
        <f t="shared" si="1"/>
        <v>11</v>
      </c>
      <c r="O36" s="107"/>
      <c r="P36" s="114" t="s">
        <v>1964</v>
      </c>
      <c r="Q36" s="107"/>
      <c r="R36" s="115" t="s">
        <v>1597</v>
      </c>
      <c r="S36" s="92" t="s">
        <v>1570</v>
      </c>
      <c r="T36" s="110"/>
      <c r="U36" s="94" t="s">
        <v>1597</v>
      </c>
      <c r="V36" s="107"/>
      <c r="W36" s="117">
        <v>7600391</v>
      </c>
      <c r="X36" s="115" t="s">
        <v>1597</v>
      </c>
      <c r="Z36" s="116"/>
      <c r="AA36" s="107"/>
      <c r="AE36" s="88" t="s">
        <v>1778</v>
      </c>
      <c r="AF36" s="88" t="s">
        <v>1779</v>
      </c>
    </row>
    <row r="37" spans="1:52" ht="17.45" customHeight="1">
      <c r="A37" s="88"/>
      <c r="B37" s="220" t="e">
        <f t="shared" si="2"/>
        <v>#REF!</v>
      </c>
      <c r="C37" s="156">
        <v>38558</v>
      </c>
      <c r="D37" s="89" t="s">
        <v>1964</v>
      </c>
      <c r="E37" s="89">
        <v>7600391</v>
      </c>
      <c r="F37" s="226" t="s">
        <v>1963</v>
      </c>
      <c r="G37" s="229" t="s">
        <v>72</v>
      </c>
      <c r="H37" s="157" t="s">
        <v>1846</v>
      </c>
      <c r="I37" s="89" t="s">
        <v>1964</v>
      </c>
      <c r="J37" s="233">
        <v>1</v>
      </c>
      <c r="K37" s="236" t="s">
        <v>1810</v>
      </c>
      <c r="L37" s="104">
        <v>1</v>
      </c>
      <c r="M37" s="275" t="s">
        <v>1596</v>
      </c>
      <c r="N37" s="160" t="str">
        <f t="shared" si="1"/>
        <v>11</v>
      </c>
      <c r="O37" s="91"/>
      <c r="P37" s="161" t="s">
        <v>1964</v>
      </c>
      <c r="Q37" s="91"/>
      <c r="R37" s="162" t="s">
        <v>1597</v>
      </c>
      <c r="S37" s="92" t="s">
        <v>1570</v>
      </c>
      <c r="T37" s="93"/>
      <c r="U37" s="94" t="s">
        <v>1597</v>
      </c>
      <c r="V37" s="91"/>
      <c r="W37" s="213">
        <v>7600391</v>
      </c>
      <c r="X37" s="162" t="s">
        <v>1597</v>
      </c>
      <c r="Y37" s="88"/>
      <c r="Z37" s="116"/>
      <c r="AA37" s="91"/>
      <c r="AB37" s="88"/>
      <c r="AC37" s="88"/>
      <c r="AD37" s="88"/>
      <c r="AE37" s="88" t="s">
        <v>1778</v>
      </c>
      <c r="AF37" s="88" t="s">
        <v>1779</v>
      </c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</row>
    <row r="38" spans="1:52" ht="17.45" customHeight="1">
      <c r="A38" s="74"/>
      <c r="B38" s="96" t="e">
        <f t="shared" si="2"/>
        <v>#REF!</v>
      </c>
      <c r="C38" s="112">
        <v>39904</v>
      </c>
      <c r="D38" s="98" t="s">
        <v>1970</v>
      </c>
      <c r="E38" s="98">
        <v>7600496</v>
      </c>
      <c r="F38" s="99" t="s">
        <v>1963</v>
      </c>
      <c r="G38" s="100" t="s">
        <v>1968</v>
      </c>
      <c r="H38" s="101" t="s">
        <v>1846</v>
      </c>
      <c r="I38" s="98" t="s">
        <v>1970</v>
      </c>
      <c r="J38" s="102">
        <v>1</v>
      </c>
      <c r="K38" s="102" t="s">
        <v>1810</v>
      </c>
      <c r="L38" s="104">
        <v>1</v>
      </c>
      <c r="M38" s="275" t="s">
        <v>1596</v>
      </c>
      <c r="N38" s="106" t="str">
        <f t="shared" si="1"/>
        <v>11</v>
      </c>
      <c r="O38" s="107"/>
      <c r="P38" s="114" t="s">
        <v>1964</v>
      </c>
      <c r="Q38" s="107"/>
      <c r="R38" s="115" t="s">
        <v>1597</v>
      </c>
      <c r="S38" s="92" t="s">
        <v>1570</v>
      </c>
      <c r="T38" s="110"/>
      <c r="U38" s="94" t="s">
        <v>1597</v>
      </c>
      <c r="V38" s="107"/>
      <c r="W38" s="117">
        <v>7600391</v>
      </c>
      <c r="X38" s="115" t="s">
        <v>1597</v>
      </c>
      <c r="Z38" s="116"/>
      <c r="AA38" s="107"/>
      <c r="AE38" s="88" t="s">
        <v>1778</v>
      </c>
      <c r="AF38" s="88" t="s">
        <v>1779</v>
      </c>
    </row>
    <row r="39" spans="1:52" ht="17.45" customHeight="1">
      <c r="A39" s="74"/>
      <c r="B39" s="96" t="e">
        <f t="shared" si="2"/>
        <v>#REF!</v>
      </c>
      <c r="C39" s="112">
        <v>38946</v>
      </c>
      <c r="D39" s="98" t="s">
        <v>1977</v>
      </c>
      <c r="E39" s="98">
        <v>7601222</v>
      </c>
      <c r="F39" s="113" t="s">
        <v>1963</v>
      </c>
      <c r="G39" s="100" t="s">
        <v>77</v>
      </c>
      <c r="H39" s="101" t="s">
        <v>1846</v>
      </c>
      <c r="I39" s="98" t="s">
        <v>1977</v>
      </c>
      <c r="J39" s="102">
        <v>1</v>
      </c>
      <c r="K39" s="103" t="s">
        <v>1810</v>
      </c>
      <c r="L39" s="104">
        <v>1</v>
      </c>
      <c r="M39" s="275" t="s">
        <v>1596</v>
      </c>
      <c r="N39" s="106" t="str">
        <f t="shared" si="1"/>
        <v>11</v>
      </c>
      <c r="O39" s="107"/>
      <c r="P39" s="114" t="s">
        <v>1964</v>
      </c>
      <c r="Q39" s="107"/>
      <c r="R39" s="115" t="s">
        <v>1597</v>
      </c>
      <c r="S39" s="92" t="s">
        <v>1570</v>
      </c>
      <c r="T39" s="110"/>
      <c r="U39" s="94" t="s">
        <v>1597</v>
      </c>
      <c r="V39" s="107"/>
      <c r="W39" s="211">
        <v>7600391</v>
      </c>
      <c r="X39" s="115" t="s">
        <v>1597</v>
      </c>
      <c r="Z39" s="116"/>
      <c r="AA39" s="107"/>
      <c r="AE39" s="88" t="s">
        <v>1778</v>
      </c>
      <c r="AF39" s="88" t="s">
        <v>1779</v>
      </c>
    </row>
    <row r="40" spans="1:52" ht="17.45" customHeight="1">
      <c r="A40" s="74"/>
      <c r="B40" s="96" t="e">
        <f t="shared" si="2"/>
        <v>#REF!</v>
      </c>
      <c r="C40" s="112">
        <v>40560</v>
      </c>
      <c r="D40" s="98" t="s">
        <v>1971</v>
      </c>
      <c r="E40" s="98">
        <v>7600569</v>
      </c>
      <c r="F40" s="113" t="s">
        <v>1963</v>
      </c>
      <c r="G40" s="100" t="s">
        <v>82</v>
      </c>
      <c r="H40" s="101" t="s">
        <v>1846</v>
      </c>
      <c r="I40" s="98" t="s">
        <v>1971</v>
      </c>
      <c r="J40" s="102">
        <v>1</v>
      </c>
      <c r="K40" s="103" t="s">
        <v>1810</v>
      </c>
      <c r="L40" s="104">
        <v>1</v>
      </c>
      <c r="M40" s="275" t="s">
        <v>1596</v>
      </c>
      <c r="N40" s="106" t="str">
        <f t="shared" si="1"/>
        <v>11</v>
      </c>
      <c r="O40" s="107"/>
      <c r="P40" s="114" t="s">
        <v>1964</v>
      </c>
      <c r="Q40" s="107"/>
      <c r="R40" s="115" t="s">
        <v>1597</v>
      </c>
      <c r="S40" s="92" t="s">
        <v>1570</v>
      </c>
      <c r="T40" s="110"/>
      <c r="U40" s="94" t="s">
        <v>1597</v>
      </c>
      <c r="V40" s="107"/>
      <c r="W40" s="211">
        <v>7600391</v>
      </c>
      <c r="X40" s="115" t="s">
        <v>1597</v>
      </c>
      <c r="Z40" s="116"/>
      <c r="AA40" s="107"/>
      <c r="AE40" s="88" t="s">
        <v>1778</v>
      </c>
      <c r="AF40" s="88" t="s">
        <v>1779</v>
      </c>
    </row>
    <row r="41" spans="1:52" ht="17.45" customHeight="1">
      <c r="A41" s="74"/>
      <c r="B41" s="96" t="e">
        <f t="shared" si="2"/>
        <v>#REF!</v>
      </c>
      <c r="C41" s="146">
        <v>39450</v>
      </c>
      <c r="D41" s="98" t="s">
        <v>1967</v>
      </c>
      <c r="E41" s="98">
        <v>7600474</v>
      </c>
      <c r="F41" s="113" t="s">
        <v>1963</v>
      </c>
      <c r="G41" s="100" t="s">
        <v>86</v>
      </c>
      <c r="H41" s="101" t="s">
        <v>1846</v>
      </c>
      <c r="I41" s="98" t="s">
        <v>1967</v>
      </c>
      <c r="J41" s="102">
        <v>1</v>
      </c>
      <c r="K41" s="103" t="s">
        <v>1810</v>
      </c>
      <c r="L41" s="104">
        <v>1</v>
      </c>
      <c r="M41" s="275" t="s">
        <v>1596</v>
      </c>
      <c r="N41" s="106" t="str">
        <f t="shared" si="1"/>
        <v>11</v>
      </c>
      <c r="O41" s="107"/>
      <c r="P41" s="114" t="s">
        <v>1964</v>
      </c>
      <c r="Q41" s="107"/>
      <c r="R41" s="115" t="s">
        <v>1597</v>
      </c>
      <c r="S41" s="92" t="s">
        <v>1570</v>
      </c>
      <c r="T41" s="110"/>
      <c r="U41" s="94" t="s">
        <v>1597</v>
      </c>
      <c r="V41" s="107"/>
      <c r="W41" s="211">
        <v>7600391</v>
      </c>
      <c r="X41" s="115" t="s">
        <v>1597</v>
      </c>
      <c r="Z41" s="116"/>
      <c r="AA41" s="107"/>
      <c r="AE41" s="88" t="s">
        <v>1778</v>
      </c>
      <c r="AF41" s="88" t="s">
        <v>1779</v>
      </c>
    </row>
    <row r="42" spans="1:52" ht="17.45" customHeight="1">
      <c r="A42" s="74"/>
      <c r="B42" s="96" t="e">
        <f t="shared" si="2"/>
        <v>#REF!</v>
      </c>
      <c r="C42" s="112">
        <v>42332</v>
      </c>
      <c r="D42" s="98" t="s">
        <v>1973</v>
      </c>
      <c r="E42" s="98">
        <v>7601220</v>
      </c>
      <c r="F42" s="113" t="s">
        <v>1963</v>
      </c>
      <c r="G42" s="100" t="s">
        <v>92</v>
      </c>
      <c r="H42" s="101" t="s">
        <v>1846</v>
      </c>
      <c r="I42" s="98" t="s">
        <v>1973</v>
      </c>
      <c r="J42" s="102">
        <v>1</v>
      </c>
      <c r="K42" s="103" t="s">
        <v>1810</v>
      </c>
      <c r="L42" s="104">
        <v>1</v>
      </c>
      <c r="M42" s="275" t="s">
        <v>1596</v>
      </c>
      <c r="N42" s="106" t="str">
        <f t="shared" si="1"/>
        <v>11</v>
      </c>
      <c r="O42" s="107"/>
      <c r="P42" s="114" t="s">
        <v>1964</v>
      </c>
      <c r="Q42" s="107"/>
      <c r="R42" s="115" t="s">
        <v>1597</v>
      </c>
      <c r="S42" s="92" t="s">
        <v>1570</v>
      </c>
      <c r="T42" s="110"/>
      <c r="U42" s="94" t="s">
        <v>1597</v>
      </c>
      <c r="V42" s="107"/>
      <c r="W42" s="211">
        <v>7600391</v>
      </c>
      <c r="X42" s="115" t="s">
        <v>1597</v>
      </c>
      <c r="Z42" s="116"/>
      <c r="AA42" s="107"/>
      <c r="AE42" s="88" t="s">
        <v>1778</v>
      </c>
      <c r="AF42" s="88" t="s">
        <v>1779</v>
      </c>
    </row>
    <row r="43" spans="1:52" ht="17.45" customHeight="1">
      <c r="A43" s="74"/>
      <c r="B43" s="96" t="e">
        <f t="shared" si="2"/>
        <v>#REF!</v>
      </c>
      <c r="C43" s="112">
        <v>38909</v>
      </c>
      <c r="D43" s="98" t="s">
        <v>1975</v>
      </c>
      <c r="E43" s="98">
        <v>7601221</v>
      </c>
      <c r="F43" s="113" t="s">
        <v>1963</v>
      </c>
      <c r="G43" s="100" t="s">
        <v>96</v>
      </c>
      <c r="H43" s="101" t="s">
        <v>1846</v>
      </c>
      <c r="I43" s="98" t="s">
        <v>1975</v>
      </c>
      <c r="J43" s="102">
        <v>1</v>
      </c>
      <c r="K43" s="103" t="s">
        <v>1810</v>
      </c>
      <c r="L43" s="104">
        <v>1</v>
      </c>
      <c r="M43" s="275" t="s">
        <v>1596</v>
      </c>
      <c r="N43" s="106" t="str">
        <f t="shared" si="1"/>
        <v>11</v>
      </c>
      <c r="O43" s="107"/>
      <c r="P43" s="114" t="s">
        <v>1964</v>
      </c>
      <c r="Q43" s="107"/>
      <c r="R43" s="115" t="s">
        <v>1597</v>
      </c>
      <c r="S43" s="92" t="s">
        <v>1570</v>
      </c>
      <c r="T43" s="110"/>
      <c r="U43" s="94" t="s">
        <v>1597</v>
      </c>
      <c r="V43" s="107"/>
      <c r="W43" s="211">
        <v>7600391</v>
      </c>
      <c r="X43" s="115" t="s">
        <v>1597</v>
      </c>
      <c r="Z43" s="116"/>
      <c r="AA43" s="107"/>
      <c r="AE43" s="88" t="s">
        <v>1778</v>
      </c>
      <c r="AF43" s="88" t="s">
        <v>1779</v>
      </c>
    </row>
    <row r="44" spans="1:52" s="147" customFormat="1" ht="17.45" customHeight="1">
      <c r="A44" s="56"/>
      <c r="B44" s="96" t="e">
        <f t="shared" si="2"/>
        <v>#REF!</v>
      </c>
      <c r="C44" s="112">
        <v>41850</v>
      </c>
      <c r="D44" s="98" t="s">
        <v>1801</v>
      </c>
      <c r="E44" s="98">
        <v>7601053</v>
      </c>
      <c r="F44" s="113" t="s">
        <v>1800</v>
      </c>
      <c r="G44" s="100" t="s">
        <v>763</v>
      </c>
      <c r="H44" s="101" t="s">
        <v>1859</v>
      </c>
      <c r="I44" s="98" t="s">
        <v>1801</v>
      </c>
      <c r="J44" s="102">
        <v>3</v>
      </c>
      <c r="K44" s="103" t="s">
        <v>1802</v>
      </c>
      <c r="L44" s="124">
        <v>7</v>
      </c>
      <c r="M44" s="125" t="s">
        <v>1694</v>
      </c>
      <c r="N44" s="106" t="str">
        <f t="shared" si="1"/>
        <v>37</v>
      </c>
      <c r="O44" s="107"/>
      <c r="P44" s="114" t="s">
        <v>1801</v>
      </c>
      <c r="Q44" s="107"/>
      <c r="R44" s="115" t="s">
        <v>1690</v>
      </c>
      <c r="S44" s="92" t="s">
        <v>1577</v>
      </c>
      <c r="T44" s="110"/>
      <c r="U44" s="94" t="s">
        <v>1690</v>
      </c>
      <c r="V44" s="107"/>
      <c r="W44" s="117">
        <v>7601053</v>
      </c>
      <c r="X44" s="115" t="s">
        <v>1690</v>
      </c>
      <c r="Y44" s="74"/>
      <c r="Z44" s="127" t="s">
        <v>1861</v>
      </c>
      <c r="AA44" s="129"/>
      <c r="AB44" s="74"/>
      <c r="AC44" s="74"/>
      <c r="AD44" s="74"/>
      <c r="AE44" s="88" t="s">
        <v>1778</v>
      </c>
      <c r="AF44" s="88" t="s">
        <v>1779</v>
      </c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</row>
    <row r="45" spans="1:52" s="147" customFormat="1" ht="17.45" customHeight="1">
      <c r="A45" s="56"/>
      <c r="B45" s="96" t="e">
        <f t="shared" si="2"/>
        <v>#REF!</v>
      </c>
      <c r="C45" s="112">
        <v>35490</v>
      </c>
      <c r="D45" s="98" t="s">
        <v>1807</v>
      </c>
      <c r="E45" s="98">
        <v>7601054</v>
      </c>
      <c r="F45" s="99" t="s">
        <v>1800</v>
      </c>
      <c r="G45" s="100" t="s">
        <v>769</v>
      </c>
      <c r="H45" s="101" t="s">
        <v>1859</v>
      </c>
      <c r="I45" s="98" t="s">
        <v>1807</v>
      </c>
      <c r="J45" s="102">
        <v>3</v>
      </c>
      <c r="K45" s="102" t="s">
        <v>1802</v>
      </c>
      <c r="L45" s="126">
        <v>7</v>
      </c>
      <c r="M45" s="125" t="s">
        <v>1694</v>
      </c>
      <c r="N45" s="106" t="str">
        <f t="shared" si="1"/>
        <v>37</v>
      </c>
      <c r="O45" s="107"/>
      <c r="P45" s="114" t="s">
        <v>1801</v>
      </c>
      <c r="Q45" s="107"/>
      <c r="R45" s="115" t="s">
        <v>1690</v>
      </c>
      <c r="S45" s="92" t="s">
        <v>1577</v>
      </c>
      <c r="T45" s="110"/>
      <c r="U45" s="94" t="s">
        <v>1690</v>
      </c>
      <c r="V45" s="107"/>
      <c r="W45" s="117">
        <v>7601053</v>
      </c>
      <c r="X45" s="115" t="s">
        <v>1690</v>
      </c>
      <c r="Y45" s="74"/>
      <c r="Z45" s="127" t="s">
        <v>1707</v>
      </c>
      <c r="AA45" s="129"/>
      <c r="AB45" s="74"/>
      <c r="AC45" s="74"/>
      <c r="AD45" s="74"/>
      <c r="AE45" s="88" t="s">
        <v>1778</v>
      </c>
      <c r="AF45" s="88" t="s">
        <v>1779</v>
      </c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</row>
    <row r="46" spans="1:52" s="147" customFormat="1" ht="17.45" customHeight="1">
      <c r="A46" s="56"/>
      <c r="B46" s="96" t="e">
        <f t="shared" si="2"/>
        <v>#REF!</v>
      </c>
      <c r="C46" s="112">
        <v>41271</v>
      </c>
      <c r="D46" s="98" t="s">
        <v>1849</v>
      </c>
      <c r="E46" s="98">
        <v>7601038</v>
      </c>
      <c r="F46" s="99" t="s">
        <v>1845</v>
      </c>
      <c r="G46" s="100" t="s">
        <v>728</v>
      </c>
      <c r="H46" s="101" t="s">
        <v>2025</v>
      </c>
      <c r="I46" s="98" t="s">
        <v>1849</v>
      </c>
      <c r="J46" s="102">
        <v>3</v>
      </c>
      <c r="K46" s="102" t="s">
        <v>1802</v>
      </c>
      <c r="L46" s="126">
        <v>6</v>
      </c>
      <c r="M46" s="125" t="s">
        <v>1689</v>
      </c>
      <c r="N46" s="106" t="str">
        <f t="shared" si="1"/>
        <v>36</v>
      </c>
      <c r="O46" s="107"/>
      <c r="P46" s="114" t="s">
        <v>1847</v>
      </c>
      <c r="Q46" s="107"/>
      <c r="R46" s="115" t="s">
        <v>1686</v>
      </c>
      <c r="S46" s="92" t="s">
        <v>1586</v>
      </c>
      <c r="T46" s="110"/>
      <c r="U46" s="94" t="s">
        <v>1686</v>
      </c>
      <c r="V46" s="107"/>
      <c r="W46" s="117">
        <v>7601037</v>
      </c>
      <c r="X46" s="115" t="s">
        <v>1686</v>
      </c>
      <c r="Y46" s="74"/>
      <c r="Z46" s="127" t="s">
        <v>1616</v>
      </c>
      <c r="AA46" s="129"/>
      <c r="AB46" s="74"/>
      <c r="AC46" s="74"/>
      <c r="AD46" s="74"/>
      <c r="AE46" s="88" t="s">
        <v>1778</v>
      </c>
      <c r="AF46" s="88" t="s">
        <v>1779</v>
      </c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</row>
    <row r="47" spans="1:52" s="147" customFormat="1" ht="17.45" customHeight="1">
      <c r="A47" s="182"/>
      <c r="B47" s="96" t="e">
        <f t="shared" si="2"/>
        <v>#REF!</v>
      </c>
      <c r="C47" s="112">
        <v>44060</v>
      </c>
      <c r="D47" s="98" t="s">
        <v>1850</v>
      </c>
      <c r="E47" s="98">
        <v>7601128</v>
      </c>
      <c r="F47" s="153" t="s">
        <v>1845</v>
      </c>
      <c r="G47" s="101" t="s">
        <v>732</v>
      </c>
      <c r="H47" s="154" t="s">
        <v>2029</v>
      </c>
      <c r="I47" s="98" t="s">
        <v>1850</v>
      </c>
      <c r="J47" s="126">
        <v>3</v>
      </c>
      <c r="K47" s="124" t="s">
        <v>1802</v>
      </c>
      <c r="L47" s="124">
        <v>6</v>
      </c>
      <c r="M47" s="125" t="s">
        <v>1689</v>
      </c>
      <c r="N47" s="106" t="str">
        <f t="shared" si="1"/>
        <v>36</v>
      </c>
      <c r="O47" s="107"/>
      <c r="P47" s="114" t="s">
        <v>1847</v>
      </c>
      <c r="Q47" s="107"/>
      <c r="R47" s="115" t="s">
        <v>1686</v>
      </c>
      <c r="S47" s="92" t="s">
        <v>1586</v>
      </c>
      <c r="T47" s="110"/>
      <c r="U47" s="94" t="s">
        <v>1686</v>
      </c>
      <c r="V47" s="107"/>
      <c r="W47" s="117">
        <v>7601037</v>
      </c>
      <c r="X47" s="115" t="s">
        <v>1686</v>
      </c>
      <c r="Y47" s="74"/>
      <c r="Z47" s="127" t="s">
        <v>1608</v>
      </c>
      <c r="AA47" s="129"/>
      <c r="AB47" s="74"/>
      <c r="AC47" s="74"/>
      <c r="AD47" s="74"/>
      <c r="AE47" s="88" t="s">
        <v>1778</v>
      </c>
      <c r="AF47" s="88" t="s">
        <v>1779</v>
      </c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2"/>
      <c r="AX47" s="182"/>
      <c r="AY47" s="182"/>
      <c r="AZ47" s="182"/>
    </row>
    <row r="48" spans="1:52" s="147" customFormat="1" ht="17.45" customHeight="1">
      <c r="A48" s="56"/>
      <c r="B48" s="96" t="e">
        <f t="shared" si="2"/>
        <v>#REF!</v>
      </c>
      <c r="C48" s="112">
        <v>41036</v>
      </c>
      <c r="D48" s="98" t="s">
        <v>1847</v>
      </c>
      <c r="E48" s="98">
        <v>7601037</v>
      </c>
      <c r="F48" s="113" t="s">
        <v>1845</v>
      </c>
      <c r="G48" s="100" t="s">
        <v>736</v>
      </c>
      <c r="H48" s="101" t="s">
        <v>2025</v>
      </c>
      <c r="I48" s="98" t="s">
        <v>1847</v>
      </c>
      <c r="J48" s="102">
        <v>3</v>
      </c>
      <c r="K48" s="103" t="s">
        <v>1802</v>
      </c>
      <c r="L48" s="124">
        <v>6</v>
      </c>
      <c r="M48" s="125" t="s">
        <v>1689</v>
      </c>
      <c r="N48" s="106" t="str">
        <f t="shared" si="1"/>
        <v>36</v>
      </c>
      <c r="O48" s="107"/>
      <c r="P48" s="114" t="s">
        <v>1847</v>
      </c>
      <c r="Q48" s="107"/>
      <c r="R48" s="115" t="s">
        <v>1686</v>
      </c>
      <c r="S48" s="92" t="s">
        <v>1586</v>
      </c>
      <c r="T48" s="110"/>
      <c r="U48" s="94" t="s">
        <v>1686</v>
      </c>
      <c r="V48" s="107"/>
      <c r="W48" s="117">
        <v>7601037</v>
      </c>
      <c r="X48" s="115" t="s">
        <v>1686</v>
      </c>
      <c r="Y48" s="74"/>
      <c r="Z48" s="127" t="s">
        <v>1607</v>
      </c>
      <c r="AA48" s="129"/>
      <c r="AB48" s="74"/>
      <c r="AC48" s="74"/>
      <c r="AD48" s="74"/>
      <c r="AE48" s="88" t="s">
        <v>1778</v>
      </c>
      <c r="AF48" s="88" t="s">
        <v>1779</v>
      </c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</row>
    <row r="49" spans="1:52" s="147" customFormat="1" ht="17.45" customHeight="1">
      <c r="A49" s="56"/>
      <c r="B49" s="96" t="e">
        <f t="shared" si="2"/>
        <v>#REF!</v>
      </c>
      <c r="C49" s="112">
        <v>39984</v>
      </c>
      <c r="D49" s="98" t="s">
        <v>1857</v>
      </c>
      <c r="E49" s="98">
        <v>7600501</v>
      </c>
      <c r="F49" s="113" t="s">
        <v>1856</v>
      </c>
      <c r="G49" s="100" t="s">
        <v>881</v>
      </c>
      <c r="H49" s="101" t="s">
        <v>1864</v>
      </c>
      <c r="I49" s="98" t="s">
        <v>1857</v>
      </c>
      <c r="J49" s="102">
        <v>4</v>
      </c>
      <c r="K49" s="103" t="s">
        <v>1774</v>
      </c>
      <c r="L49" s="124">
        <v>2</v>
      </c>
      <c r="M49" s="125" t="s">
        <v>1706</v>
      </c>
      <c r="N49" s="106" t="str">
        <f t="shared" si="1"/>
        <v>42</v>
      </c>
      <c r="O49" s="107"/>
      <c r="P49" s="114" t="s">
        <v>1857</v>
      </c>
      <c r="Q49" s="107"/>
      <c r="R49" s="115" t="s">
        <v>1707</v>
      </c>
      <c r="S49" s="92" t="s">
        <v>1588</v>
      </c>
      <c r="T49" s="110"/>
      <c r="U49" s="94" t="s">
        <v>1707</v>
      </c>
      <c r="V49" s="107"/>
      <c r="W49" s="117">
        <v>7600501</v>
      </c>
      <c r="X49" s="115" t="s">
        <v>1707</v>
      </c>
      <c r="Y49" s="74"/>
      <c r="Z49" s="277" t="s">
        <v>1719</v>
      </c>
      <c r="AA49" s="129"/>
      <c r="AB49" s="74"/>
      <c r="AC49" s="74"/>
      <c r="AD49" s="74"/>
      <c r="AE49" s="88" t="s">
        <v>1778</v>
      </c>
      <c r="AF49" s="88" t="s">
        <v>1779</v>
      </c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</row>
    <row r="50" spans="1:52" ht="17.45" customHeight="1">
      <c r="B50" s="96" t="e">
        <f t="shared" si="2"/>
        <v>#REF!</v>
      </c>
      <c r="C50" s="112">
        <v>40998</v>
      </c>
      <c r="D50" s="98" t="s">
        <v>1862</v>
      </c>
      <c r="E50" s="98">
        <v>7601004</v>
      </c>
      <c r="F50" s="113" t="s">
        <v>1858</v>
      </c>
      <c r="G50" s="100" t="s">
        <v>740</v>
      </c>
      <c r="H50" s="101" t="s">
        <v>1867</v>
      </c>
      <c r="I50" s="98" t="s">
        <v>1862</v>
      </c>
      <c r="J50" s="102">
        <v>3</v>
      </c>
      <c r="K50" s="103" t="s">
        <v>1802</v>
      </c>
      <c r="L50" s="124">
        <v>5</v>
      </c>
      <c r="M50" s="125" t="s">
        <v>1685</v>
      </c>
      <c r="N50" s="106" t="str">
        <f t="shared" si="1"/>
        <v>35</v>
      </c>
      <c r="O50" s="107"/>
      <c r="P50" s="114" t="s">
        <v>1860</v>
      </c>
      <c r="Q50" s="107"/>
      <c r="R50" s="115" t="s">
        <v>1688</v>
      </c>
      <c r="S50" s="92" t="s">
        <v>1585</v>
      </c>
      <c r="T50" s="110"/>
      <c r="U50" s="94" t="s">
        <v>1688</v>
      </c>
      <c r="V50" s="107"/>
      <c r="W50" s="117">
        <v>7600086</v>
      </c>
      <c r="X50" s="115" t="s">
        <v>1688</v>
      </c>
      <c r="Z50" s="127" t="s">
        <v>1725</v>
      </c>
      <c r="AE50" s="88" t="s">
        <v>1778</v>
      </c>
      <c r="AF50" s="88" t="s">
        <v>1779</v>
      </c>
    </row>
    <row r="51" spans="1:52" ht="17.45" customHeight="1">
      <c r="B51" s="96" t="e">
        <f t="shared" si="2"/>
        <v>#REF!</v>
      </c>
      <c r="C51" s="148">
        <v>36083</v>
      </c>
      <c r="D51" s="98" t="s">
        <v>1860</v>
      </c>
      <c r="E51" s="118">
        <v>7600086</v>
      </c>
      <c r="F51" s="149" t="s">
        <v>1858</v>
      </c>
      <c r="G51" s="150" t="s">
        <v>745</v>
      </c>
      <c r="H51" s="101" t="s">
        <v>1870</v>
      </c>
      <c r="I51" s="98" t="s">
        <v>1860</v>
      </c>
      <c r="J51" s="102">
        <v>3</v>
      </c>
      <c r="K51" s="103" t="s">
        <v>1802</v>
      </c>
      <c r="L51" s="124">
        <v>5</v>
      </c>
      <c r="M51" s="125" t="s">
        <v>1685</v>
      </c>
      <c r="N51" s="106" t="str">
        <f t="shared" si="1"/>
        <v>35</v>
      </c>
      <c r="O51" s="107"/>
      <c r="P51" s="114" t="s">
        <v>1860</v>
      </c>
      <c r="Q51" s="107"/>
      <c r="R51" s="115" t="s">
        <v>1688</v>
      </c>
      <c r="S51" s="92" t="s">
        <v>1585</v>
      </c>
      <c r="T51" s="110"/>
      <c r="U51" s="94" t="s">
        <v>1688</v>
      </c>
      <c r="V51" s="107"/>
      <c r="W51" s="117">
        <v>7600086</v>
      </c>
      <c r="X51" s="115" t="s">
        <v>1688</v>
      </c>
      <c r="Z51" s="127" t="s">
        <v>1709</v>
      </c>
      <c r="AE51" s="88" t="s">
        <v>1778</v>
      </c>
      <c r="AF51" s="88" t="s">
        <v>1779</v>
      </c>
    </row>
    <row r="52" spans="1:52" ht="17.45" customHeight="1">
      <c r="B52" s="96" t="e">
        <f t="shared" si="2"/>
        <v>#REF!</v>
      </c>
      <c r="C52" s="112">
        <v>35479</v>
      </c>
      <c r="D52" s="98" t="s">
        <v>1880</v>
      </c>
      <c r="E52" s="98">
        <v>7601213</v>
      </c>
      <c r="F52" s="113" t="s">
        <v>1869</v>
      </c>
      <c r="G52" s="100" t="s">
        <v>157</v>
      </c>
      <c r="H52" s="101" t="s">
        <v>1872</v>
      </c>
      <c r="I52" s="98" t="s">
        <v>1880</v>
      </c>
      <c r="J52" s="102">
        <v>1</v>
      </c>
      <c r="K52" s="103" t="s">
        <v>1810</v>
      </c>
      <c r="L52" s="124">
        <v>4</v>
      </c>
      <c r="M52" s="125" t="s">
        <v>1609</v>
      </c>
      <c r="N52" s="106" t="str">
        <f t="shared" si="1"/>
        <v>14</v>
      </c>
      <c r="O52" s="107"/>
      <c r="P52" s="114" t="s">
        <v>1871</v>
      </c>
      <c r="Q52" s="107"/>
      <c r="R52" s="115" t="s">
        <v>1610</v>
      </c>
      <c r="S52" s="92" t="s">
        <v>1573</v>
      </c>
      <c r="T52" s="110"/>
      <c r="U52" s="94" t="s">
        <v>1610</v>
      </c>
      <c r="V52" s="107"/>
      <c r="W52" s="117">
        <v>7600167</v>
      </c>
      <c r="X52" s="115" t="s">
        <v>1610</v>
      </c>
      <c r="Z52" s="127" t="s">
        <v>1703</v>
      </c>
      <c r="AE52" s="88" t="s">
        <v>1778</v>
      </c>
      <c r="AF52" s="88" t="s">
        <v>1779</v>
      </c>
    </row>
    <row r="53" spans="1:52" ht="17.45" customHeight="1">
      <c r="B53" s="96" t="e">
        <f t="shared" si="2"/>
        <v>#REF!</v>
      </c>
      <c r="C53" s="112">
        <v>41445</v>
      </c>
      <c r="D53" s="98" t="s">
        <v>1875</v>
      </c>
      <c r="E53" s="98">
        <v>7600746</v>
      </c>
      <c r="F53" s="113" t="s">
        <v>1869</v>
      </c>
      <c r="G53" s="100" t="s">
        <v>163</v>
      </c>
      <c r="H53" s="101" t="s">
        <v>1872</v>
      </c>
      <c r="I53" s="98" t="s">
        <v>1875</v>
      </c>
      <c r="J53" s="126">
        <v>1</v>
      </c>
      <c r="K53" s="124" t="s">
        <v>1810</v>
      </c>
      <c r="L53" s="124">
        <v>4</v>
      </c>
      <c r="M53" s="125" t="s">
        <v>1609</v>
      </c>
      <c r="N53" s="106" t="str">
        <f t="shared" si="1"/>
        <v>14</v>
      </c>
      <c r="O53" s="107"/>
      <c r="P53" s="114" t="s">
        <v>1871</v>
      </c>
      <c r="Q53" s="107"/>
      <c r="R53" s="115" t="s">
        <v>1610</v>
      </c>
      <c r="S53" s="92" t="s">
        <v>1573</v>
      </c>
      <c r="T53" s="110"/>
      <c r="U53" s="94" t="s">
        <v>1610</v>
      </c>
      <c r="V53" s="107"/>
      <c r="W53" s="117">
        <v>7600167</v>
      </c>
      <c r="X53" s="115" t="s">
        <v>1610</v>
      </c>
      <c r="Z53" s="127" t="s">
        <v>1625</v>
      </c>
      <c r="AA53" s="147"/>
      <c r="AB53" s="147"/>
      <c r="AC53" s="147"/>
      <c r="AD53" s="147"/>
      <c r="AE53" s="88" t="s">
        <v>1778</v>
      </c>
      <c r="AF53" s="88" t="s">
        <v>1779</v>
      </c>
    </row>
    <row r="54" spans="1:52" ht="17.45" customHeight="1">
      <c r="B54" s="96" t="e">
        <f t="shared" si="2"/>
        <v>#REF!</v>
      </c>
      <c r="C54" s="112">
        <v>35571</v>
      </c>
      <c r="D54" s="98" t="s">
        <v>1878</v>
      </c>
      <c r="E54" s="98">
        <v>7600943</v>
      </c>
      <c r="F54" s="113" t="s">
        <v>1869</v>
      </c>
      <c r="G54" s="100" t="s">
        <v>167</v>
      </c>
      <c r="H54" s="101" t="s">
        <v>1872</v>
      </c>
      <c r="I54" s="98" t="s">
        <v>1878</v>
      </c>
      <c r="J54" s="102">
        <v>1</v>
      </c>
      <c r="K54" s="103" t="s">
        <v>1810</v>
      </c>
      <c r="L54" s="124">
        <v>4</v>
      </c>
      <c r="M54" s="125" t="s">
        <v>1609</v>
      </c>
      <c r="N54" s="106" t="str">
        <f t="shared" si="1"/>
        <v>14</v>
      </c>
      <c r="O54" s="107"/>
      <c r="P54" s="114" t="s">
        <v>1871</v>
      </c>
      <c r="Q54" s="107"/>
      <c r="R54" s="115" t="s">
        <v>1610</v>
      </c>
      <c r="S54" s="92" t="s">
        <v>1573</v>
      </c>
      <c r="T54" s="110"/>
      <c r="U54" s="94" t="s">
        <v>1610</v>
      </c>
      <c r="V54" s="107"/>
      <c r="W54" s="117">
        <v>7600167</v>
      </c>
      <c r="X54" s="115" t="s">
        <v>1610</v>
      </c>
      <c r="Z54" s="127" t="s">
        <v>1617</v>
      </c>
      <c r="AA54" s="147"/>
      <c r="AB54" s="147"/>
      <c r="AC54" s="147"/>
      <c r="AD54" s="147"/>
      <c r="AE54" s="88" t="s">
        <v>1778</v>
      </c>
      <c r="AF54" s="88" t="s">
        <v>1779</v>
      </c>
    </row>
    <row r="55" spans="1:52" ht="17.45" customHeight="1">
      <c r="B55" s="96" t="e">
        <f t="shared" si="2"/>
        <v>#REF!</v>
      </c>
      <c r="C55" s="112">
        <v>40876</v>
      </c>
      <c r="D55" s="98" t="s">
        <v>1873</v>
      </c>
      <c r="E55" s="98">
        <v>7600633</v>
      </c>
      <c r="F55" s="113" t="s">
        <v>1869</v>
      </c>
      <c r="G55" s="100" t="s">
        <v>170</v>
      </c>
      <c r="H55" s="101" t="s">
        <v>1872</v>
      </c>
      <c r="I55" s="98" t="s">
        <v>1873</v>
      </c>
      <c r="J55" s="102">
        <v>1</v>
      </c>
      <c r="K55" s="103" t="s">
        <v>1810</v>
      </c>
      <c r="L55" s="124">
        <v>4</v>
      </c>
      <c r="M55" s="125" t="s">
        <v>1609</v>
      </c>
      <c r="N55" s="106" t="str">
        <f t="shared" si="1"/>
        <v>14</v>
      </c>
      <c r="O55" s="107"/>
      <c r="P55" s="114" t="s">
        <v>1871</v>
      </c>
      <c r="Q55" s="107"/>
      <c r="R55" s="115" t="s">
        <v>1610</v>
      </c>
      <c r="S55" s="92" t="s">
        <v>1573</v>
      </c>
      <c r="T55" s="110"/>
      <c r="U55" s="94" t="s">
        <v>1610</v>
      </c>
      <c r="V55" s="107"/>
      <c r="W55" s="117">
        <v>7600167</v>
      </c>
      <c r="X55" s="115" t="s">
        <v>1610</v>
      </c>
      <c r="Z55" s="127" t="s">
        <v>1702</v>
      </c>
      <c r="AE55" s="88" t="s">
        <v>1778</v>
      </c>
      <c r="AF55" s="88" t="s">
        <v>1779</v>
      </c>
    </row>
    <row r="56" spans="1:52" ht="17.45" customHeight="1">
      <c r="B56" s="96" t="e">
        <f t="shared" si="2"/>
        <v>#REF!</v>
      </c>
      <c r="C56" s="112">
        <v>36779</v>
      </c>
      <c r="D56" s="98" t="s">
        <v>1871</v>
      </c>
      <c r="E56" s="98">
        <v>7600167</v>
      </c>
      <c r="F56" s="113" t="s">
        <v>1869</v>
      </c>
      <c r="G56" s="100" t="s">
        <v>173</v>
      </c>
      <c r="H56" s="101" t="s">
        <v>1872</v>
      </c>
      <c r="I56" s="98" t="s">
        <v>1871</v>
      </c>
      <c r="J56" s="102">
        <v>1</v>
      </c>
      <c r="K56" s="103" t="s">
        <v>1810</v>
      </c>
      <c r="L56" s="124">
        <v>4</v>
      </c>
      <c r="M56" s="125" t="s">
        <v>1609</v>
      </c>
      <c r="N56" s="106" t="str">
        <f t="shared" si="1"/>
        <v>14</v>
      </c>
      <c r="O56" s="107"/>
      <c r="P56" s="114" t="s">
        <v>1871</v>
      </c>
      <c r="Q56" s="107"/>
      <c r="R56" s="115" t="s">
        <v>1610</v>
      </c>
      <c r="S56" s="92" t="s">
        <v>1573</v>
      </c>
      <c r="T56" s="110"/>
      <c r="U56" s="94" t="s">
        <v>1610</v>
      </c>
      <c r="V56" s="107"/>
      <c r="W56" s="117">
        <v>7600167</v>
      </c>
      <c r="X56" s="115" t="s">
        <v>1610</v>
      </c>
      <c r="Z56" s="127" t="s">
        <v>1749</v>
      </c>
      <c r="AE56" s="88" t="s">
        <v>1778</v>
      </c>
      <c r="AF56" s="88" t="s">
        <v>1779</v>
      </c>
    </row>
    <row r="57" spans="1:52" ht="17.45" customHeight="1">
      <c r="B57" s="96" t="e">
        <f t="shared" si="2"/>
        <v>#REF!</v>
      </c>
      <c r="C57" s="112">
        <v>41626</v>
      </c>
      <c r="D57" s="98" t="s">
        <v>1876</v>
      </c>
      <c r="E57" s="98">
        <v>7600776</v>
      </c>
      <c r="F57" s="113" t="s">
        <v>1869</v>
      </c>
      <c r="G57" s="100" t="s">
        <v>176</v>
      </c>
      <c r="H57" s="101" t="s">
        <v>1872</v>
      </c>
      <c r="I57" s="98" t="s">
        <v>1876</v>
      </c>
      <c r="J57" s="126">
        <v>1</v>
      </c>
      <c r="K57" s="124" t="s">
        <v>1810</v>
      </c>
      <c r="L57" s="124">
        <v>4</v>
      </c>
      <c r="M57" s="125" t="s">
        <v>1609</v>
      </c>
      <c r="N57" s="106" t="str">
        <f t="shared" si="1"/>
        <v>14</v>
      </c>
      <c r="O57" s="107"/>
      <c r="P57" s="114" t="s">
        <v>1871</v>
      </c>
      <c r="Q57" s="107"/>
      <c r="R57" s="115" t="s">
        <v>1610</v>
      </c>
      <c r="S57" s="92" t="s">
        <v>1573</v>
      </c>
      <c r="T57" s="110"/>
      <c r="U57" s="94" t="s">
        <v>1610</v>
      </c>
      <c r="V57" s="107"/>
      <c r="W57" s="117">
        <v>7600167</v>
      </c>
      <c r="X57" s="115" t="s">
        <v>1610</v>
      </c>
      <c r="Z57" s="127" t="s">
        <v>1667</v>
      </c>
      <c r="AA57" s="147"/>
      <c r="AB57" s="147"/>
      <c r="AC57" s="147"/>
      <c r="AD57" s="147"/>
      <c r="AE57" s="88" t="s">
        <v>1778</v>
      </c>
      <c r="AF57" s="88" t="s">
        <v>1779</v>
      </c>
    </row>
    <row r="58" spans="1:52" ht="17.45" customHeight="1">
      <c r="B58" s="96" t="e">
        <f t="shared" si="2"/>
        <v>#REF!</v>
      </c>
      <c r="C58" s="112">
        <v>44096</v>
      </c>
      <c r="D58" s="98" t="s">
        <v>1879</v>
      </c>
      <c r="E58" s="98">
        <v>7601126</v>
      </c>
      <c r="F58" s="113" t="s">
        <v>1869</v>
      </c>
      <c r="G58" s="100" t="s">
        <v>178</v>
      </c>
      <c r="H58" s="101" t="s">
        <v>1872</v>
      </c>
      <c r="I58" s="98" t="s">
        <v>1879</v>
      </c>
      <c r="J58" s="102">
        <v>1</v>
      </c>
      <c r="K58" s="103" t="s">
        <v>1810</v>
      </c>
      <c r="L58" s="124">
        <v>4</v>
      </c>
      <c r="M58" s="125" t="s">
        <v>1609</v>
      </c>
      <c r="N58" s="106" t="str">
        <f t="shared" si="1"/>
        <v>14</v>
      </c>
      <c r="O58" s="107"/>
      <c r="P58" s="114" t="s">
        <v>1871</v>
      </c>
      <c r="Q58" s="107"/>
      <c r="R58" s="115" t="s">
        <v>1610</v>
      </c>
      <c r="S58" s="92" t="s">
        <v>1573</v>
      </c>
      <c r="T58" s="110"/>
      <c r="U58" s="94" t="s">
        <v>1610</v>
      </c>
      <c r="V58" s="107"/>
      <c r="W58" s="117">
        <v>7600167</v>
      </c>
      <c r="X58" s="115" t="s">
        <v>1610</v>
      </c>
      <c r="Z58" s="127" t="s">
        <v>1731</v>
      </c>
      <c r="AA58" s="147"/>
      <c r="AB58" s="147"/>
      <c r="AC58" s="147"/>
      <c r="AD58" s="147"/>
      <c r="AE58" s="88" t="s">
        <v>1778</v>
      </c>
      <c r="AF58" s="88" t="s">
        <v>1779</v>
      </c>
    </row>
    <row r="59" spans="1:52" ht="17.45" customHeight="1">
      <c r="A59" s="147"/>
      <c r="B59" s="96" t="e">
        <f t="shared" si="2"/>
        <v>#REF!</v>
      </c>
      <c r="C59" s="112">
        <v>40889</v>
      </c>
      <c r="D59" s="98" t="s">
        <v>1874</v>
      </c>
      <c r="E59" s="98">
        <v>7600641</v>
      </c>
      <c r="F59" s="113" t="s">
        <v>1869</v>
      </c>
      <c r="G59" s="100" t="s">
        <v>179</v>
      </c>
      <c r="H59" s="101" t="s">
        <v>1872</v>
      </c>
      <c r="I59" s="98" t="s">
        <v>1874</v>
      </c>
      <c r="J59" s="102">
        <v>1</v>
      </c>
      <c r="K59" s="103" t="s">
        <v>1810</v>
      </c>
      <c r="L59" s="124">
        <v>4</v>
      </c>
      <c r="M59" s="125" t="s">
        <v>1609</v>
      </c>
      <c r="N59" s="106" t="str">
        <f t="shared" si="1"/>
        <v>14</v>
      </c>
      <c r="O59" s="107"/>
      <c r="P59" s="114" t="s">
        <v>1871</v>
      </c>
      <c r="Q59" s="107"/>
      <c r="R59" s="115" t="s">
        <v>1610</v>
      </c>
      <c r="S59" s="92" t="s">
        <v>1573</v>
      </c>
      <c r="T59" s="110"/>
      <c r="U59" s="94" t="s">
        <v>1610</v>
      </c>
      <c r="V59" s="107"/>
      <c r="W59" s="117">
        <v>7600167</v>
      </c>
      <c r="X59" s="115" t="s">
        <v>1610</v>
      </c>
      <c r="Z59" s="127" t="s">
        <v>1636</v>
      </c>
      <c r="AA59" s="147"/>
      <c r="AB59" s="147"/>
      <c r="AC59" s="147"/>
      <c r="AD59" s="147"/>
      <c r="AE59" s="88" t="s">
        <v>1778</v>
      </c>
      <c r="AF59" s="88" t="s">
        <v>1779</v>
      </c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</row>
    <row r="60" spans="1:52" ht="17.45" customHeight="1">
      <c r="A60" s="147"/>
      <c r="B60" s="96" t="e">
        <f t="shared" si="2"/>
        <v>#REF!</v>
      </c>
      <c r="C60" s="112">
        <v>42333</v>
      </c>
      <c r="D60" s="98" t="s">
        <v>1877</v>
      </c>
      <c r="E60" s="98">
        <v>7600888</v>
      </c>
      <c r="F60" s="99" t="s">
        <v>1869</v>
      </c>
      <c r="G60" s="100" t="s">
        <v>181</v>
      </c>
      <c r="H60" s="101" t="s">
        <v>1872</v>
      </c>
      <c r="I60" s="98" t="s">
        <v>1877</v>
      </c>
      <c r="J60" s="126">
        <v>1</v>
      </c>
      <c r="K60" s="124" t="s">
        <v>1810</v>
      </c>
      <c r="L60" s="124">
        <v>4</v>
      </c>
      <c r="M60" s="125" t="s">
        <v>1609</v>
      </c>
      <c r="N60" s="106" t="str">
        <f t="shared" si="1"/>
        <v>14</v>
      </c>
      <c r="O60" s="107"/>
      <c r="P60" s="114" t="s">
        <v>1871</v>
      </c>
      <c r="Q60" s="107"/>
      <c r="R60" s="115" t="s">
        <v>1610</v>
      </c>
      <c r="S60" s="92" t="s">
        <v>1573</v>
      </c>
      <c r="T60" s="110"/>
      <c r="U60" s="94" t="s">
        <v>1610</v>
      </c>
      <c r="V60" s="107"/>
      <c r="W60" s="117">
        <v>7600167</v>
      </c>
      <c r="X60" s="115" t="s">
        <v>1610</v>
      </c>
      <c r="Z60" s="127" t="s">
        <v>1662</v>
      </c>
      <c r="AA60" s="147"/>
      <c r="AB60" s="147"/>
      <c r="AC60" s="147"/>
      <c r="AD60" s="147"/>
      <c r="AE60" s="88" t="s">
        <v>1778</v>
      </c>
      <c r="AF60" s="88" t="s">
        <v>1779</v>
      </c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47"/>
      <c r="AT60" s="147"/>
      <c r="AU60" s="147"/>
      <c r="AV60" s="147"/>
      <c r="AW60" s="147"/>
      <c r="AX60" s="147"/>
      <c r="AY60" s="147"/>
      <c r="AZ60" s="147"/>
    </row>
    <row r="61" spans="1:52" ht="17.45" customHeight="1">
      <c r="B61" s="96" t="e">
        <f t="shared" si="2"/>
        <v>#REF!</v>
      </c>
      <c r="C61" s="112">
        <v>37589</v>
      </c>
      <c r="D61" s="98" t="s">
        <v>1882</v>
      </c>
      <c r="E61" s="98">
        <v>7600332</v>
      </c>
      <c r="F61" s="113" t="s">
        <v>1881</v>
      </c>
      <c r="G61" s="100" t="s">
        <v>440</v>
      </c>
      <c r="H61" s="101" t="s">
        <v>1883</v>
      </c>
      <c r="I61" s="98" t="s">
        <v>1882</v>
      </c>
      <c r="J61" s="102">
        <v>2</v>
      </c>
      <c r="K61" s="103" t="s">
        <v>1784</v>
      </c>
      <c r="L61" s="124">
        <v>1</v>
      </c>
      <c r="M61" s="125" t="s">
        <v>1628</v>
      </c>
      <c r="N61" s="106" t="str">
        <f t="shared" si="1"/>
        <v>21</v>
      </c>
      <c r="O61" s="107"/>
      <c r="P61" s="114" t="s">
        <v>1882</v>
      </c>
      <c r="Q61" s="107"/>
      <c r="R61" s="115" t="s">
        <v>1633</v>
      </c>
      <c r="S61" s="92" t="s">
        <v>1630</v>
      </c>
      <c r="T61" s="110"/>
      <c r="U61" s="94" t="s">
        <v>1633</v>
      </c>
      <c r="V61" s="107"/>
      <c r="W61" s="117">
        <v>7600332</v>
      </c>
      <c r="X61" s="115" t="s">
        <v>1633</v>
      </c>
      <c r="Z61" s="127" t="s">
        <v>1632</v>
      </c>
      <c r="AA61" s="132"/>
      <c r="AB61" s="132"/>
      <c r="AC61" s="132"/>
      <c r="AD61" s="132"/>
      <c r="AE61" s="88" t="s">
        <v>1778</v>
      </c>
      <c r="AF61" s="88" t="s">
        <v>1779</v>
      </c>
    </row>
    <row r="62" spans="1:52" ht="17.45" customHeight="1">
      <c r="B62" s="96" t="e">
        <f t="shared" si="2"/>
        <v>#REF!</v>
      </c>
      <c r="C62" s="148">
        <v>41999</v>
      </c>
      <c r="D62" s="98" t="s">
        <v>1884</v>
      </c>
      <c r="E62" s="98">
        <v>7600845</v>
      </c>
      <c r="F62" s="113" t="s">
        <v>1881</v>
      </c>
      <c r="G62" s="100" t="s">
        <v>445</v>
      </c>
      <c r="H62" s="101" t="s">
        <v>1883</v>
      </c>
      <c r="I62" s="98" t="s">
        <v>1884</v>
      </c>
      <c r="J62" s="126">
        <v>2</v>
      </c>
      <c r="K62" s="124" t="s">
        <v>1784</v>
      </c>
      <c r="L62" s="124">
        <v>1</v>
      </c>
      <c r="M62" s="125" t="s">
        <v>1628</v>
      </c>
      <c r="N62" s="106" t="str">
        <f t="shared" si="1"/>
        <v>21</v>
      </c>
      <c r="O62" s="107"/>
      <c r="P62" s="114" t="s">
        <v>1882</v>
      </c>
      <c r="Q62" s="107"/>
      <c r="R62" s="115" t="s">
        <v>1633</v>
      </c>
      <c r="S62" s="92" t="s">
        <v>1630</v>
      </c>
      <c r="T62" s="110"/>
      <c r="U62" s="94" t="s">
        <v>1633</v>
      </c>
      <c r="V62" s="107"/>
      <c r="W62" s="117">
        <v>7600332</v>
      </c>
      <c r="X62" s="115" t="s">
        <v>1633</v>
      </c>
      <c r="Z62" s="127" t="s">
        <v>1627</v>
      </c>
      <c r="AE62" s="88" t="s">
        <v>1778</v>
      </c>
      <c r="AF62" s="88" t="s">
        <v>1779</v>
      </c>
    </row>
    <row r="63" spans="1:52" ht="17.45" customHeight="1">
      <c r="B63" s="96" t="e">
        <f t="shared" si="2"/>
        <v>#REF!</v>
      </c>
      <c r="C63" s="112">
        <v>41631</v>
      </c>
      <c r="D63" s="98" t="s">
        <v>1906</v>
      </c>
      <c r="E63" s="98">
        <v>7600678</v>
      </c>
      <c r="F63" s="113" t="s">
        <v>1905</v>
      </c>
      <c r="G63" s="100" t="s">
        <v>1049</v>
      </c>
      <c r="H63" s="101" t="s">
        <v>1887</v>
      </c>
      <c r="I63" s="98" t="s">
        <v>1906</v>
      </c>
      <c r="J63" s="126">
        <v>4</v>
      </c>
      <c r="K63" s="124" t="s">
        <v>1774</v>
      </c>
      <c r="L63" s="124">
        <v>6</v>
      </c>
      <c r="M63" s="125" t="s">
        <v>1735</v>
      </c>
      <c r="N63" s="106" t="str">
        <f t="shared" si="1"/>
        <v>46</v>
      </c>
      <c r="O63" s="107"/>
      <c r="P63" s="114" t="s">
        <v>1906</v>
      </c>
      <c r="Q63" s="107"/>
      <c r="R63" s="115" t="s">
        <v>1738</v>
      </c>
      <c r="S63" s="92" t="s">
        <v>1577</v>
      </c>
      <c r="T63" s="110"/>
      <c r="U63" s="94" t="s">
        <v>1738</v>
      </c>
      <c r="V63" s="107"/>
      <c r="W63" s="117">
        <v>7600678</v>
      </c>
      <c r="X63" s="115" t="s">
        <v>1738</v>
      </c>
      <c r="Z63" s="127" t="s">
        <v>1710</v>
      </c>
      <c r="AA63" s="107"/>
      <c r="AE63" s="88" t="s">
        <v>1778</v>
      </c>
      <c r="AF63" s="88" t="s">
        <v>1779</v>
      </c>
    </row>
    <row r="64" spans="1:52" ht="17.45" customHeight="1">
      <c r="B64" s="96" t="e">
        <f t="shared" si="2"/>
        <v>#REF!</v>
      </c>
      <c r="C64" s="112">
        <v>41425</v>
      </c>
      <c r="D64" s="98" t="s">
        <v>1910</v>
      </c>
      <c r="E64" s="98">
        <v>7601188</v>
      </c>
      <c r="F64" s="113" t="s">
        <v>1908</v>
      </c>
      <c r="G64" s="100" t="s">
        <v>682</v>
      </c>
      <c r="H64" s="101" t="s">
        <v>1889</v>
      </c>
      <c r="I64" s="98" t="s">
        <v>1910</v>
      </c>
      <c r="J64" s="126">
        <v>3</v>
      </c>
      <c r="K64" s="124" t="s">
        <v>1802</v>
      </c>
      <c r="L64" s="124">
        <v>5</v>
      </c>
      <c r="M64" s="125" t="s">
        <v>1685</v>
      </c>
      <c r="N64" s="106" t="str">
        <f t="shared" si="1"/>
        <v>35</v>
      </c>
      <c r="O64" s="107"/>
      <c r="P64" s="114" t="s">
        <v>1909</v>
      </c>
      <c r="Q64" s="107"/>
      <c r="R64" s="115" t="s">
        <v>1680</v>
      </c>
      <c r="S64" s="92" t="s">
        <v>1585</v>
      </c>
      <c r="T64" s="110"/>
      <c r="U64" s="94" t="s">
        <v>1680</v>
      </c>
      <c r="V64" s="107"/>
      <c r="W64" s="117">
        <v>7600417</v>
      </c>
      <c r="X64" s="115" t="s">
        <v>1680</v>
      </c>
      <c r="Z64" s="127" t="s">
        <v>1673</v>
      </c>
      <c r="AE64" s="88" t="s">
        <v>1778</v>
      </c>
      <c r="AF64" s="88" t="s">
        <v>1779</v>
      </c>
    </row>
    <row r="65" spans="2:32" ht="17.45" customHeight="1">
      <c r="B65" s="96" t="e">
        <f t="shared" si="2"/>
        <v>#REF!</v>
      </c>
      <c r="C65" s="112">
        <v>39072</v>
      </c>
      <c r="D65" s="98" t="s">
        <v>1909</v>
      </c>
      <c r="E65" s="98">
        <v>7600417</v>
      </c>
      <c r="F65" s="99" t="s">
        <v>1908</v>
      </c>
      <c r="G65" s="100" t="s">
        <v>687</v>
      </c>
      <c r="H65" s="101" t="s">
        <v>1891</v>
      </c>
      <c r="I65" s="98" t="s">
        <v>1909</v>
      </c>
      <c r="J65" s="102">
        <v>3</v>
      </c>
      <c r="K65" s="103" t="s">
        <v>1802</v>
      </c>
      <c r="L65" s="124">
        <v>5</v>
      </c>
      <c r="M65" s="125" t="s">
        <v>1685</v>
      </c>
      <c r="N65" s="106" t="str">
        <f t="shared" si="1"/>
        <v>35</v>
      </c>
      <c r="O65" s="107"/>
      <c r="P65" s="114" t="s">
        <v>1909</v>
      </c>
      <c r="Q65" s="107"/>
      <c r="R65" s="115" t="s">
        <v>1680</v>
      </c>
      <c r="S65" s="92" t="s">
        <v>1585</v>
      </c>
      <c r="T65" s="110"/>
      <c r="U65" s="94" t="s">
        <v>1680</v>
      </c>
      <c r="V65" s="107"/>
      <c r="W65" s="117">
        <v>7600417</v>
      </c>
      <c r="X65" s="115" t="s">
        <v>1680</v>
      </c>
      <c r="Z65" s="127" t="s">
        <v>1626</v>
      </c>
      <c r="AE65" s="88" t="s">
        <v>1778</v>
      </c>
      <c r="AF65" s="88" t="s">
        <v>1779</v>
      </c>
    </row>
    <row r="66" spans="2:32" ht="17.45" customHeight="1">
      <c r="B66" s="96" t="e">
        <f t="shared" si="2"/>
        <v>#REF!</v>
      </c>
      <c r="C66" s="112">
        <v>43819</v>
      </c>
      <c r="D66" s="98" t="s">
        <v>1912</v>
      </c>
      <c r="E66" s="98">
        <v>7601109</v>
      </c>
      <c r="F66" s="99" t="s">
        <v>1908</v>
      </c>
      <c r="G66" s="100" t="s">
        <v>691</v>
      </c>
      <c r="H66" s="101" t="s">
        <v>1889</v>
      </c>
      <c r="I66" s="98" t="s">
        <v>1912</v>
      </c>
      <c r="J66" s="126">
        <v>3</v>
      </c>
      <c r="K66" s="124" t="s">
        <v>1802</v>
      </c>
      <c r="L66" s="124">
        <v>5</v>
      </c>
      <c r="M66" s="125" t="s">
        <v>1685</v>
      </c>
      <c r="N66" s="106" t="str">
        <f t="shared" si="1"/>
        <v>35</v>
      </c>
      <c r="O66" s="107"/>
      <c r="P66" s="114" t="s">
        <v>1909</v>
      </c>
      <c r="Q66" s="107"/>
      <c r="R66" s="115" t="s">
        <v>1680</v>
      </c>
      <c r="S66" s="92" t="s">
        <v>1585</v>
      </c>
      <c r="T66" s="110"/>
      <c r="U66" s="94" t="s">
        <v>1680</v>
      </c>
      <c r="V66" s="107"/>
      <c r="W66" s="117">
        <v>7600417</v>
      </c>
      <c r="X66" s="115" t="s">
        <v>1680</v>
      </c>
      <c r="Z66" s="127" t="s">
        <v>1692</v>
      </c>
      <c r="AE66" s="88" t="s">
        <v>1778</v>
      </c>
      <c r="AF66" s="88" t="s">
        <v>1779</v>
      </c>
    </row>
    <row r="67" spans="2:32" ht="17.45" customHeight="1">
      <c r="B67" s="96" t="e">
        <f t="shared" si="2"/>
        <v>#REF!</v>
      </c>
      <c r="C67" s="112">
        <v>36091</v>
      </c>
      <c r="D67" s="98" t="s">
        <v>1914</v>
      </c>
      <c r="E67" s="98">
        <v>7600088</v>
      </c>
      <c r="F67" s="99" t="s">
        <v>1913</v>
      </c>
      <c r="G67" s="100" t="s">
        <v>771</v>
      </c>
      <c r="H67" s="101" t="s">
        <v>1894</v>
      </c>
      <c r="I67" s="98" t="s">
        <v>1914</v>
      </c>
      <c r="J67" s="102">
        <v>3</v>
      </c>
      <c r="K67" s="103" t="s">
        <v>1802</v>
      </c>
      <c r="L67" s="124">
        <v>3</v>
      </c>
      <c r="M67" s="125" t="s">
        <v>1677</v>
      </c>
      <c r="N67" s="106" t="str">
        <f t="shared" si="1"/>
        <v>33</v>
      </c>
      <c r="O67" s="107"/>
      <c r="P67" s="114" t="s">
        <v>1914</v>
      </c>
      <c r="Q67" s="107"/>
      <c r="R67" s="115" t="s">
        <v>1691</v>
      </c>
      <c r="S67" s="92" t="s">
        <v>1583</v>
      </c>
      <c r="T67" s="110"/>
      <c r="U67" s="94" t="s">
        <v>1691</v>
      </c>
      <c r="V67" s="107"/>
      <c r="W67" s="117">
        <v>7600088</v>
      </c>
      <c r="X67" s="115" t="s">
        <v>1691</v>
      </c>
      <c r="Z67" s="127" t="s">
        <v>1704</v>
      </c>
      <c r="AE67" s="88" t="s">
        <v>1778</v>
      </c>
      <c r="AF67" s="88" t="s">
        <v>1779</v>
      </c>
    </row>
    <row r="68" spans="2:32" ht="17.45" customHeight="1">
      <c r="B68" s="96" t="e">
        <f t="shared" si="2"/>
        <v>#REF!</v>
      </c>
      <c r="C68" s="112">
        <v>36301</v>
      </c>
      <c r="D68" s="98" t="s">
        <v>1915</v>
      </c>
      <c r="E68" s="98">
        <v>7600111</v>
      </c>
      <c r="F68" s="113" t="s">
        <v>1913</v>
      </c>
      <c r="G68" s="100" t="s">
        <v>776</v>
      </c>
      <c r="H68" s="101" t="s">
        <v>1894</v>
      </c>
      <c r="I68" s="98" t="s">
        <v>1915</v>
      </c>
      <c r="J68" s="102">
        <v>3</v>
      </c>
      <c r="K68" s="103" t="s">
        <v>1802</v>
      </c>
      <c r="L68" s="124">
        <v>3</v>
      </c>
      <c r="M68" s="125" t="s">
        <v>1677</v>
      </c>
      <c r="N68" s="106" t="str">
        <f t="shared" si="1"/>
        <v>33</v>
      </c>
      <c r="O68" s="107"/>
      <c r="P68" s="114" t="s">
        <v>1914</v>
      </c>
      <c r="Q68" s="107"/>
      <c r="R68" s="115" t="s">
        <v>1691</v>
      </c>
      <c r="S68" s="92" t="s">
        <v>1583</v>
      </c>
      <c r="T68" s="110"/>
      <c r="U68" s="94" t="s">
        <v>1691</v>
      </c>
      <c r="V68" s="107"/>
      <c r="W68" s="117">
        <v>7600088</v>
      </c>
      <c r="X68" s="115" t="s">
        <v>1691</v>
      </c>
      <c r="Z68" s="127" t="s">
        <v>1897</v>
      </c>
      <c r="AA68" s="182"/>
      <c r="AB68" s="182"/>
      <c r="AC68" s="182"/>
      <c r="AD68" s="182"/>
      <c r="AE68" s="88" t="s">
        <v>1778</v>
      </c>
      <c r="AF68" s="88" t="s">
        <v>1779</v>
      </c>
    </row>
    <row r="69" spans="2:32" ht="17.45" customHeight="1">
      <c r="B69" s="96" t="e">
        <f t="shared" si="2"/>
        <v>#REF!</v>
      </c>
      <c r="C69" s="112">
        <v>36867</v>
      </c>
      <c r="D69" s="98" t="s">
        <v>1919</v>
      </c>
      <c r="E69" s="98">
        <v>7600192</v>
      </c>
      <c r="F69" s="113" t="s">
        <v>1916</v>
      </c>
      <c r="G69" s="100" t="s">
        <v>183</v>
      </c>
      <c r="H69" s="101" t="s">
        <v>1899</v>
      </c>
      <c r="I69" s="98" t="s">
        <v>1919</v>
      </c>
      <c r="J69" s="102">
        <v>1</v>
      </c>
      <c r="K69" s="103" t="s">
        <v>1810</v>
      </c>
      <c r="L69" s="124">
        <v>6</v>
      </c>
      <c r="M69" s="125" t="s">
        <v>1618</v>
      </c>
      <c r="N69" s="106" t="str">
        <f t="shared" ref="N69:N132" si="3">J69&amp;L69</f>
        <v>16</v>
      </c>
      <c r="O69" s="107"/>
      <c r="P69" s="114" t="s">
        <v>1917</v>
      </c>
      <c r="Q69" s="107"/>
      <c r="R69" s="115" t="s">
        <v>1619</v>
      </c>
      <c r="S69" s="92" t="s">
        <v>1575</v>
      </c>
      <c r="T69" s="110"/>
      <c r="U69" s="94" t="s">
        <v>1619</v>
      </c>
      <c r="V69" s="107"/>
      <c r="W69" s="117">
        <v>7600109</v>
      </c>
      <c r="X69" s="115" t="s">
        <v>1619</v>
      </c>
      <c r="Z69" s="127" t="s">
        <v>1697</v>
      </c>
      <c r="AE69" s="88" t="s">
        <v>1778</v>
      </c>
      <c r="AF69" s="88" t="s">
        <v>1779</v>
      </c>
    </row>
    <row r="70" spans="2:32" ht="17.45" customHeight="1">
      <c r="B70" s="96" t="e">
        <f t="shared" si="2"/>
        <v>#REF!</v>
      </c>
      <c r="C70" s="112">
        <v>41240</v>
      </c>
      <c r="D70" s="98" t="s">
        <v>1921</v>
      </c>
      <c r="E70" s="98">
        <v>7600692</v>
      </c>
      <c r="F70" s="113" t="s">
        <v>1916</v>
      </c>
      <c r="G70" s="100" t="s">
        <v>189</v>
      </c>
      <c r="H70" s="101" t="s">
        <v>1899</v>
      </c>
      <c r="I70" s="98" t="s">
        <v>1921</v>
      </c>
      <c r="J70" s="126">
        <v>1</v>
      </c>
      <c r="K70" s="124" t="s">
        <v>1810</v>
      </c>
      <c r="L70" s="124">
        <v>6</v>
      </c>
      <c r="M70" s="125" t="s">
        <v>1618</v>
      </c>
      <c r="N70" s="106" t="str">
        <f t="shared" si="3"/>
        <v>16</v>
      </c>
      <c r="O70" s="107"/>
      <c r="P70" s="114" t="s">
        <v>1917</v>
      </c>
      <c r="Q70" s="107"/>
      <c r="R70" s="115" t="s">
        <v>1619</v>
      </c>
      <c r="S70" s="92" t="s">
        <v>1575</v>
      </c>
      <c r="T70" s="110"/>
      <c r="U70" s="94" t="s">
        <v>1619</v>
      </c>
      <c r="V70" s="107"/>
      <c r="W70" s="117">
        <v>7600109</v>
      </c>
      <c r="X70" s="115" t="s">
        <v>1619</v>
      </c>
      <c r="Z70" s="127" t="s">
        <v>1656</v>
      </c>
      <c r="AE70" s="88" t="s">
        <v>1778</v>
      </c>
      <c r="AF70" s="88" t="s">
        <v>1779</v>
      </c>
    </row>
    <row r="71" spans="2:32" ht="17.45" customHeight="1">
      <c r="B71" s="96" t="e">
        <f t="shared" si="2"/>
        <v>#REF!</v>
      </c>
      <c r="C71" s="112">
        <v>41486</v>
      </c>
      <c r="D71" s="98" t="s">
        <v>1923</v>
      </c>
      <c r="E71" s="98">
        <v>7600752</v>
      </c>
      <c r="F71" s="113" t="s">
        <v>1916</v>
      </c>
      <c r="G71" s="100" t="s">
        <v>1922</v>
      </c>
      <c r="H71" s="101" t="s">
        <v>1899</v>
      </c>
      <c r="I71" s="98" t="s">
        <v>1923</v>
      </c>
      <c r="J71" s="126">
        <v>1</v>
      </c>
      <c r="K71" s="124" t="s">
        <v>1810</v>
      </c>
      <c r="L71" s="124">
        <v>6</v>
      </c>
      <c r="M71" s="125" t="s">
        <v>1618</v>
      </c>
      <c r="N71" s="106" t="str">
        <f t="shared" si="3"/>
        <v>16</v>
      </c>
      <c r="O71" s="107"/>
      <c r="P71" s="114" t="s">
        <v>1917</v>
      </c>
      <c r="Q71" s="107"/>
      <c r="R71" s="115" t="s">
        <v>1619</v>
      </c>
      <c r="S71" s="92" t="s">
        <v>1575</v>
      </c>
      <c r="T71" s="110"/>
      <c r="U71" s="94" t="s">
        <v>1619</v>
      </c>
      <c r="V71" s="107"/>
      <c r="W71" s="117">
        <v>7600109</v>
      </c>
      <c r="X71" s="115" t="s">
        <v>1619</v>
      </c>
      <c r="Z71" s="127" t="s">
        <v>1651</v>
      </c>
      <c r="AE71" s="88" t="s">
        <v>1778</v>
      </c>
      <c r="AF71" s="88" t="s">
        <v>1779</v>
      </c>
    </row>
    <row r="72" spans="2:32" ht="17.45" customHeight="1">
      <c r="B72" s="96" t="e">
        <f t="shared" si="2"/>
        <v>#REF!</v>
      </c>
      <c r="C72" s="112">
        <v>41607</v>
      </c>
      <c r="D72" s="98" t="s">
        <v>1924</v>
      </c>
      <c r="E72" s="98">
        <v>7600762</v>
      </c>
      <c r="F72" s="113" t="s">
        <v>1916</v>
      </c>
      <c r="G72" s="100" t="s">
        <v>192</v>
      </c>
      <c r="H72" s="101" t="s">
        <v>1899</v>
      </c>
      <c r="I72" s="98" t="s">
        <v>1924</v>
      </c>
      <c r="J72" s="126">
        <v>1</v>
      </c>
      <c r="K72" s="124" t="s">
        <v>1810</v>
      </c>
      <c r="L72" s="124">
        <v>6</v>
      </c>
      <c r="M72" s="125" t="s">
        <v>1618</v>
      </c>
      <c r="N72" s="106" t="str">
        <f t="shared" si="3"/>
        <v>16</v>
      </c>
      <c r="O72" s="107"/>
      <c r="P72" s="114" t="s">
        <v>1917</v>
      </c>
      <c r="Q72" s="107"/>
      <c r="R72" s="115" t="s">
        <v>1619</v>
      </c>
      <c r="S72" s="92" t="s">
        <v>1575</v>
      </c>
      <c r="T72" s="110"/>
      <c r="U72" s="94" t="s">
        <v>1619</v>
      </c>
      <c r="V72" s="107"/>
      <c r="W72" s="117">
        <v>7600109</v>
      </c>
      <c r="X72" s="115" t="s">
        <v>1619</v>
      </c>
      <c r="Z72" s="127" t="s">
        <v>1643</v>
      </c>
      <c r="AE72" s="88" t="s">
        <v>1778</v>
      </c>
      <c r="AF72" s="88" t="s">
        <v>1779</v>
      </c>
    </row>
    <row r="73" spans="2:32" ht="17.45" customHeight="1">
      <c r="B73" s="96" t="e">
        <f t="shared" si="2"/>
        <v>#REF!</v>
      </c>
      <c r="C73" s="112">
        <v>36307</v>
      </c>
      <c r="D73" s="98" t="s">
        <v>1917</v>
      </c>
      <c r="E73" s="98">
        <v>7600109</v>
      </c>
      <c r="F73" s="113" t="s">
        <v>1916</v>
      </c>
      <c r="G73" s="100" t="s">
        <v>195</v>
      </c>
      <c r="H73" s="101" t="s">
        <v>1899</v>
      </c>
      <c r="I73" s="98" t="s">
        <v>1917</v>
      </c>
      <c r="J73" s="102">
        <v>1</v>
      </c>
      <c r="K73" s="103" t="s">
        <v>1810</v>
      </c>
      <c r="L73" s="124">
        <v>6</v>
      </c>
      <c r="M73" s="125" t="s">
        <v>1618</v>
      </c>
      <c r="N73" s="106" t="str">
        <f t="shared" si="3"/>
        <v>16</v>
      </c>
      <c r="O73" s="107"/>
      <c r="P73" s="114" t="s">
        <v>1917</v>
      </c>
      <c r="Q73" s="107"/>
      <c r="R73" s="115" t="s">
        <v>1619</v>
      </c>
      <c r="S73" s="92" t="s">
        <v>1575</v>
      </c>
      <c r="T73" s="110"/>
      <c r="U73" s="94" t="s">
        <v>1619</v>
      </c>
      <c r="V73" s="107"/>
      <c r="W73" s="117">
        <v>7600109</v>
      </c>
      <c r="X73" s="115" t="s">
        <v>1619</v>
      </c>
      <c r="Z73" s="127" t="s">
        <v>1907</v>
      </c>
      <c r="AE73" s="88" t="s">
        <v>1778</v>
      </c>
      <c r="AF73" s="88" t="s">
        <v>1779</v>
      </c>
    </row>
    <row r="74" spans="2:32" ht="17.45" customHeight="1">
      <c r="B74" s="96" t="e">
        <f t="shared" si="2"/>
        <v>#REF!</v>
      </c>
      <c r="C74" s="112">
        <v>42873</v>
      </c>
      <c r="D74" s="98" t="s">
        <v>1928</v>
      </c>
      <c r="E74" s="98">
        <v>7601198</v>
      </c>
      <c r="F74" s="113" t="s">
        <v>1916</v>
      </c>
      <c r="G74" s="100" t="s">
        <v>197</v>
      </c>
      <c r="H74" s="101" t="s">
        <v>1911</v>
      </c>
      <c r="I74" s="98" t="s">
        <v>1928</v>
      </c>
      <c r="J74" s="126">
        <v>1</v>
      </c>
      <c r="K74" s="124" t="s">
        <v>1810</v>
      </c>
      <c r="L74" s="124">
        <v>6</v>
      </c>
      <c r="M74" s="125" t="s">
        <v>1618</v>
      </c>
      <c r="N74" s="106" t="str">
        <f t="shared" si="3"/>
        <v>16</v>
      </c>
      <c r="O74" s="107"/>
      <c r="P74" s="114" t="s">
        <v>1917</v>
      </c>
      <c r="Q74" s="107"/>
      <c r="R74" s="115" t="s">
        <v>1619</v>
      </c>
      <c r="S74" s="92" t="s">
        <v>1575</v>
      </c>
      <c r="T74" s="110"/>
      <c r="U74" s="94" t="s">
        <v>1619</v>
      </c>
      <c r="V74" s="107"/>
      <c r="W74" s="117">
        <v>7600109</v>
      </c>
      <c r="X74" s="115" t="s">
        <v>1619</v>
      </c>
      <c r="Z74" s="152" t="s">
        <v>1655</v>
      </c>
      <c r="AE74" s="88" t="s">
        <v>1778</v>
      </c>
      <c r="AF74" s="88" t="s">
        <v>1779</v>
      </c>
    </row>
    <row r="75" spans="2:32" ht="17.45" customHeight="1">
      <c r="B75" s="96" t="e">
        <f t="shared" si="2"/>
        <v>#REF!</v>
      </c>
      <c r="C75" s="112">
        <v>42270</v>
      </c>
      <c r="D75" s="98" t="s">
        <v>1926</v>
      </c>
      <c r="E75" s="98">
        <v>7600871</v>
      </c>
      <c r="F75" s="113" t="s">
        <v>1916</v>
      </c>
      <c r="G75" s="100" t="s">
        <v>200</v>
      </c>
      <c r="H75" s="101" t="s">
        <v>1899</v>
      </c>
      <c r="I75" s="98" t="s">
        <v>1926</v>
      </c>
      <c r="J75" s="126">
        <v>1</v>
      </c>
      <c r="K75" s="124" t="s">
        <v>1810</v>
      </c>
      <c r="L75" s="124">
        <v>6</v>
      </c>
      <c r="M75" s="125" t="s">
        <v>1618</v>
      </c>
      <c r="N75" s="106" t="str">
        <f t="shared" si="3"/>
        <v>16</v>
      </c>
      <c r="O75" s="107"/>
      <c r="P75" s="114" t="s">
        <v>1917</v>
      </c>
      <c r="Q75" s="107"/>
      <c r="R75" s="115" t="s">
        <v>1619</v>
      </c>
      <c r="S75" s="92" t="s">
        <v>1575</v>
      </c>
      <c r="T75" s="110"/>
      <c r="U75" s="94" t="s">
        <v>1619</v>
      </c>
      <c r="V75" s="107"/>
      <c r="W75" s="117">
        <v>7600109</v>
      </c>
      <c r="X75" s="115" t="s">
        <v>1619</v>
      </c>
      <c r="Z75" s="127" t="s">
        <v>1733</v>
      </c>
      <c r="AE75" s="88" t="s">
        <v>1778</v>
      </c>
      <c r="AF75" s="88" t="s">
        <v>1779</v>
      </c>
    </row>
    <row r="76" spans="2:32" ht="17.45" customHeight="1">
      <c r="B76" s="96" t="e">
        <f t="shared" si="2"/>
        <v>#REF!</v>
      </c>
      <c r="C76" s="112">
        <v>42870</v>
      </c>
      <c r="D76" s="98" t="s">
        <v>1927</v>
      </c>
      <c r="E76" s="98">
        <v>7600963</v>
      </c>
      <c r="F76" s="113" t="s">
        <v>1916</v>
      </c>
      <c r="G76" s="100" t="s">
        <v>203</v>
      </c>
      <c r="H76" s="101" t="s">
        <v>1899</v>
      </c>
      <c r="I76" s="98" t="s">
        <v>1927</v>
      </c>
      <c r="J76" s="126">
        <v>1</v>
      </c>
      <c r="K76" s="124" t="s">
        <v>1810</v>
      </c>
      <c r="L76" s="124">
        <v>6</v>
      </c>
      <c r="M76" s="125" t="s">
        <v>1618</v>
      </c>
      <c r="N76" s="106" t="str">
        <f t="shared" si="3"/>
        <v>16</v>
      </c>
      <c r="O76" s="107"/>
      <c r="P76" s="114" t="s">
        <v>1917</v>
      </c>
      <c r="Q76" s="107"/>
      <c r="R76" s="115" t="s">
        <v>1619</v>
      </c>
      <c r="S76" s="92" t="s">
        <v>1575</v>
      </c>
      <c r="T76" s="110"/>
      <c r="U76" s="94" t="s">
        <v>1619</v>
      </c>
      <c r="V76" s="107"/>
      <c r="W76" s="117">
        <v>7600109</v>
      </c>
      <c r="X76" s="115" t="s">
        <v>1619</v>
      </c>
      <c r="Z76" s="127" t="s">
        <v>1698</v>
      </c>
      <c r="AE76" s="88" t="s">
        <v>1778</v>
      </c>
      <c r="AF76" s="88" t="s">
        <v>1779</v>
      </c>
    </row>
    <row r="77" spans="2:32" ht="17.45" customHeight="1">
      <c r="B77" s="96" t="e">
        <f t="shared" ref="B77:B140" si="4">B76+1</f>
        <v>#REF!</v>
      </c>
      <c r="C77" s="112">
        <v>41264</v>
      </c>
      <c r="D77" s="98" t="s">
        <v>1925</v>
      </c>
      <c r="E77" s="98">
        <v>7600808</v>
      </c>
      <c r="F77" s="113" t="s">
        <v>1916</v>
      </c>
      <c r="G77" s="100" t="s">
        <v>204</v>
      </c>
      <c r="H77" s="101" t="s">
        <v>1899</v>
      </c>
      <c r="I77" s="98" t="s">
        <v>1925</v>
      </c>
      <c r="J77" s="102">
        <v>1</v>
      </c>
      <c r="K77" s="103" t="s">
        <v>1810</v>
      </c>
      <c r="L77" s="124">
        <v>6</v>
      </c>
      <c r="M77" s="125" t="s">
        <v>1618</v>
      </c>
      <c r="N77" s="106" t="str">
        <f t="shared" si="3"/>
        <v>16</v>
      </c>
      <c r="O77" s="107"/>
      <c r="P77" s="114" t="s">
        <v>1917</v>
      </c>
      <c r="Q77" s="107"/>
      <c r="R77" s="115" t="s">
        <v>1619</v>
      </c>
      <c r="S77" s="92" t="s">
        <v>1575</v>
      </c>
      <c r="T77" s="110"/>
      <c r="U77" s="94" t="s">
        <v>1619</v>
      </c>
      <c r="V77" s="107"/>
      <c r="W77" s="117">
        <v>7600109</v>
      </c>
      <c r="X77" s="115" t="s">
        <v>1619</v>
      </c>
      <c r="Z77" s="127" t="s">
        <v>1918</v>
      </c>
      <c r="AE77" s="88" t="s">
        <v>1778</v>
      </c>
      <c r="AF77" s="88" t="s">
        <v>1779</v>
      </c>
    </row>
    <row r="78" spans="2:32" ht="17.45" customHeight="1">
      <c r="B78" s="96" t="e">
        <f t="shared" si="4"/>
        <v>#REF!</v>
      </c>
      <c r="C78" s="112">
        <v>41787</v>
      </c>
      <c r="D78" s="98" t="s">
        <v>2285</v>
      </c>
      <c r="E78" s="98">
        <v>7600788</v>
      </c>
      <c r="F78" s="113" t="s">
        <v>1916</v>
      </c>
      <c r="G78" s="100" t="s">
        <v>206</v>
      </c>
      <c r="H78" s="101" t="s">
        <v>1899</v>
      </c>
      <c r="I78" s="98" t="s">
        <v>2285</v>
      </c>
      <c r="J78" s="126">
        <v>1</v>
      </c>
      <c r="K78" s="124" t="s">
        <v>1810</v>
      </c>
      <c r="L78" s="124">
        <v>6</v>
      </c>
      <c r="M78" s="125" t="s">
        <v>1618</v>
      </c>
      <c r="N78" s="106" t="str">
        <f t="shared" si="3"/>
        <v>16</v>
      </c>
      <c r="O78" s="107"/>
      <c r="P78" s="114" t="s">
        <v>1917</v>
      </c>
      <c r="Q78" s="107"/>
      <c r="R78" s="115" t="s">
        <v>1619</v>
      </c>
      <c r="S78" s="92" t="s">
        <v>1575</v>
      </c>
      <c r="T78" s="110"/>
      <c r="U78" s="94" t="s">
        <v>1619</v>
      </c>
      <c r="V78" s="107"/>
      <c r="W78" s="117">
        <v>7600109</v>
      </c>
      <c r="X78" s="115" t="s">
        <v>1619</v>
      </c>
      <c r="Z78" s="127" t="s">
        <v>1599</v>
      </c>
      <c r="AE78" s="88" t="s">
        <v>1778</v>
      </c>
      <c r="AF78" s="88" t="s">
        <v>1779</v>
      </c>
    </row>
    <row r="79" spans="2:32" ht="17.45" customHeight="1">
      <c r="B79" s="96" t="e">
        <f t="shared" si="4"/>
        <v>#REF!</v>
      </c>
      <c r="C79" s="112">
        <v>41612</v>
      </c>
      <c r="D79" s="98" t="s">
        <v>1888</v>
      </c>
      <c r="E79" s="98">
        <v>7600718</v>
      </c>
      <c r="F79" s="113" t="s">
        <v>1885</v>
      </c>
      <c r="G79" s="100" t="s">
        <v>1083</v>
      </c>
      <c r="H79" s="101" t="s">
        <v>1920</v>
      </c>
      <c r="I79" s="98" t="s">
        <v>1888</v>
      </c>
      <c r="J79" s="102">
        <v>4</v>
      </c>
      <c r="K79" s="103" t="s">
        <v>1774</v>
      </c>
      <c r="L79" s="124">
        <v>7</v>
      </c>
      <c r="M79" s="125" t="s">
        <v>1744</v>
      </c>
      <c r="N79" s="106" t="str">
        <f t="shared" si="3"/>
        <v>47</v>
      </c>
      <c r="O79" s="107"/>
      <c r="P79" s="114" t="s">
        <v>1886</v>
      </c>
      <c r="Q79" s="107"/>
      <c r="R79" s="115" t="s">
        <v>1745</v>
      </c>
      <c r="S79" s="92" t="s">
        <v>1592</v>
      </c>
      <c r="T79" s="110"/>
      <c r="U79" s="94" t="s">
        <v>1745</v>
      </c>
      <c r="V79" s="107"/>
      <c r="W79" s="117">
        <v>7600466</v>
      </c>
      <c r="X79" s="115" t="s">
        <v>1745</v>
      </c>
      <c r="Z79" s="127" t="s">
        <v>1683</v>
      </c>
      <c r="AE79" s="88" t="s">
        <v>1778</v>
      </c>
      <c r="AF79" s="88" t="s">
        <v>1779</v>
      </c>
    </row>
    <row r="80" spans="2:32" ht="17.45" customHeight="1">
      <c r="B80" s="96" t="e">
        <f t="shared" si="4"/>
        <v>#REF!</v>
      </c>
      <c r="C80" s="112">
        <v>39289</v>
      </c>
      <c r="D80" s="98" t="s">
        <v>1886</v>
      </c>
      <c r="E80" s="98">
        <v>7600466</v>
      </c>
      <c r="F80" s="113" t="s">
        <v>1885</v>
      </c>
      <c r="G80" s="100" t="s">
        <v>1086</v>
      </c>
      <c r="H80" s="101" t="s">
        <v>1920</v>
      </c>
      <c r="I80" s="98" t="s">
        <v>1886</v>
      </c>
      <c r="J80" s="102">
        <v>4</v>
      </c>
      <c r="K80" s="103" t="s">
        <v>1774</v>
      </c>
      <c r="L80" s="124">
        <v>7</v>
      </c>
      <c r="M80" s="125" t="s">
        <v>1744</v>
      </c>
      <c r="N80" s="106" t="str">
        <f t="shared" si="3"/>
        <v>47</v>
      </c>
      <c r="O80" s="107"/>
      <c r="P80" s="114" t="s">
        <v>1886</v>
      </c>
      <c r="Q80" s="107"/>
      <c r="R80" s="115" t="s">
        <v>1745</v>
      </c>
      <c r="S80" s="92" t="s">
        <v>1592</v>
      </c>
      <c r="T80" s="110"/>
      <c r="U80" s="94" t="s">
        <v>1745</v>
      </c>
      <c r="V80" s="107"/>
      <c r="W80" s="117">
        <v>7600466</v>
      </c>
      <c r="X80" s="115" t="s">
        <v>1745</v>
      </c>
      <c r="Z80" s="127" t="s">
        <v>1750</v>
      </c>
      <c r="AE80" s="88" t="s">
        <v>1778</v>
      </c>
      <c r="AF80" s="88" t="s">
        <v>1779</v>
      </c>
    </row>
    <row r="81" spans="1:52" ht="17.45" customHeight="1">
      <c r="B81" s="96" t="e">
        <f t="shared" si="4"/>
        <v>#REF!</v>
      </c>
      <c r="C81" s="112">
        <v>44946</v>
      </c>
      <c r="D81" s="98" t="s">
        <v>1901</v>
      </c>
      <c r="E81" s="98">
        <v>7601196</v>
      </c>
      <c r="F81" s="153" t="s">
        <v>1885</v>
      </c>
      <c r="G81" s="100" t="s">
        <v>1102</v>
      </c>
      <c r="H81" s="154" t="s">
        <v>1920</v>
      </c>
      <c r="I81" s="98" t="s">
        <v>1901</v>
      </c>
      <c r="J81" s="126">
        <v>4</v>
      </c>
      <c r="K81" s="124" t="s">
        <v>1774</v>
      </c>
      <c r="L81" s="124">
        <v>7</v>
      </c>
      <c r="M81" s="125" t="s">
        <v>1744</v>
      </c>
      <c r="N81" s="106" t="str">
        <f t="shared" si="3"/>
        <v>47</v>
      </c>
      <c r="O81" s="107"/>
      <c r="P81" s="114" t="s">
        <v>1886</v>
      </c>
      <c r="Q81" s="107"/>
      <c r="R81" s="115" t="s">
        <v>1745</v>
      </c>
      <c r="S81" s="92" t="s">
        <v>1592</v>
      </c>
      <c r="T81" s="110"/>
      <c r="U81" s="94" t="s">
        <v>1745</v>
      </c>
      <c r="V81" s="107"/>
      <c r="W81" s="117">
        <v>7600466</v>
      </c>
      <c r="X81" s="115" t="s">
        <v>1745</v>
      </c>
      <c r="Z81" s="127" t="s">
        <v>1642</v>
      </c>
      <c r="AE81" s="88" t="s">
        <v>1778</v>
      </c>
      <c r="AF81" s="88" t="s">
        <v>1779</v>
      </c>
    </row>
    <row r="82" spans="1:52" ht="17.45" customHeight="1">
      <c r="B82" s="96" t="e">
        <f t="shared" si="4"/>
        <v>#REF!</v>
      </c>
      <c r="C82" s="112">
        <v>39703</v>
      </c>
      <c r="D82" s="98" t="s">
        <v>1893</v>
      </c>
      <c r="E82" s="98">
        <v>7601156</v>
      </c>
      <c r="F82" s="113" t="s">
        <v>1885</v>
      </c>
      <c r="G82" s="100" t="s">
        <v>1072</v>
      </c>
      <c r="H82" s="101" t="s">
        <v>1920</v>
      </c>
      <c r="I82" s="98" t="s">
        <v>1893</v>
      </c>
      <c r="J82" s="126">
        <v>4</v>
      </c>
      <c r="K82" s="124" t="s">
        <v>1774</v>
      </c>
      <c r="L82" s="124">
        <v>7</v>
      </c>
      <c r="M82" s="125" t="s">
        <v>1744</v>
      </c>
      <c r="N82" s="106" t="str">
        <f t="shared" si="3"/>
        <v>47</v>
      </c>
      <c r="O82" s="107"/>
      <c r="P82" s="114" t="s">
        <v>1886</v>
      </c>
      <c r="Q82" s="107"/>
      <c r="R82" s="115" t="s">
        <v>1748</v>
      </c>
      <c r="S82" s="92" t="s">
        <v>1592</v>
      </c>
      <c r="T82" s="110"/>
      <c r="U82" s="94" t="s">
        <v>1748</v>
      </c>
      <c r="V82" s="107"/>
      <c r="W82" s="117">
        <v>7601156</v>
      </c>
      <c r="X82" s="115" t="s">
        <v>1748</v>
      </c>
      <c r="Z82" s="278" t="s">
        <v>1684</v>
      </c>
      <c r="AE82" s="88" t="s">
        <v>1778</v>
      </c>
      <c r="AF82" s="88" t="s">
        <v>1779</v>
      </c>
    </row>
    <row r="83" spans="1:52" ht="17.45" customHeight="1">
      <c r="B83" s="96" t="e">
        <f t="shared" si="4"/>
        <v>#REF!</v>
      </c>
      <c r="C83" s="112">
        <v>44166</v>
      </c>
      <c r="D83" s="98" t="s">
        <v>1896</v>
      </c>
      <c r="E83" s="98">
        <v>7601135</v>
      </c>
      <c r="F83" s="113" t="s">
        <v>1885</v>
      </c>
      <c r="G83" s="100" t="s">
        <v>1079</v>
      </c>
      <c r="H83" s="101" t="s">
        <v>1920</v>
      </c>
      <c r="I83" s="98" t="s">
        <v>1896</v>
      </c>
      <c r="J83" s="102">
        <v>4</v>
      </c>
      <c r="K83" s="103" t="s">
        <v>1774</v>
      </c>
      <c r="L83" s="124">
        <v>7</v>
      </c>
      <c r="M83" s="125" t="s">
        <v>1744</v>
      </c>
      <c r="N83" s="106" t="str">
        <f t="shared" si="3"/>
        <v>47</v>
      </c>
      <c r="O83" s="107"/>
      <c r="P83" s="114" t="s">
        <v>1886</v>
      </c>
      <c r="Q83" s="107"/>
      <c r="R83" s="115" t="s">
        <v>1748</v>
      </c>
      <c r="S83" s="92" t="s">
        <v>1592</v>
      </c>
      <c r="T83" s="110"/>
      <c r="U83" s="94" t="s">
        <v>1748</v>
      </c>
      <c r="V83" s="107"/>
      <c r="W83" s="117">
        <v>7601156</v>
      </c>
      <c r="X83" s="115" t="s">
        <v>1748</v>
      </c>
      <c r="Z83" s="127" t="s">
        <v>1650</v>
      </c>
      <c r="AE83" s="88" t="s">
        <v>1778</v>
      </c>
      <c r="AF83" s="88" t="s">
        <v>1779</v>
      </c>
    </row>
    <row r="84" spans="1:52" ht="17.45" customHeight="1">
      <c r="B84" s="96" t="e">
        <f t="shared" si="4"/>
        <v>#REF!</v>
      </c>
      <c r="C84" s="112">
        <v>38377</v>
      </c>
      <c r="D84" s="98" t="s">
        <v>1892</v>
      </c>
      <c r="E84" s="98">
        <v>7601153</v>
      </c>
      <c r="F84" s="113" t="s">
        <v>1885</v>
      </c>
      <c r="G84" s="100" t="s">
        <v>1091</v>
      </c>
      <c r="H84" s="101" t="s">
        <v>1920</v>
      </c>
      <c r="I84" s="98" t="s">
        <v>1892</v>
      </c>
      <c r="J84" s="102">
        <v>4</v>
      </c>
      <c r="K84" s="103" t="s">
        <v>1774</v>
      </c>
      <c r="L84" s="124">
        <v>7</v>
      </c>
      <c r="M84" s="125" t="s">
        <v>1744</v>
      </c>
      <c r="N84" s="106" t="str">
        <f t="shared" si="3"/>
        <v>47</v>
      </c>
      <c r="O84" s="107"/>
      <c r="P84" s="114" t="s">
        <v>1886</v>
      </c>
      <c r="Q84" s="107"/>
      <c r="R84" s="115" t="s">
        <v>1747</v>
      </c>
      <c r="S84" s="92" t="s">
        <v>1592</v>
      </c>
      <c r="T84" s="110"/>
      <c r="U84" s="94" t="s">
        <v>1747</v>
      </c>
      <c r="V84" s="107"/>
      <c r="W84" s="117">
        <v>7601153</v>
      </c>
      <c r="X84" s="115" t="s">
        <v>1747</v>
      </c>
      <c r="Z84" s="127" t="s">
        <v>1929</v>
      </c>
      <c r="AE84" s="88" t="s">
        <v>1778</v>
      </c>
      <c r="AF84" s="88" t="s">
        <v>1779</v>
      </c>
    </row>
    <row r="85" spans="1:52" ht="17.45" customHeight="1">
      <c r="B85" s="96" t="e">
        <f t="shared" si="4"/>
        <v>#REF!</v>
      </c>
      <c r="C85" s="112">
        <v>41638</v>
      </c>
      <c r="D85" s="98" t="s">
        <v>1895</v>
      </c>
      <c r="E85" s="98">
        <v>7601159</v>
      </c>
      <c r="F85" s="113" t="s">
        <v>1885</v>
      </c>
      <c r="G85" s="100" t="s">
        <v>1094</v>
      </c>
      <c r="H85" s="101" t="s">
        <v>1920</v>
      </c>
      <c r="I85" s="98" t="s">
        <v>1895</v>
      </c>
      <c r="J85" s="126">
        <v>4</v>
      </c>
      <c r="K85" s="124" t="s">
        <v>1774</v>
      </c>
      <c r="L85" s="124">
        <v>7</v>
      </c>
      <c r="M85" s="125" t="s">
        <v>1744</v>
      </c>
      <c r="N85" s="106" t="str">
        <f t="shared" si="3"/>
        <v>47</v>
      </c>
      <c r="O85" s="107"/>
      <c r="P85" s="114" t="s">
        <v>1886</v>
      </c>
      <c r="Q85" s="107"/>
      <c r="R85" s="115" t="s">
        <v>1747</v>
      </c>
      <c r="S85" s="92" t="s">
        <v>1592</v>
      </c>
      <c r="T85" s="110"/>
      <c r="U85" s="94" t="s">
        <v>1747</v>
      </c>
      <c r="V85" s="107"/>
      <c r="W85" s="117">
        <v>7601153</v>
      </c>
      <c r="X85" s="115" t="s">
        <v>1747</v>
      </c>
      <c r="Z85" s="127" t="s">
        <v>1931</v>
      </c>
      <c r="AE85" s="88" t="s">
        <v>1778</v>
      </c>
      <c r="AF85" s="88" t="s">
        <v>1779</v>
      </c>
    </row>
    <row r="86" spans="1:52" ht="17.45" customHeight="1">
      <c r="B86" s="96" t="e">
        <f t="shared" si="4"/>
        <v>#REF!</v>
      </c>
      <c r="C86" s="112">
        <v>36867</v>
      </c>
      <c r="D86" s="98" t="s">
        <v>1890</v>
      </c>
      <c r="E86" s="98">
        <v>7601158</v>
      </c>
      <c r="F86" s="153" t="s">
        <v>1885</v>
      </c>
      <c r="G86" s="101" t="s">
        <v>1088</v>
      </c>
      <c r="H86" s="154" t="s">
        <v>1920</v>
      </c>
      <c r="I86" s="98" t="s">
        <v>1890</v>
      </c>
      <c r="J86" s="126">
        <v>4</v>
      </c>
      <c r="K86" s="124" t="s">
        <v>1774</v>
      </c>
      <c r="L86" s="124">
        <v>7</v>
      </c>
      <c r="M86" s="125" t="s">
        <v>1744</v>
      </c>
      <c r="N86" s="106" t="str">
        <f t="shared" si="3"/>
        <v>47</v>
      </c>
      <c r="O86" s="107"/>
      <c r="P86" s="114" t="s">
        <v>1886</v>
      </c>
      <c r="Q86" s="107"/>
      <c r="R86" s="115" t="s">
        <v>1746</v>
      </c>
      <c r="S86" s="92" t="s">
        <v>1592</v>
      </c>
      <c r="T86" s="110"/>
      <c r="U86" s="94" t="s">
        <v>1746</v>
      </c>
      <c r="V86" s="107"/>
      <c r="W86" s="117">
        <v>7601155</v>
      </c>
      <c r="X86" s="115" t="s">
        <v>1746</v>
      </c>
      <c r="Z86" s="127" t="s">
        <v>1742</v>
      </c>
      <c r="AE86" s="88" t="s">
        <v>1778</v>
      </c>
      <c r="AF86" s="88" t="s">
        <v>1779</v>
      </c>
    </row>
    <row r="87" spans="1:52" ht="17.45" customHeight="1">
      <c r="B87" s="96" t="e">
        <f t="shared" si="4"/>
        <v>#REF!</v>
      </c>
      <c r="C87" s="112">
        <v>36586</v>
      </c>
      <c r="D87" s="98" t="s">
        <v>1898</v>
      </c>
      <c r="E87" s="98">
        <v>7601155</v>
      </c>
      <c r="F87" s="153" t="s">
        <v>1885</v>
      </c>
      <c r="G87" s="101" t="s">
        <v>1098</v>
      </c>
      <c r="H87" s="154" t="s">
        <v>1920</v>
      </c>
      <c r="I87" s="98" t="s">
        <v>1898</v>
      </c>
      <c r="J87" s="126">
        <v>4</v>
      </c>
      <c r="K87" s="124" t="s">
        <v>1774</v>
      </c>
      <c r="L87" s="124">
        <v>7</v>
      </c>
      <c r="M87" s="125" t="s">
        <v>1744</v>
      </c>
      <c r="N87" s="106" t="str">
        <f t="shared" si="3"/>
        <v>47</v>
      </c>
      <c r="O87" s="107"/>
      <c r="P87" s="114" t="s">
        <v>1886</v>
      </c>
      <c r="Q87" s="107"/>
      <c r="R87" s="115" t="s">
        <v>1746</v>
      </c>
      <c r="S87" s="92" t="s">
        <v>1592</v>
      </c>
      <c r="T87" s="110"/>
      <c r="U87" s="94" t="s">
        <v>1746</v>
      </c>
      <c r="V87" s="107"/>
      <c r="W87" s="117">
        <v>7601155</v>
      </c>
      <c r="X87" s="115" t="s">
        <v>1746</v>
      </c>
      <c r="Z87" s="127" t="s">
        <v>1665</v>
      </c>
      <c r="AE87" s="88" t="s">
        <v>1778</v>
      </c>
      <c r="AF87" s="88" t="s">
        <v>1779</v>
      </c>
    </row>
    <row r="88" spans="1:52" ht="17.45" customHeight="1">
      <c r="B88" s="96" t="e">
        <f t="shared" si="4"/>
        <v>#REF!</v>
      </c>
      <c r="C88" s="112">
        <v>43007</v>
      </c>
      <c r="D88" s="98" t="s">
        <v>1900</v>
      </c>
      <c r="E88" s="98">
        <v>7601154</v>
      </c>
      <c r="F88" s="153" t="s">
        <v>1885</v>
      </c>
      <c r="G88" s="100" t="s">
        <v>1101</v>
      </c>
      <c r="H88" s="154" t="s">
        <v>1920</v>
      </c>
      <c r="I88" s="98" t="s">
        <v>1900</v>
      </c>
      <c r="J88" s="126">
        <v>4</v>
      </c>
      <c r="K88" s="124" t="s">
        <v>1774</v>
      </c>
      <c r="L88" s="124">
        <v>7</v>
      </c>
      <c r="M88" s="125" t="s">
        <v>1744</v>
      </c>
      <c r="N88" s="106" t="str">
        <f t="shared" si="3"/>
        <v>47</v>
      </c>
      <c r="O88" s="107"/>
      <c r="P88" s="114" t="s">
        <v>1886</v>
      </c>
      <c r="Q88" s="107"/>
      <c r="R88" s="115" t="s">
        <v>1746</v>
      </c>
      <c r="S88" s="92" t="s">
        <v>1592</v>
      </c>
      <c r="T88" s="110"/>
      <c r="U88" s="94" t="s">
        <v>1746</v>
      </c>
      <c r="V88" s="107"/>
      <c r="W88" s="117">
        <v>7601155</v>
      </c>
      <c r="X88" s="115" t="s">
        <v>1746</v>
      </c>
      <c r="Z88" s="127" t="s">
        <v>1726</v>
      </c>
      <c r="AE88" s="88" t="s">
        <v>1778</v>
      </c>
      <c r="AF88" s="88" t="s">
        <v>1779</v>
      </c>
    </row>
    <row r="89" spans="1:52" ht="17.45" customHeight="1">
      <c r="A89" s="147"/>
      <c r="B89" s="96" t="e">
        <f t="shared" si="4"/>
        <v>#REF!</v>
      </c>
      <c r="C89" s="112">
        <v>44180</v>
      </c>
      <c r="D89" s="98" t="s">
        <v>2199</v>
      </c>
      <c r="E89" s="98">
        <v>7601148</v>
      </c>
      <c r="F89" s="113" t="s">
        <v>2196</v>
      </c>
      <c r="G89" s="100" t="s">
        <v>119</v>
      </c>
      <c r="H89" s="101" t="s">
        <v>1938</v>
      </c>
      <c r="I89" s="98" t="s">
        <v>2199</v>
      </c>
      <c r="J89" s="126">
        <v>1</v>
      </c>
      <c r="K89" s="124" t="s">
        <v>1810</v>
      </c>
      <c r="L89" s="124">
        <v>4</v>
      </c>
      <c r="M89" s="125" t="s">
        <v>1609</v>
      </c>
      <c r="N89" s="106" t="str">
        <f t="shared" si="3"/>
        <v>14</v>
      </c>
      <c r="O89" s="107"/>
      <c r="P89" s="114" t="s">
        <v>2198</v>
      </c>
      <c r="Q89" s="107"/>
      <c r="R89" s="115" t="s">
        <v>1612</v>
      </c>
      <c r="S89" s="92" t="s">
        <v>1573</v>
      </c>
      <c r="T89" s="110"/>
      <c r="U89" s="94" t="s">
        <v>1612</v>
      </c>
      <c r="V89" s="107"/>
      <c r="W89" s="117">
        <v>7600990</v>
      </c>
      <c r="X89" s="115" t="s">
        <v>1612</v>
      </c>
      <c r="Z89" s="116"/>
      <c r="AE89" s="88" t="s">
        <v>1778</v>
      </c>
      <c r="AF89" s="88" t="s">
        <v>1779</v>
      </c>
      <c r="AG89" s="147"/>
      <c r="AH89" s="147"/>
      <c r="AI89" s="147"/>
      <c r="AJ89" s="147"/>
      <c r="AK89" s="147"/>
      <c r="AL89" s="147"/>
      <c r="AM89" s="147"/>
      <c r="AN89" s="147"/>
      <c r="AO89" s="147"/>
      <c r="AP89" s="147"/>
      <c r="AQ89" s="147"/>
      <c r="AR89" s="147"/>
      <c r="AS89" s="147"/>
      <c r="AT89" s="147"/>
      <c r="AU89" s="147"/>
      <c r="AV89" s="147"/>
      <c r="AW89" s="147"/>
      <c r="AX89" s="147"/>
      <c r="AY89" s="147"/>
      <c r="AZ89" s="147"/>
    </row>
    <row r="90" spans="1:52" ht="17.45" customHeight="1">
      <c r="A90" s="147"/>
      <c r="B90" s="96" t="e">
        <f t="shared" si="4"/>
        <v>#REF!</v>
      </c>
      <c r="C90" s="112">
        <v>38344</v>
      </c>
      <c r="D90" s="98" t="s">
        <v>2198</v>
      </c>
      <c r="E90" s="98">
        <v>7600990</v>
      </c>
      <c r="F90" s="113" t="s">
        <v>2196</v>
      </c>
      <c r="G90" s="100" t="s">
        <v>125</v>
      </c>
      <c r="H90" s="101" t="s">
        <v>1938</v>
      </c>
      <c r="I90" s="98" t="s">
        <v>2198</v>
      </c>
      <c r="J90" s="126">
        <v>1</v>
      </c>
      <c r="K90" s="124" t="s">
        <v>1810</v>
      </c>
      <c r="L90" s="124">
        <v>4</v>
      </c>
      <c r="M90" s="125" t="s">
        <v>1609</v>
      </c>
      <c r="N90" s="106" t="str">
        <f t="shared" si="3"/>
        <v>14</v>
      </c>
      <c r="O90" s="107"/>
      <c r="P90" s="114" t="s">
        <v>2198</v>
      </c>
      <c r="Q90" s="107"/>
      <c r="R90" s="115" t="s">
        <v>1612</v>
      </c>
      <c r="S90" s="92" t="s">
        <v>1573</v>
      </c>
      <c r="T90" s="110"/>
      <c r="U90" s="94" t="s">
        <v>1612</v>
      </c>
      <c r="V90" s="107"/>
      <c r="W90" s="117">
        <v>7600990</v>
      </c>
      <c r="X90" s="115" t="s">
        <v>1612</v>
      </c>
      <c r="Z90" s="116"/>
      <c r="AE90" s="88" t="s">
        <v>1778</v>
      </c>
      <c r="AF90" s="88" t="s">
        <v>1779</v>
      </c>
      <c r="AG90" s="147"/>
      <c r="AH90" s="147"/>
      <c r="AI90" s="147"/>
      <c r="AJ90" s="147"/>
      <c r="AK90" s="147"/>
      <c r="AL90" s="147"/>
      <c r="AM90" s="147"/>
      <c r="AN90" s="147"/>
      <c r="AO90" s="147"/>
      <c r="AP90" s="147"/>
      <c r="AQ90" s="147"/>
      <c r="AR90" s="147"/>
      <c r="AS90" s="147"/>
      <c r="AT90" s="147"/>
      <c r="AU90" s="147"/>
      <c r="AV90" s="147"/>
      <c r="AW90" s="147"/>
      <c r="AX90" s="147"/>
      <c r="AY90" s="147"/>
      <c r="AZ90" s="147"/>
    </row>
    <row r="91" spans="1:52" ht="17.45" customHeight="1">
      <c r="B91" s="96" t="e">
        <f t="shared" si="4"/>
        <v>#REF!</v>
      </c>
      <c r="C91" s="112">
        <v>40803</v>
      </c>
      <c r="D91" s="98" t="s">
        <v>1936</v>
      </c>
      <c r="E91" s="98">
        <v>7600604</v>
      </c>
      <c r="F91" s="113" t="s">
        <v>1934</v>
      </c>
      <c r="G91" s="100" t="s">
        <v>530</v>
      </c>
      <c r="H91" s="101" t="s">
        <v>1941</v>
      </c>
      <c r="I91" s="98" t="s">
        <v>1936</v>
      </c>
      <c r="J91" s="102">
        <v>2</v>
      </c>
      <c r="K91" s="103" t="s">
        <v>1784</v>
      </c>
      <c r="L91" s="124">
        <v>3</v>
      </c>
      <c r="M91" s="125" t="s">
        <v>1638</v>
      </c>
      <c r="N91" s="106" t="str">
        <f t="shared" si="3"/>
        <v>23</v>
      </c>
      <c r="O91" s="107"/>
      <c r="P91" s="114" t="s">
        <v>1935</v>
      </c>
      <c r="Q91" s="107"/>
      <c r="R91" s="115" t="s">
        <v>1639</v>
      </c>
      <c r="S91" s="92" t="s">
        <v>1579</v>
      </c>
      <c r="T91" s="110"/>
      <c r="U91" s="94" t="s">
        <v>1639</v>
      </c>
      <c r="V91" s="107"/>
      <c r="W91" s="117">
        <v>7600108</v>
      </c>
      <c r="X91" s="115" t="s">
        <v>1639</v>
      </c>
      <c r="Z91" s="110" t="s">
        <v>1647</v>
      </c>
      <c r="AE91" s="88" t="s">
        <v>1778</v>
      </c>
      <c r="AF91" s="88" t="s">
        <v>1779</v>
      </c>
    </row>
    <row r="92" spans="1:52" ht="17.45" customHeight="1">
      <c r="B92" s="96" t="e">
        <f t="shared" si="4"/>
        <v>#REF!</v>
      </c>
      <c r="C92" s="112">
        <v>36336</v>
      </c>
      <c r="D92" s="98" t="s">
        <v>1935</v>
      </c>
      <c r="E92" s="98">
        <v>7600108</v>
      </c>
      <c r="F92" s="113" t="s">
        <v>1934</v>
      </c>
      <c r="G92" s="100" t="s">
        <v>535</v>
      </c>
      <c r="H92" s="101" t="s">
        <v>1941</v>
      </c>
      <c r="I92" s="98" t="s">
        <v>1935</v>
      </c>
      <c r="J92" s="102">
        <v>2</v>
      </c>
      <c r="K92" s="103" t="s">
        <v>1784</v>
      </c>
      <c r="L92" s="124">
        <v>3</v>
      </c>
      <c r="M92" s="125" t="s">
        <v>1638</v>
      </c>
      <c r="N92" s="106" t="str">
        <f t="shared" si="3"/>
        <v>23</v>
      </c>
      <c r="O92" s="107"/>
      <c r="P92" s="114" t="s">
        <v>1935</v>
      </c>
      <c r="Q92" s="107"/>
      <c r="R92" s="115" t="s">
        <v>1639</v>
      </c>
      <c r="S92" s="92" t="s">
        <v>1579</v>
      </c>
      <c r="T92" s="110"/>
      <c r="U92" s="94" t="s">
        <v>1639</v>
      </c>
      <c r="V92" s="107"/>
      <c r="W92" s="117">
        <v>7600108</v>
      </c>
      <c r="X92" s="115" t="s">
        <v>1639</v>
      </c>
      <c r="Z92" s="110" t="s">
        <v>1645</v>
      </c>
      <c r="AE92" s="88" t="s">
        <v>1778</v>
      </c>
      <c r="AF92" s="88" t="s">
        <v>1779</v>
      </c>
    </row>
    <row r="93" spans="1:52" ht="17.45" customHeight="1">
      <c r="B93" s="96" t="e">
        <f t="shared" si="4"/>
        <v>#REF!</v>
      </c>
      <c r="C93" s="112">
        <v>39692</v>
      </c>
      <c r="D93" s="98" t="s">
        <v>1940</v>
      </c>
      <c r="E93" s="98">
        <v>7600992</v>
      </c>
      <c r="F93" s="113" t="s">
        <v>1937</v>
      </c>
      <c r="G93" s="100" t="s">
        <v>568</v>
      </c>
      <c r="H93" s="101" t="s">
        <v>1946</v>
      </c>
      <c r="I93" s="98" t="s">
        <v>1940</v>
      </c>
      <c r="J93" s="102">
        <v>2</v>
      </c>
      <c r="K93" s="103" t="s">
        <v>1784</v>
      </c>
      <c r="L93" s="124">
        <v>6</v>
      </c>
      <c r="M93" s="125" t="s">
        <v>1652</v>
      </c>
      <c r="N93" s="106" t="str">
        <f t="shared" si="3"/>
        <v>26</v>
      </c>
      <c r="O93" s="107"/>
      <c r="P93" s="114" t="s">
        <v>1939</v>
      </c>
      <c r="Q93" s="107"/>
      <c r="R93" s="115" t="s">
        <v>1653</v>
      </c>
      <c r="S93" s="92" t="s">
        <v>1582</v>
      </c>
      <c r="T93" s="110"/>
      <c r="U93" s="94" t="s">
        <v>1653</v>
      </c>
      <c r="V93" s="107"/>
      <c r="W93" s="117">
        <v>7600973</v>
      </c>
      <c r="X93" s="115" t="s">
        <v>1653</v>
      </c>
      <c r="Z93" s="110" t="s">
        <v>1637</v>
      </c>
      <c r="AE93" s="88" t="s">
        <v>1778</v>
      </c>
      <c r="AF93" s="88" t="s">
        <v>1779</v>
      </c>
    </row>
    <row r="94" spans="1:52" ht="17.45" customHeight="1">
      <c r="A94" s="132"/>
      <c r="B94" s="96" t="e">
        <f t="shared" si="4"/>
        <v>#REF!</v>
      </c>
      <c r="C94" s="112" t="s">
        <v>1948</v>
      </c>
      <c r="D94" s="98" t="s">
        <v>1939</v>
      </c>
      <c r="E94" s="98">
        <v>7600973</v>
      </c>
      <c r="F94" s="113" t="s">
        <v>1937</v>
      </c>
      <c r="G94" s="100" t="s">
        <v>574</v>
      </c>
      <c r="H94" s="101" t="s">
        <v>1946</v>
      </c>
      <c r="I94" s="98" t="s">
        <v>1939</v>
      </c>
      <c r="J94" s="102">
        <v>2</v>
      </c>
      <c r="K94" s="103" t="s">
        <v>1784</v>
      </c>
      <c r="L94" s="124">
        <v>6</v>
      </c>
      <c r="M94" s="125" t="s">
        <v>1652</v>
      </c>
      <c r="N94" s="106" t="str">
        <f t="shared" si="3"/>
        <v>26</v>
      </c>
      <c r="O94" s="107"/>
      <c r="P94" s="114" t="s">
        <v>1939</v>
      </c>
      <c r="Q94" s="107"/>
      <c r="R94" s="115" t="s">
        <v>1653</v>
      </c>
      <c r="S94" s="92" t="s">
        <v>1582</v>
      </c>
      <c r="T94" s="110"/>
      <c r="U94" s="94" t="s">
        <v>1653</v>
      </c>
      <c r="V94" s="107"/>
      <c r="W94" s="117">
        <v>7600973</v>
      </c>
      <c r="X94" s="115" t="s">
        <v>1653</v>
      </c>
      <c r="Z94" s="110" t="s">
        <v>1734</v>
      </c>
      <c r="AE94" s="88" t="s">
        <v>1778</v>
      </c>
      <c r="AF94" s="88" t="s">
        <v>1779</v>
      </c>
      <c r="AG94" s="132"/>
      <c r="AH94" s="132"/>
      <c r="AI94" s="132"/>
      <c r="AJ94" s="132"/>
      <c r="AK94" s="132"/>
      <c r="AL94" s="132"/>
      <c r="AM94" s="132"/>
      <c r="AN94" s="132"/>
      <c r="AO94" s="132"/>
      <c r="AP94" s="132"/>
      <c r="AQ94" s="132"/>
      <c r="AR94" s="132"/>
      <c r="AS94" s="132"/>
      <c r="AT94" s="132"/>
      <c r="AU94" s="132"/>
      <c r="AV94" s="132"/>
      <c r="AW94" s="132"/>
      <c r="AX94" s="132"/>
      <c r="AY94" s="132"/>
      <c r="AZ94" s="132"/>
    </row>
    <row r="95" spans="1:52" ht="17.45" customHeight="1">
      <c r="A95" s="86"/>
      <c r="B95" s="96" t="e">
        <f t="shared" si="4"/>
        <v>#REF!</v>
      </c>
      <c r="C95" s="112">
        <v>37525</v>
      </c>
      <c r="D95" s="98" t="s">
        <v>1950</v>
      </c>
      <c r="E95" s="98">
        <v>7600511</v>
      </c>
      <c r="F95" s="113" t="s">
        <v>1943</v>
      </c>
      <c r="G95" s="100" t="s">
        <v>1949</v>
      </c>
      <c r="H95" s="101" t="s">
        <v>1951</v>
      </c>
      <c r="I95" s="98" t="s">
        <v>1950</v>
      </c>
      <c r="J95" s="102">
        <v>4</v>
      </c>
      <c r="K95" s="103" t="s">
        <v>1774</v>
      </c>
      <c r="L95" s="124">
        <v>3</v>
      </c>
      <c r="M95" s="125" t="s">
        <v>1713</v>
      </c>
      <c r="N95" s="106" t="str">
        <f t="shared" si="3"/>
        <v>43</v>
      </c>
      <c r="O95" s="107"/>
      <c r="P95" s="114" t="s">
        <v>1944</v>
      </c>
      <c r="Q95" s="107"/>
      <c r="R95" s="115" t="s">
        <v>1717</v>
      </c>
      <c r="S95" s="92" t="s">
        <v>1589</v>
      </c>
      <c r="T95" s="110"/>
      <c r="U95" s="94" t="s">
        <v>1717</v>
      </c>
      <c r="V95" s="107"/>
      <c r="W95" s="117">
        <v>7600085</v>
      </c>
      <c r="X95" s="115" t="s">
        <v>1717</v>
      </c>
      <c r="Z95" s="155"/>
      <c r="AA95" s="86"/>
      <c r="AB95" s="86"/>
      <c r="AC95" s="86"/>
      <c r="AD95" s="86"/>
      <c r="AE95" s="88" t="s">
        <v>1778</v>
      </c>
      <c r="AF95" s="88" t="s">
        <v>1779</v>
      </c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</row>
    <row r="96" spans="1:52" ht="17.45" customHeight="1">
      <c r="B96" s="96" t="e">
        <f t="shared" si="4"/>
        <v>#REF!</v>
      </c>
      <c r="C96" s="112">
        <v>41435</v>
      </c>
      <c r="D96" s="98" t="s">
        <v>1954</v>
      </c>
      <c r="E96" s="98">
        <v>7600741</v>
      </c>
      <c r="F96" s="113" t="s">
        <v>1943</v>
      </c>
      <c r="G96" s="100" t="s">
        <v>842</v>
      </c>
      <c r="H96" s="101" t="s">
        <v>1951</v>
      </c>
      <c r="I96" s="98" t="s">
        <v>1954</v>
      </c>
      <c r="J96" s="102">
        <v>4</v>
      </c>
      <c r="K96" s="103" t="s">
        <v>1774</v>
      </c>
      <c r="L96" s="124">
        <v>1</v>
      </c>
      <c r="M96" s="125" t="s">
        <v>1699</v>
      </c>
      <c r="N96" s="106" t="str">
        <f t="shared" si="3"/>
        <v>41</v>
      </c>
      <c r="O96" s="107"/>
      <c r="P96" s="114" t="s">
        <v>1944</v>
      </c>
      <c r="Q96" s="107"/>
      <c r="R96" s="115" t="s">
        <v>1700</v>
      </c>
      <c r="S96" s="92" t="s">
        <v>1587</v>
      </c>
      <c r="T96" s="110"/>
      <c r="U96" s="94" t="s">
        <v>1700</v>
      </c>
      <c r="V96" s="107"/>
      <c r="W96" s="117">
        <v>7600415</v>
      </c>
      <c r="X96" s="115" t="s">
        <v>1700</v>
      </c>
      <c r="AE96" s="88" t="s">
        <v>1778</v>
      </c>
      <c r="AF96" s="88" t="s">
        <v>1779</v>
      </c>
    </row>
    <row r="97" spans="1:52" ht="17.45" customHeight="1">
      <c r="B97" s="96" t="e">
        <f t="shared" si="4"/>
        <v>#REF!</v>
      </c>
      <c r="C97" s="112">
        <v>38841</v>
      </c>
      <c r="D97" s="98" t="s">
        <v>1953</v>
      </c>
      <c r="E97" s="98">
        <v>7600415</v>
      </c>
      <c r="F97" s="113" t="s">
        <v>1943</v>
      </c>
      <c r="G97" s="100" t="s">
        <v>849</v>
      </c>
      <c r="H97" s="101" t="s">
        <v>1951</v>
      </c>
      <c r="I97" s="98" t="s">
        <v>1953</v>
      </c>
      <c r="J97" s="102">
        <v>4</v>
      </c>
      <c r="K97" s="103" t="s">
        <v>1774</v>
      </c>
      <c r="L97" s="124">
        <v>1</v>
      </c>
      <c r="M97" s="125" t="s">
        <v>1699</v>
      </c>
      <c r="N97" s="106" t="str">
        <f t="shared" si="3"/>
        <v>41</v>
      </c>
      <c r="O97" s="107"/>
      <c r="P97" s="114" t="s">
        <v>1944</v>
      </c>
      <c r="Q97" s="107"/>
      <c r="R97" s="115" t="s">
        <v>1700</v>
      </c>
      <c r="S97" s="92" t="s">
        <v>1587</v>
      </c>
      <c r="T97" s="110"/>
      <c r="U97" s="94" t="s">
        <v>1700</v>
      </c>
      <c r="V97" s="107"/>
      <c r="W97" s="117">
        <v>7600415</v>
      </c>
      <c r="X97" s="115" t="s">
        <v>1700</v>
      </c>
      <c r="AE97" s="88" t="s">
        <v>1778</v>
      </c>
      <c r="AF97" s="88" t="s">
        <v>1779</v>
      </c>
    </row>
    <row r="98" spans="1:52" ht="17.45" customHeight="1">
      <c r="B98" s="96" t="e">
        <f t="shared" si="4"/>
        <v>#REF!</v>
      </c>
      <c r="C98" s="112">
        <v>41991</v>
      </c>
      <c r="D98" s="98" t="s">
        <v>1958</v>
      </c>
      <c r="E98" s="98">
        <v>7601262</v>
      </c>
      <c r="F98" s="113" t="s">
        <v>1943</v>
      </c>
      <c r="G98" s="100" t="s">
        <v>929</v>
      </c>
      <c r="H98" s="101" t="s">
        <v>1951</v>
      </c>
      <c r="I98" s="98" t="s">
        <v>1958</v>
      </c>
      <c r="J98" s="102">
        <v>4</v>
      </c>
      <c r="K98" s="103" t="s">
        <v>1774</v>
      </c>
      <c r="L98" s="124">
        <v>3</v>
      </c>
      <c r="M98" s="125" t="s">
        <v>1713</v>
      </c>
      <c r="N98" s="106" t="str">
        <f t="shared" si="3"/>
        <v>43</v>
      </c>
      <c r="O98" s="107"/>
      <c r="P98" s="114" t="s">
        <v>1944</v>
      </c>
      <c r="Q98" s="107"/>
      <c r="R98" s="115" t="s">
        <v>1718</v>
      </c>
      <c r="S98" s="92" t="s">
        <v>1589</v>
      </c>
      <c r="T98" s="110"/>
      <c r="U98" s="94" t="s">
        <v>1718</v>
      </c>
      <c r="V98" s="107"/>
      <c r="W98" s="117">
        <v>7601264</v>
      </c>
      <c r="X98" s="115" t="s">
        <v>1718</v>
      </c>
      <c r="Z98" s="155"/>
      <c r="AE98" s="88" t="s">
        <v>1778</v>
      </c>
      <c r="AF98" s="88" t="s">
        <v>1779</v>
      </c>
    </row>
    <row r="99" spans="1:52" ht="17.45" customHeight="1">
      <c r="A99" s="86"/>
      <c r="B99" s="96" t="e">
        <f t="shared" si="4"/>
        <v>#REF!</v>
      </c>
      <c r="C99" s="112">
        <v>35445</v>
      </c>
      <c r="D99" s="98" t="s">
        <v>1956</v>
      </c>
      <c r="E99" s="98">
        <v>7601264</v>
      </c>
      <c r="F99" s="99" t="s">
        <v>1943</v>
      </c>
      <c r="G99" s="100" t="s">
        <v>1955</v>
      </c>
      <c r="H99" s="101" t="s">
        <v>1951</v>
      </c>
      <c r="I99" s="98" t="s">
        <v>1956</v>
      </c>
      <c r="J99" s="102">
        <v>4</v>
      </c>
      <c r="K99" s="103" t="s">
        <v>1774</v>
      </c>
      <c r="L99" s="124">
        <v>3</v>
      </c>
      <c r="M99" s="125" t="s">
        <v>1713</v>
      </c>
      <c r="N99" s="106" t="str">
        <f t="shared" si="3"/>
        <v>43</v>
      </c>
      <c r="O99" s="107"/>
      <c r="P99" s="114" t="s">
        <v>1944</v>
      </c>
      <c r="Q99" s="107"/>
      <c r="R99" s="115" t="s">
        <v>1718</v>
      </c>
      <c r="S99" s="92" t="s">
        <v>1589</v>
      </c>
      <c r="T99" s="110"/>
      <c r="U99" s="94" t="s">
        <v>1718</v>
      </c>
      <c r="V99" s="107"/>
      <c r="W99" s="117">
        <v>7601264</v>
      </c>
      <c r="X99" s="115" t="s">
        <v>1718</v>
      </c>
      <c r="Z99" s="155"/>
      <c r="AA99" s="86"/>
      <c r="AB99" s="86"/>
      <c r="AC99" s="86"/>
      <c r="AD99" s="86"/>
      <c r="AE99" s="88" t="s">
        <v>1778</v>
      </c>
      <c r="AF99" s="88" t="s">
        <v>1779</v>
      </c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</row>
    <row r="100" spans="1:52" s="88" customFormat="1" ht="17.45" customHeight="1">
      <c r="A100" s="86"/>
      <c r="B100" s="96" t="e">
        <f t="shared" si="4"/>
        <v>#REF!</v>
      </c>
      <c r="C100" s="112">
        <v>38852</v>
      </c>
      <c r="D100" s="98" t="s">
        <v>1957</v>
      </c>
      <c r="E100" s="98">
        <v>7601263</v>
      </c>
      <c r="F100" s="113" t="s">
        <v>1943</v>
      </c>
      <c r="G100" s="100" t="s">
        <v>934</v>
      </c>
      <c r="H100" s="101" t="s">
        <v>1951</v>
      </c>
      <c r="I100" s="98" t="s">
        <v>1957</v>
      </c>
      <c r="J100" s="102">
        <v>4</v>
      </c>
      <c r="K100" s="103" t="s">
        <v>1774</v>
      </c>
      <c r="L100" s="124">
        <v>3</v>
      </c>
      <c r="M100" s="125" t="s">
        <v>1713</v>
      </c>
      <c r="N100" s="106" t="str">
        <f t="shared" si="3"/>
        <v>43</v>
      </c>
      <c r="O100" s="107"/>
      <c r="P100" s="114" t="s">
        <v>1944</v>
      </c>
      <c r="Q100" s="107"/>
      <c r="R100" s="115" t="s">
        <v>1718</v>
      </c>
      <c r="S100" s="92" t="s">
        <v>1589</v>
      </c>
      <c r="T100" s="110"/>
      <c r="U100" s="94" t="s">
        <v>1718</v>
      </c>
      <c r="V100" s="107"/>
      <c r="W100" s="117">
        <v>7601264</v>
      </c>
      <c r="X100" s="115" t="s">
        <v>1718</v>
      </c>
      <c r="Y100" s="74"/>
      <c r="Z100" s="155"/>
      <c r="AA100" s="86"/>
      <c r="AB100" s="86"/>
      <c r="AC100" s="86"/>
      <c r="AD100" s="86"/>
      <c r="AE100" s="88" t="s">
        <v>1778</v>
      </c>
      <c r="AF100" s="88" t="s">
        <v>1779</v>
      </c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</row>
    <row r="101" spans="1:52" ht="17.45" customHeight="1">
      <c r="B101" s="96" t="e">
        <f t="shared" si="4"/>
        <v>#REF!</v>
      </c>
      <c r="C101" s="112">
        <v>37291</v>
      </c>
      <c r="D101" s="98" t="s">
        <v>1947</v>
      </c>
      <c r="E101" s="98">
        <v>7600299</v>
      </c>
      <c r="F101" s="113" t="s">
        <v>1943</v>
      </c>
      <c r="G101" s="100" t="s">
        <v>909</v>
      </c>
      <c r="H101" s="101" t="s">
        <v>1951</v>
      </c>
      <c r="I101" s="98" t="s">
        <v>1947</v>
      </c>
      <c r="J101" s="102">
        <v>4</v>
      </c>
      <c r="K101" s="103" t="s">
        <v>1774</v>
      </c>
      <c r="L101" s="124">
        <v>3</v>
      </c>
      <c r="M101" s="125" t="s">
        <v>1713</v>
      </c>
      <c r="N101" s="106" t="str">
        <f t="shared" si="3"/>
        <v>43</v>
      </c>
      <c r="O101" s="107"/>
      <c r="P101" s="114" t="s">
        <v>1944</v>
      </c>
      <c r="Q101" s="107"/>
      <c r="R101" s="115" t="s">
        <v>1716</v>
      </c>
      <c r="S101" s="92" t="s">
        <v>1589</v>
      </c>
      <c r="T101" s="110"/>
      <c r="U101" s="94" t="s">
        <v>1716</v>
      </c>
      <c r="V101" s="107"/>
      <c r="W101" s="117">
        <v>7600085</v>
      </c>
      <c r="X101" s="115" t="s">
        <v>1716</v>
      </c>
      <c r="Z101" s="110" t="s">
        <v>1727</v>
      </c>
      <c r="AA101" s="86"/>
      <c r="AB101" s="86"/>
      <c r="AC101" s="86"/>
      <c r="AD101" s="86"/>
      <c r="AE101" s="88" t="s">
        <v>1778</v>
      </c>
      <c r="AF101" s="88" t="s">
        <v>1779</v>
      </c>
    </row>
    <row r="102" spans="1:52" ht="17.45" customHeight="1">
      <c r="B102" s="96" t="e">
        <f t="shared" si="4"/>
        <v>#REF!</v>
      </c>
      <c r="C102" s="112">
        <v>36542</v>
      </c>
      <c r="D102" s="98" t="s">
        <v>1945</v>
      </c>
      <c r="E102" s="98">
        <v>7600139</v>
      </c>
      <c r="F102" s="113" t="s">
        <v>1943</v>
      </c>
      <c r="G102" s="100" t="s">
        <v>915</v>
      </c>
      <c r="H102" s="101" t="s">
        <v>1951</v>
      </c>
      <c r="I102" s="98" t="s">
        <v>1945</v>
      </c>
      <c r="J102" s="102">
        <v>4</v>
      </c>
      <c r="K102" s="103" t="s">
        <v>1774</v>
      </c>
      <c r="L102" s="124">
        <v>3</v>
      </c>
      <c r="M102" s="125" t="s">
        <v>1713</v>
      </c>
      <c r="N102" s="106" t="str">
        <f t="shared" si="3"/>
        <v>43</v>
      </c>
      <c r="O102" s="107"/>
      <c r="P102" s="114" t="s">
        <v>1944</v>
      </c>
      <c r="Q102" s="107"/>
      <c r="R102" s="115" t="s">
        <v>1716</v>
      </c>
      <c r="S102" s="92" t="s">
        <v>1589</v>
      </c>
      <c r="T102" s="110"/>
      <c r="U102" s="94" t="s">
        <v>1716</v>
      </c>
      <c r="V102" s="107"/>
      <c r="W102" s="117">
        <v>7600085</v>
      </c>
      <c r="X102" s="115" t="s">
        <v>1716</v>
      </c>
      <c r="Z102" s="110" t="s">
        <v>1720</v>
      </c>
      <c r="AE102" s="88" t="s">
        <v>1778</v>
      </c>
      <c r="AF102" s="88" t="s">
        <v>1779</v>
      </c>
    </row>
    <row r="103" spans="1:52" ht="17.45" customHeight="1">
      <c r="A103" s="86"/>
      <c r="B103" s="96" t="e">
        <f t="shared" si="4"/>
        <v>#REF!</v>
      </c>
      <c r="C103" s="112">
        <v>44851</v>
      </c>
      <c r="D103" s="98" t="s">
        <v>1952</v>
      </c>
      <c r="E103" s="98">
        <v>7601209</v>
      </c>
      <c r="F103" s="113" t="s">
        <v>1943</v>
      </c>
      <c r="G103" s="100" t="s">
        <v>919</v>
      </c>
      <c r="H103" s="101" t="s">
        <v>1961</v>
      </c>
      <c r="I103" s="98" t="s">
        <v>1952</v>
      </c>
      <c r="J103" s="102">
        <v>4</v>
      </c>
      <c r="K103" s="103" t="s">
        <v>1774</v>
      </c>
      <c r="L103" s="124">
        <v>3</v>
      </c>
      <c r="M103" s="125" t="s">
        <v>1713</v>
      </c>
      <c r="N103" s="106" t="str">
        <f t="shared" si="3"/>
        <v>43</v>
      </c>
      <c r="O103" s="107"/>
      <c r="P103" s="114" t="s">
        <v>1944</v>
      </c>
      <c r="Q103" s="107"/>
      <c r="R103" s="115" t="s">
        <v>1716</v>
      </c>
      <c r="S103" s="92" t="s">
        <v>1589</v>
      </c>
      <c r="T103" s="110"/>
      <c r="U103" s="94" t="s">
        <v>1716</v>
      </c>
      <c r="V103" s="107"/>
      <c r="W103" s="117">
        <v>7600085</v>
      </c>
      <c r="X103" s="115" t="s">
        <v>1716</v>
      </c>
      <c r="Z103" s="155"/>
      <c r="AA103" s="86"/>
      <c r="AB103" s="86"/>
      <c r="AC103" s="86"/>
      <c r="AD103" s="86"/>
      <c r="AE103" s="88" t="s">
        <v>1778</v>
      </c>
      <c r="AF103" s="88" t="s">
        <v>1779</v>
      </c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</row>
    <row r="104" spans="1:52" ht="17.45" customHeight="1">
      <c r="A104" s="86"/>
      <c r="B104" s="96" t="e">
        <f t="shared" si="4"/>
        <v>#REF!</v>
      </c>
      <c r="C104" s="112">
        <v>35999</v>
      </c>
      <c r="D104" s="98" t="s">
        <v>1944</v>
      </c>
      <c r="E104" s="98">
        <v>7600085</v>
      </c>
      <c r="F104" s="113" t="s">
        <v>1943</v>
      </c>
      <c r="G104" s="100" t="s">
        <v>923</v>
      </c>
      <c r="H104" s="101" t="s">
        <v>1951</v>
      </c>
      <c r="I104" s="98" t="s">
        <v>1944</v>
      </c>
      <c r="J104" s="102">
        <v>4</v>
      </c>
      <c r="K104" s="103" t="s">
        <v>1774</v>
      </c>
      <c r="L104" s="124">
        <v>3</v>
      </c>
      <c r="M104" s="125" t="s">
        <v>1713</v>
      </c>
      <c r="N104" s="106" t="str">
        <f t="shared" si="3"/>
        <v>43</v>
      </c>
      <c r="O104" s="107"/>
      <c r="P104" s="114" t="s">
        <v>1944</v>
      </c>
      <c r="Q104" s="107"/>
      <c r="R104" s="115" t="s">
        <v>1716</v>
      </c>
      <c r="S104" s="92" t="s">
        <v>1589</v>
      </c>
      <c r="T104" s="110"/>
      <c r="U104" s="94" t="s">
        <v>1716</v>
      </c>
      <c r="V104" s="107"/>
      <c r="W104" s="117">
        <v>7600085</v>
      </c>
      <c r="X104" s="115" t="s">
        <v>1716</v>
      </c>
      <c r="Z104" s="110" t="s">
        <v>1621</v>
      </c>
      <c r="AE104" s="88" t="s">
        <v>1778</v>
      </c>
      <c r="AF104" s="88" t="s">
        <v>1779</v>
      </c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</row>
    <row r="105" spans="1:52" ht="17.45" customHeight="1">
      <c r="B105" s="96" t="e">
        <f t="shared" si="4"/>
        <v>#REF!</v>
      </c>
      <c r="C105" s="112">
        <v>40864</v>
      </c>
      <c r="D105" s="98" t="s">
        <v>1868</v>
      </c>
      <c r="E105" s="98">
        <v>7601123</v>
      </c>
      <c r="F105" s="153" t="s">
        <v>1866</v>
      </c>
      <c r="G105" s="101" t="s">
        <v>394</v>
      </c>
      <c r="H105" s="154" t="s">
        <v>1966</v>
      </c>
      <c r="I105" s="98" t="s">
        <v>1868</v>
      </c>
      <c r="J105" s="126">
        <v>2</v>
      </c>
      <c r="K105" s="124" t="s">
        <v>1784</v>
      </c>
      <c r="L105" s="124">
        <v>5</v>
      </c>
      <c r="M105" s="125" t="s">
        <v>1648</v>
      </c>
      <c r="N105" s="106" t="str">
        <f t="shared" si="3"/>
        <v>25</v>
      </c>
      <c r="O105" s="107"/>
      <c r="P105" s="114" t="s">
        <v>2290</v>
      </c>
      <c r="Q105" s="107"/>
      <c r="R105" s="115" t="s">
        <v>1649</v>
      </c>
      <c r="S105" s="92" t="s">
        <v>1577</v>
      </c>
      <c r="T105" s="110"/>
      <c r="U105" s="94" t="s">
        <v>1649</v>
      </c>
      <c r="V105" s="107"/>
      <c r="W105" s="117">
        <v>7601122</v>
      </c>
      <c r="X105" s="115" t="s">
        <v>1649</v>
      </c>
      <c r="Z105" s="110" t="s">
        <v>1671</v>
      </c>
      <c r="AE105" s="88" t="s">
        <v>1778</v>
      </c>
      <c r="AF105" s="88" t="s">
        <v>1779</v>
      </c>
    </row>
    <row r="106" spans="1:52" ht="17.45" customHeight="1">
      <c r="B106" s="96" t="e">
        <f t="shared" si="4"/>
        <v>#REF!</v>
      </c>
      <c r="C106" s="112">
        <v>45204</v>
      </c>
      <c r="D106" s="98" t="s">
        <v>1962</v>
      </c>
      <c r="E106" s="98">
        <v>7601234</v>
      </c>
      <c r="F106" s="153" t="s">
        <v>1959</v>
      </c>
      <c r="G106" s="101" t="s">
        <v>287</v>
      </c>
      <c r="H106" s="154" t="s">
        <v>1969</v>
      </c>
      <c r="I106" s="98" t="s">
        <v>1962</v>
      </c>
      <c r="J106" s="126">
        <v>1</v>
      </c>
      <c r="K106" s="124" t="s">
        <v>1810</v>
      </c>
      <c r="L106" s="124">
        <v>7</v>
      </c>
      <c r="M106" s="125" t="s">
        <v>1622</v>
      </c>
      <c r="N106" s="106" t="str">
        <f t="shared" si="3"/>
        <v>17</v>
      </c>
      <c r="O106" s="107"/>
      <c r="P106" s="114" t="s">
        <v>1960</v>
      </c>
      <c r="Q106" s="107"/>
      <c r="R106" s="115" t="s">
        <v>1623</v>
      </c>
      <c r="S106" s="92" t="s">
        <v>1576</v>
      </c>
      <c r="T106" s="110"/>
      <c r="U106" s="94" t="s">
        <v>1623</v>
      </c>
      <c r="V106" s="107"/>
      <c r="W106" s="117">
        <v>7601105</v>
      </c>
      <c r="X106" s="115" t="s">
        <v>1623</v>
      </c>
      <c r="Z106" s="155"/>
      <c r="AE106" s="88" t="s">
        <v>1778</v>
      </c>
      <c r="AF106" s="88" t="s">
        <v>1779</v>
      </c>
    </row>
    <row r="107" spans="1:52" ht="17.45" customHeight="1">
      <c r="B107" s="96" t="e">
        <f t="shared" si="4"/>
        <v>#REF!</v>
      </c>
      <c r="C107" s="112">
        <v>43892</v>
      </c>
      <c r="D107" s="98" t="s">
        <v>1960</v>
      </c>
      <c r="E107" s="98">
        <v>7601105</v>
      </c>
      <c r="F107" s="113" t="s">
        <v>1959</v>
      </c>
      <c r="G107" s="100" t="s">
        <v>294</v>
      </c>
      <c r="H107" s="101" t="s">
        <v>1969</v>
      </c>
      <c r="I107" s="98" t="s">
        <v>1960</v>
      </c>
      <c r="J107" s="102">
        <v>1</v>
      </c>
      <c r="K107" s="103" t="s">
        <v>1810</v>
      </c>
      <c r="L107" s="124">
        <v>7</v>
      </c>
      <c r="M107" s="125" t="s">
        <v>1622</v>
      </c>
      <c r="N107" s="106" t="str">
        <f t="shared" si="3"/>
        <v>17</v>
      </c>
      <c r="O107" s="107"/>
      <c r="P107" s="114" t="s">
        <v>1960</v>
      </c>
      <c r="Q107" s="107"/>
      <c r="R107" s="115" t="s">
        <v>1623</v>
      </c>
      <c r="S107" s="92" t="s">
        <v>1576</v>
      </c>
      <c r="T107" s="110"/>
      <c r="U107" s="94" t="s">
        <v>1623</v>
      </c>
      <c r="V107" s="107"/>
      <c r="W107" s="117">
        <v>7601105</v>
      </c>
      <c r="X107" s="115" t="s">
        <v>1623</v>
      </c>
      <c r="Z107" s="155"/>
      <c r="AE107" s="88" t="s">
        <v>1778</v>
      </c>
      <c r="AF107" s="88" t="s">
        <v>1779</v>
      </c>
    </row>
    <row r="108" spans="1:52" ht="17.45" customHeight="1">
      <c r="A108" s="147"/>
      <c r="B108" s="96" t="e">
        <f t="shared" si="4"/>
        <v>#REF!</v>
      </c>
      <c r="C108" s="112">
        <v>43060</v>
      </c>
      <c r="D108" s="98" t="s">
        <v>1985</v>
      </c>
      <c r="E108" s="98">
        <v>7600993</v>
      </c>
      <c r="F108" s="113" t="s">
        <v>1983</v>
      </c>
      <c r="G108" s="100" t="s">
        <v>208</v>
      </c>
      <c r="H108" s="101" t="s">
        <v>1972</v>
      </c>
      <c r="I108" s="98" t="s">
        <v>1985</v>
      </c>
      <c r="J108" s="102">
        <v>1</v>
      </c>
      <c r="K108" s="103" t="s">
        <v>1810</v>
      </c>
      <c r="L108" s="124">
        <v>5</v>
      </c>
      <c r="M108" s="125" t="s">
        <v>1613</v>
      </c>
      <c r="N108" s="106" t="str">
        <f t="shared" si="3"/>
        <v>15</v>
      </c>
      <c r="O108" s="107"/>
      <c r="P108" s="114" t="s">
        <v>1984</v>
      </c>
      <c r="Q108" s="107"/>
      <c r="R108" s="115" t="s">
        <v>1614</v>
      </c>
      <c r="S108" s="92" t="s">
        <v>1574</v>
      </c>
      <c r="T108" s="110"/>
      <c r="U108" s="94" t="s">
        <v>1614</v>
      </c>
      <c r="V108" s="107"/>
      <c r="W108" s="117">
        <v>7600983</v>
      </c>
      <c r="X108" s="115" t="s">
        <v>1614</v>
      </c>
      <c r="Z108" s="155"/>
      <c r="AE108" s="88" t="s">
        <v>1778</v>
      </c>
      <c r="AF108" s="88" t="s">
        <v>1779</v>
      </c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  <c r="AV108" s="147"/>
      <c r="AW108" s="147"/>
      <c r="AX108" s="147"/>
      <c r="AY108" s="147"/>
      <c r="AZ108" s="147"/>
    </row>
    <row r="109" spans="1:52" ht="17.45" customHeight="1">
      <c r="A109" s="147"/>
      <c r="B109" s="96" t="e">
        <f t="shared" si="4"/>
        <v>#REF!</v>
      </c>
      <c r="C109" s="112">
        <v>38993</v>
      </c>
      <c r="D109" s="98" t="s">
        <v>1984</v>
      </c>
      <c r="E109" s="98">
        <v>7600983</v>
      </c>
      <c r="F109" s="113" t="s">
        <v>1983</v>
      </c>
      <c r="G109" s="100" t="s">
        <v>214</v>
      </c>
      <c r="H109" s="101" t="s">
        <v>1974</v>
      </c>
      <c r="I109" s="98" t="s">
        <v>1984</v>
      </c>
      <c r="J109" s="126">
        <v>1</v>
      </c>
      <c r="K109" s="124" t="s">
        <v>1810</v>
      </c>
      <c r="L109" s="124">
        <v>5</v>
      </c>
      <c r="M109" s="125" t="s">
        <v>1613</v>
      </c>
      <c r="N109" s="106" t="str">
        <f t="shared" si="3"/>
        <v>15</v>
      </c>
      <c r="O109" s="107"/>
      <c r="P109" s="114" t="s">
        <v>1984</v>
      </c>
      <c r="Q109" s="107"/>
      <c r="R109" s="115" t="s">
        <v>1614</v>
      </c>
      <c r="S109" s="92" t="s">
        <v>1574</v>
      </c>
      <c r="T109" s="110"/>
      <c r="U109" s="94" t="s">
        <v>1614</v>
      </c>
      <c r="V109" s="107"/>
      <c r="W109" s="117">
        <v>7600983</v>
      </c>
      <c r="X109" s="115" t="s">
        <v>1614</v>
      </c>
      <c r="Z109" s="155"/>
      <c r="AE109" s="88" t="s">
        <v>1778</v>
      </c>
      <c r="AF109" s="88" t="s">
        <v>1779</v>
      </c>
      <c r="AG109" s="147"/>
      <c r="AH109" s="147"/>
      <c r="AI109" s="147"/>
      <c r="AJ109" s="147"/>
      <c r="AK109" s="147"/>
      <c r="AL109" s="147"/>
      <c r="AM109" s="147"/>
      <c r="AN109" s="147"/>
      <c r="AO109" s="147"/>
      <c r="AP109" s="147"/>
      <c r="AQ109" s="147"/>
      <c r="AR109" s="147"/>
      <c r="AS109" s="147"/>
      <c r="AT109" s="147"/>
      <c r="AU109" s="147"/>
      <c r="AV109" s="147"/>
      <c r="AW109" s="147"/>
      <c r="AX109" s="147"/>
      <c r="AY109" s="147"/>
      <c r="AZ109" s="147"/>
    </row>
    <row r="110" spans="1:52" ht="17.45" customHeight="1">
      <c r="B110" s="96" t="e">
        <f t="shared" si="4"/>
        <v>#REF!</v>
      </c>
      <c r="C110" s="112">
        <v>41204</v>
      </c>
      <c r="D110" s="98" t="s">
        <v>2307</v>
      </c>
      <c r="E110" s="98">
        <v>7600680</v>
      </c>
      <c r="F110" s="113" t="s">
        <v>2308</v>
      </c>
      <c r="G110" s="100" t="s">
        <v>1033</v>
      </c>
      <c r="H110" s="101" t="s">
        <v>2309</v>
      </c>
      <c r="I110" s="98" t="s">
        <v>2307</v>
      </c>
      <c r="J110" s="102">
        <v>4</v>
      </c>
      <c r="K110" s="103" t="s">
        <v>1774</v>
      </c>
      <c r="L110" s="124">
        <v>6</v>
      </c>
      <c r="M110" s="125" t="s">
        <v>1735</v>
      </c>
      <c r="N110" s="106" t="str">
        <f t="shared" si="3"/>
        <v>46</v>
      </c>
      <c r="O110" s="107"/>
      <c r="P110" s="114" t="s">
        <v>2310</v>
      </c>
      <c r="Q110" s="107"/>
      <c r="R110" s="115" t="s">
        <v>1739</v>
      </c>
      <c r="S110" s="92" t="s">
        <v>1577</v>
      </c>
      <c r="T110" s="110"/>
      <c r="U110" s="94" t="s">
        <v>1739</v>
      </c>
      <c r="V110" s="107"/>
      <c r="W110" s="117">
        <v>7600363</v>
      </c>
      <c r="X110" s="115" t="s">
        <v>1739</v>
      </c>
      <c r="Z110" s="155"/>
      <c r="AA110" s="107"/>
      <c r="AE110" s="88" t="s">
        <v>1778</v>
      </c>
      <c r="AF110" s="88" t="s">
        <v>1779</v>
      </c>
    </row>
    <row r="111" spans="1:52" ht="17.45" customHeight="1">
      <c r="B111" s="96" t="e">
        <f t="shared" si="4"/>
        <v>#REF!</v>
      </c>
      <c r="C111" s="112">
        <v>38121</v>
      </c>
      <c r="D111" s="98" t="s">
        <v>2310</v>
      </c>
      <c r="E111" s="98">
        <v>7600363</v>
      </c>
      <c r="F111" s="113" t="s">
        <v>2308</v>
      </c>
      <c r="G111" s="100" t="s">
        <v>1038</v>
      </c>
      <c r="H111" s="101" t="s">
        <v>2309</v>
      </c>
      <c r="I111" s="98" t="s">
        <v>2310</v>
      </c>
      <c r="J111" s="102">
        <v>4</v>
      </c>
      <c r="K111" s="103" t="s">
        <v>1774</v>
      </c>
      <c r="L111" s="124">
        <v>6</v>
      </c>
      <c r="M111" s="125" t="s">
        <v>1735</v>
      </c>
      <c r="N111" s="106" t="str">
        <f t="shared" si="3"/>
        <v>46</v>
      </c>
      <c r="O111" s="107"/>
      <c r="P111" s="114" t="s">
        <v>2310</v>
      </c>
      <c r="Q111" s="107"/>
      <c r="R111" s="115" t="s">
        <v>1739</v>
      </c>
      <c r="S111" s="92" t="s">
        <v>1577</v>
      </c>
      <c r="T111" s="110"/>
      <c r="U111" s="94" t="s">
        <v>1739</v>
      </c>
      <c r="V111" s="107"/>
      <c r="W111" s="117">
        <v>7600363</v>
      </c>
      <c r="X111" s="115" t="s">
        <v>1739</v>
      </c>
      <c r="Z111" s="155"/>
      <c r="AA111" s="107"/>
      <c r="AE111" s="88" t="s">
        <v>1778</v>
      </c>
      <c r="AF111" s="88" t="s">
        <v>1779</v>
      </c>
    </row>
    <row r="112" spans="1:52" ht="17.45" customHeight="1">
      <c r="B112" s="96" t="e">
        <f t="shared" si="4"/>
        <v>#REF!</v>
      </c>
      <c r="C112" s="112">
        <v>40487</v>
      </c>
      <c r="D112" s="98" t="s">
        <v>2262</v>
      </c>
      <c r="E112" s="98">
        <v>7600935</v>
      </c>
      <c r="F112" s="113" t="s">
        <v>2261</v>
      </c>
      <c r="G112" s="100" t="s">
        <v>963</v>
      </c>
      <c r="H112" s="101" t="s">
        <v>1976</v>
      </c>
      <c r="I112" s="98" t="s">
        <v>2262</v>
      </c>
      <c r="J112" s="102">
        <v>4</v>
      </c>
      <c r="K112" s="103" t="s">
        <v>1774</v>
      </c>
      <c r="L112" s="124">
        <v>4</v>
      </c>
      <c r="M112" s="125" t="s">
        <v>1721</v>
      </c>
      <c r="N112" s="106" t="str">
        <f t="shared" si="3"/>
        <v>44</v>
      </c>
      <c r="O112" s="107"/>
      <c r="P112" s="114" t="s">
        <v>2262</v>
      </c>
      <c r="Q112" s="107"/>
      <c r="R112" s="115" t="s">
        <v>1727</v>
      </c>
      <c r="S112" s="92" t="s">
        <v>1590</v>
      </c>
      <c r="T112" s="110"/>
      <c r="U112" s="94" t="s">
        <v>1727</v>
      </c>
      <c r="V112" s="107"/>
      <c r="W112" s="117">
        <v>7600935</v>
      </c>
      <c r="X112" s="115" t="s">
        <v>1727</v>
      </c>
      <c r="Z112" s="155"/>
      <c r="AE112" s="88" t="s">
        <v>1778</v>
      </c>
      <c r="AF112" s="88" t="s">
        <v>1779</v>
      </c>
    </row>
    <row r="113" spans="1:52" ht="17.45" customHeight="1">
      <c r="A113" s="74"/>
      <c r="B113" s="96" t="e">
        <f t="shared" si="4"/>
        <v>#REF!</v>
      </c>
      <c r="C113" s="112">
        <v>38051</v>
      </c>
      <c r="D113" s="98" t="s">
        <v>1989</v>
      </c>
      <c r="E113" s="98">
        <v>7600358</v>
      </c>
      <c r="F113" s="113" t="s">
        <v>1986</v>
      </c>
      <c r="G113" s="100" t="s">
        <v>20</v>
      </c>
      <c r="H113" s="101" t="s">
        <v>1979</v>
      </c>
      <c r="I113" s="98" t="s">
        <v>1989</v>
      </c>
      <c r="J113" s="102">
        <v>1</v>
      </c>
      <c r="K113" s="103" t="s">
        <v>1810</v>
      </c>
      <c r="L113" s="124">
        <v>2</v>
      </c>
      <c r="M113" s="125" t="s">
        <v>1600</v>
      </c>
      <c r="N113" s="106" t="str">
        <f t="shared" si="3"/>
        <v>12</v>
      </c>
      <c r="O113" s="107"/>
      <c r="P113" s="114" t="s">
        <v>1987</v>
      </c>
      <c r="Q113" s="107"/>
      <c r="R113" s="115" t="s">
        <v>1603</v>
      </c>
      <c r="S113" s="92" t="s">
        <v>1571</v>
      </c>
      <c r="T113" s="110"/>
      <c r="U113" s="94" t="s">
        <v>1603</v>
      </c>
      <c r="V113" s="107"/>
      <c r="W113" s="117">
        <v>7600358</v>
      </c>
      <c r="X113" s="115" t="s">
        <v>1603</v>
      </c>
      <c r="Z113" s="155"/>
      <c r="AA113" s="107"/>
      <c r="AE113" s="88" t="s">
        <v>1778</v>
      </c>
      <c r="AF113" s="88" t="s">
        <v>1779</v>
      </c>
    </row>
    <row r="114" spans="1:52" ht="17.45" customHeight="1">
      <c r="B114" s="96" t="e">
        <f t="shared" si="4"/>
        <v>#REF!</v>
      </c>
      <c r="C114" s="112">
        <v>38053</v>
      </c>
      <c r="D114" s="98" t="s">
        <v>1993</v>
      </c>
      <c r="E114" s="98">
        <v>7600361</v>
      </c>
      <c r="F114" s="113" t="s">
        <v>1986</v>
      </c>
      <c r="G114" s="100" t="s">
        <v>26</v>
      </c>
      <c r="H114" s="101" t="s">
        <v>1979</v>
      </c>
      <c r="I114" s="98" t="s">
        <v>1993</v>
      </c>
      <c r="J114" s="102">
        <v>1</v>
      </c>
      <c r="K114" s="103" t="s">
        <v>1810</v>
      </c>
      <c r="L114" s="124">
        <v>2</v>
      </c>
      <c r="M114" s="125" t="s">
        <v>1600</v>
      </c>
      <c r="N114" s="106" t="str">
        <f t="shared" si="3"/>
        <v>12</v>
      </c>
      <c r="O114" s="107"/>
      <c r="P114" s="114" t="s">
        <v>1987</v>
      </c>
      <c r="Q114" s="107"/>
      <c r="R114" s="115" t="s">
        <v>1603</v>
      </c>
      <c r="S114" s="92" t="s">
        <v>1571</v>
      </c>
      <c r="T114" s="110"/>
      <c r="U114" s="94" t="s">
        <v>1603</v>
      </c>
      <c r="V114" s="107"/>
      <c r="W114" s="117">
        <v>7600358</v>
      </c>
      <c r="X114" s="115" t="s">
        <v>1603</v>
      </c>
      <c r="Z114" s="155"/>
      <c r="AE114" s="88" t="s">
        <v>1778</v>
      </c>
      <c r="AF114" s="88" t="s">
        <v>1779</v>
      </c>
    </row>
    <row r="115" spans="1:52" ht="17.45" customHeight="1">
      <c r="B115" s="96" t="e">
        <f t="shared" si="4"/>
        <v>#REF!</v>
      </c>
      <c r="C115" s="112">
        <v>38053</v>
      </c>
      <c r="D115" s="98" t="s">
        <v>1991</v>
      </c>
      <c r="E115" s="98">
        <v>7600360</v>
      </c>
      <c r="F115" s="113" t="s">
        <v>1986</v>
      </c>
      <c r="G115" s="100" t="s">
        <v>53</v>
      </c>
      <c r="H115" s="101" t="s">
        <v>1979</v>
      </c>
      <c r="I115" s="98" t="s">
        <v>1991</v>
      </c>
      <c r="J115" s="102">
        <v>1</v>
      </c>
      <c r="K115" s="103" t="s">
        <v>1810</v>
      </c>
      <c r="L115" s="124">
        <v>2</v>
      </c>
      <c r="M115" s="125" t="s">
        <v>1600</v>
      </c>
      <c r="N115" s="106" t="str">
        <f t="shared" si="3"/>
        <v>12</v>
      </c>
      <c r="O115" s="107"/>
      <c r="P115" s="114" t="s">
        <v>1987</v>
      </c>
      <c r="Q115" s="107"/>
      <c r="R115" s="115" t="s">
        <v>1603</v>
      </c>
      <c r="S115" s="92" t="s">
        <v>1571</v>
      </c>
      <c r="T115" s="110"/>
      <c r="U115" s="94" t="s">
        <v>1603</v>
      </c>
      <c r="V115" s="107"/>
      <c r="W115" s="117">
        <v>7600358</v>
      </c>
      <c r="X115" s="115" t="s">
        <v>1603</v>
      </c>
      <c r="Z115" s="155"/>
      <c r="AE115" s="88" t="s">
        <v>1778</v>
      </c>
      <c r="AF115" s="88" t="s">
        <v>1779</v>
      </c>
    </row>
    <row r="116" spans="1:52" ht="17.45" customHeight="1">
      <c r="B116" s="96" t="e">
        <f t="shared" si="4"/>
        <v>#REF!</v>
      </c>
      <c r="C116" s="112">
        <v>42473</v>
      </c>
      <c r="D116" s="98" t="s">
        <v>1997</v>
      </c>
      <c r="E116" s="98">
        <v>7600913</v>
      </c>
      <c r="F116" s="113" t="s">
        <v>1986</v>
      </c>
      <c r="G116" s="100" t="s">
        <v>13</v>
      </c>
      <c r="H116" s="101" t="s">
        <v>1979</v>
      </c>
      <c r="I116" s="98" t="s">
        <v>1997</v>
      </c>
      <c r="J116" s="102">
        <v>1</v>
      </c>
      <c r="K116" s="103" t="s">
        <v>1810</v>
      </c>
      <c r="L116" s="124">
        <v>2</v>
      </c>
      <c r="M116" s="125" t="s">
        <v>1600</v>
      </c>
      <c r="N116" s="106" t="str">
        <f t="shared" si="3"/>
        <v>12</v>
      </c>
      <c r="O116" s="107"/>
      <c r="P116" s="114" t="s">
        <v>1987</v>
      </c>
      <c r="Q116" s="107"/>
      <c r="R116" s="115" t="s">
        <v>1601</v>
      </c>
      <c r="S116" s="92" t="s">
        <v>1571</v>
      </c>
      <c r="T116" s="110"/>
      <c r="U116" s="94" t="s">
        <v>1601</v>
      </c>
      <c r="V116" s="107"/>
      <c r="W116" s="117">
        <v>7600100</v>
      </c>
      <c r="X116" s="115" t="s">
        <v>1601</v>
      </c>
      <c r="Z116" s="155"/>
      <c r="AE116" s="88" t="s">
        <v>1778</v>
      </c>
      <c r="AF116" s="88" t="s">
        <v>1779</v>
      </c>
    </row>
    <row r="117" spans="1:52" ht="17.45" customHeight="1">
      <c r="B117" s="96" t="e">
        <f t="shared" si="4"/>
        <v>#REF!</v>
      </c>
      <c r="C117" s="112">
        <v>36224</v>
      </c>
      <c r="D117" s="98" t="s">
        <v>1987</v>
      </c>
      <c r="E117" s="98">
        <v>7600100</v>
      </c>
      <c r="F117" s="113" t="s">
        <v>1986</v>
      </c>
      <c r="G117" s="100" t="s">
        <v>31</v>
      </c>
      <c r="H117" s="101" t="s">
        <v>1979</v>
      </c>
      <c r="I117" s="98" t="s">
        <v>1987</v>
      </c>
      <c r="J117" s="102">
        <v>1</v>
      </c>
      <c r="K117" s="103" t="s">
        <v>1810</v>
      </c>
      <c r="L117" s="124">
        <v>2</v>
      </c>
      <c r="M117" s="125" t="s">
        <v>1600</v>
      </c>
      <c r="N117" s="106" t="str">
        <f t="shared" si="3"/>
        <v>12</v>
      </c>
      <c r="O117" s="107"/>
      <c r="P117" s="114" t="s">
        <v>1987</v>
      </c>
      <c r="Q117" s="107"/>
      <c r="R117" s="115" t="s">
        <v>1601</v>
      </c>
      <c r="S117" s="92" t="s">
        <v>1571</v>
      </c>
      <c r="T117" s="110"/>
      <c r="U117" s="94" t="s">
        <v>1601</v>
      </c>
      <c r="V117" s="107"/>
      <c r="W117" s="117">
        <v>7600100</v>
      </c>
      <c r="X117" s="115" t="s">
        <v>1601</v>
      </c>
      <c r="Z117" s="155"/>
      <c r="AA117" s="107"/>
      <c r="AE117" s="88" t="s">
        <v>1778</v>
      </c>
      <c r="AF117" s="88" t="s">
        <v>1779</v>
      </c>
    </row>
    <row r="118" spans="1:52" ht="17.45" customHeight="1">
      <c r="B118" s="96" t="e">
        <f t="shared" si="4"/>
        <v>#REF!</v>
      </c>
      <c r="C118" s="112">
        <v>36228</v>
      </c>
      <c r="D118" s="98" t="s">
        <v>1998</v>
      </c>
      <c r="E118" s="98">
        <v>7601214</v>
      </c>
      <c r="F118" s="113" t="s">
        <v>1986</v>
      </c>
      <c r="G118" s="100" t="s">
        <v>36</v>
      </c>
      <c r="H118" s="101" t="s">
        <v>1979</v>
      </c>
      <c r="I118" s="98" t="s">
        <v>1998</v>
      </c>
      <c r="J118" s="102">
        <v>1</v>
      </c>
      <c r="K118" s="103" t="s">
        <v>1810</v>
      </c>
      <c r="L118" s="124">
        <v>2</v>
      </c>
      <c r="M118" s="125" t="s">
        <v>1600</v>
      </c>
      <c r="N118" s="106" t="str">
        <f t="shared" si="3"/>
        <v>12</v>
      </c>
      <c r="O118" s="107"/>
      <c r="P118" s="114" t="s">
        <v>1987</v>
      </c>
      <c r="Q118" s="107"/>
      <c r="R118" s="115" t="s">
        <v>1601</v>
      </c>
      <c r="S118" s="92" t="s">
        <v>1571</v>
      </c>
      <c r="T118" s="110"/>
      <c r="U118" s="94" t="s">
        <v>1601</v>
      </c>
      <c r="V118" s="107"/>
      <c r="W118" s="117">
        <v>7600100</v>
      </c>
      <c r="X118" s="115" t="s">
        <v>1601</v>
      </c>
      <c r="Z118" s="155"/>
      <c r="AE118" s="88" t="s">
        <v>1778</v>
      </c>
      <c r="AF118" s="88" t="s">
        <v>1779</v>
      </c>
    </row>
    <row r="119" spans="1:52" ht="17.45" customHeight="1">
      <c r="B119" s="96" t="e">
        <f t="shared" si="4"/>
        <v>#REF!</v>
      </c>
      <c r="C119" s="112">
        <v>36542</v>
      </c>
      <c r="D119" s="98" t="s">
        <v>1995</v>
      </c>
      <c r="E119" s="98">
        <v>7600728</v>
      </c>
      <c r="F119" s="113" t="s">
        <v>1986</v>
      </c>
      <c r="G119" s="100" t="s">
        <v>40</v>
      </c>
      <c r="H119" s="101" t="s">
        <v>1979</v>
      </c>
      <c r="I119" s="98" t="s">
        <v>1995</v>
      </c>
      <c r="J119" s="102">
        <v>1</v>
      </c>
      <c r="K119" s="103" t="s">
        <v>1810</v>
      </c>
      <c r="L119" s="124">
        <v>2</v>
      </c>
      <c r="M119" s="125" t="s">
        <v>1600</v>
      </c>
      <c r="N119" s="106" t="str">
        <f t="shared" si="3"/>
        <v>12</v>
      </c>
      <c r="O119" s="107"/>
      <c r="P119" s="114" t="s">
        <v>1987</v>
      </c>
      <c r="Q119" s="107"/>
      <c r="R119" s="115" t="s">
        <v>1601</v>
      </c>
      <c r="S119" s="92" t="s">
        <v>1571</v>
      </c>
      <c r="T119" s="110"/>
      <c r="U119" s="94" t="s">
        <v>1601</v>
      </c>
      <c r="V119" s="107"/>
      <c r="W119" s="117">
        <v>7600100</v>
      </c>
      <c r="X119" s="115" t="s">
        <v>1601</v>
      </c>
      <c r="Z119" s="155"/>
      <c r="AE119" s="88" t="s">
        <v>1778</v>
      </c>
      <c r="AF119" s="88" t="s">
        <v>1779</v>
      </c>
    </row>
    <row r="120" spans="1:52" ht="17.45" customHeight="1">
      <c r="B120" s="96" t="e">
        <f t="shared" si="4"/>
        <v>#REF!</v>
      </c>
      <c r="C120" s="112">
        <v>40738</v>
      </c>
      <c r="D120" s="98" t="s">
        <v>1994</v>
      </c>
      <c r="E120" s="98">
        <v>7600595</v>
      </c>
      <c r="F120" s="113" t="s">
        <v>1986</v>
      </c>
      <c r="G120" s="100" t="s">
        <v>45</v>
      </c>
      <c r="H120" s="101" t="s">
        <v>1979</v>
      </c>
      <c r="I120" s="98" t="s">
        <v>1994</v>
      </c>
      <c r="J120" s="102">
        <v>1</v>
      </c>
      <c r="K120" s="103" t="s">
        <v>1810</v>
      </c>
      <c r="L120" s="124">
        <v>2</v>
      </c>
      <c r="M120" s="125" t="s">
        <v>1600</v>
      </c>
      <c r="N120" s="106" t="str">
        <f t="shared" si="3"/>
        <v>12</v>
      </c>
      <c r="O120" s="107"/>
      <c r="P120" s="114" t="s">
        <v>1987</v>
      </c>
      <c r="Q120" s="107"/>
      <c r="R120" s="115" t="s">
        <v>1601</v>
      </c>
      <c r="S120" s="92" t="s">
        <v>1571</v>
      </c>
      <c r="T120" s="110"/>
      <c r="U120" s="94" t="s">
        <v>1601</v>
      </c>
      <c r="V120" s="107"/>
      <c r="W120" s="117">
        <v>7600100</v>
      </c>
      <c r="X120" s="115" t="s">
        <v>1601</v>
      </c>
      <c r="Z120" s="155"/>
      <c r="AE120" s="88" t="s">
        <v>1778</v>
      </c>
      <c r="AF120" s="88" t="s">
        <v>1779</v>
      </c>
    </row>
    <row r="121" spans="1:52" ht="17.45" customHeight="1">
      <c r="B121" s="96" t="e">
        <f t="shared" si="4"/>
        <v>#REF!</v>
      </c>
      <c r="C121" s="112">
        <v>37600</v>
      </c>
      <c r="D121" s="98" t="s">
        <v>1988</v>
      </c>
      <c r="E121" s="98">
        <v>7600331</v>
      </c>
      <c r="F121" s="113" t="s">
        <v>1986</v>
      </c>
      <c r="G121" s="100" t="s">
        <v>49</v>
      </c>
      <c r="H121" s="101" t="s">
        <v>1979</v>
      </c>
      <c r="I121" s="98" t="s">
        <v>1988</v>
      </c>
      <c r="J121" s="102">
        <v>1</v>
      </c>
      <c r="K121" s="103" t="s">
        <v>1810</v>
      </c>
      <c r="L121" s="124">
        <v>2</v>
      </c>
      <c r="M121" s="125" t="s">
        <v>1600</v>
      </c>
      <c r="N121" s="106" t="str">
        <f t="shared" si="3"/>
        <v>12</v>
      </c>
      <c r="O121" s="107"/>
      <c r="P121" s="114" t="s">
        <v>1987</v>
      </c>
      <c r="Q121" s="107"/>
      <c r="R121" s="115" t="s">
        <v>1601</v>
      </c>
      <c r="S121" s="92" t="s">
        <v>1571</v>
      </c>
      <c r="T121" s="110"/>
      <c r="U121" s="94" t="s">
        <v>1601</v>
      </c>
      <c r="V121" s="107"/>
      <c r="W121" s="117">
        <v>7600100</v>
      </c>
      <c r="X121" s="115" t="s">
        <v>1601</v>
      </c>
      <c r="Z121" s="155"/>
      <c r="AA121" s="107"/>
      <c r="AE121" s="88" t="s">
        <v>1778</v>
      </c>
      <c r="AF121" s="88" t="s">
        <v>1779</v>
      </c>
    </row>
    <row r="122" spans="1:52" ht="17.45" customHeight="1">
      <c r="B122" s="96" t="e">
        <f t="shared" si="4"/>
        <v>#REF!</v>
      </c>
      <c r="C122" s="148">
        <v>42480</v>
      </c>
      <c r="D122" s="98" t="s">
        <v>2000</v>
      </c>
      <c r="E122" s="118">
        <v>7600897</v>
      </c>
      <c r="F122" s="164" t="s">
        <v>1999</v>
      </c>
      <c r="G122" s="165" t="s">
        <v>1066</v>
      </c>
      <c r="H122" s="101" t="s">
        <v>1990</v>
      </c>
      <c r="I122" s="98" t="s">
        <v>2000</v>
      </c>
      <c r="J122" s="126">
        <v>4</v>
      </c>
      <c r="K122" s="124" t="s">
        <v>1774</v>
      </c>
      <c r="L122" s="124">
        <v>6</v>
      </c>
      <c r="M122" s="125" t="s">
        <v>1735</v>
      </c>
      <c r="N122" s="106" t="str">
        <f t="shared" si="3"/>
        <v>46</v>
      </c>
      <c r="O122" s="107"/>
      <c r="P122" s="114" t="s">
        <v>2000</v>
      </c>
      <c r="Q122" s="107"/>
      <c r="R122" s="115" t="s">
        <v>1741</v>
      </c>
      <c r="S122" s="92" t="s">
        <v>1577</v>
      </c>
      <c r="T122" s="110"/>
      <c r="U122" s="94" t="s">
        <v>1741</v>
      </c>
      <c r="V122" s="107"/>
      <c r="W122" s="117">
        <v>7600897</v>
      </c>
      <c r="X122" s="115" t="s">
        <v>1741</v>
      </c>
      <c r="Z122" s="155"/>
      <c r="AA122" s="107"/>
      <c r="AE122" s="88" t="s">
        <v>1778</v>
      </c>
      <c r="AF122" s="88" t="s">
        <v>1779</v>
      </c>
    </row>
    <row r="123" spans="1:52" ht="17.45" customHeight="1">
      <c r="B123" s="133" t="e">
        <f t="shared" si="4"/>
        <v>#REF!</v>
      </c>
      <c r="C123" s="240">
        <v>45744</v>
      </c>
      <c r="D123" s="134" t="s">
        <v>2005</v>
      </c>
      <c r="E123" s="134">
        <v>7601142</v>
      </c>
      <c r="F123" s="241" t="s">
        <v>2001</v>
      </c>
      <c r="G123" s="243" t="s">
        <v>1133</v>
      </c>
      <c r="H123" s="135" t="s">
        <v>1992</v>
      </c>
      <c r="I123" s="134" t="s">
        <v>2005</v>
      </c>
      <c r="J123" s="136">
        <v>1</v>
      </c>
      <c r="K123" s="137" t="s">
        <v>1810</v>
      </c>
      <c r="L123" s="138">
        <v>3</v>
      </c>
      <c r="M123" s="139" t="s">
        <v>1604</v>
      </c>
      <c r="N123" s="140" t="str">
        <f t="shared" si="3"/>
        <v>13</v>
      </c>
      <c r="O123" s="141"/>
      <c r="P123" s="142" t="s">
        <v>2003</v>
      </c>
      <c r="Q123" s="141"/>
      <c r="R123" s="143" t="s">
        <v>1607</v>
      </c>
      <c r="S123" s="92" t="s">
        <v>1572</v>
      </c>
      <c r="T123" s="144"/>
      <c r="U123" s="94" t="s">
        <v>1607</v>
      </c>
      <c r="V123" s="141"/>
      <c r="W123" s="212">
        <v>7600991</v>
      </c>
      <c r="X123" s="143" t="s">
        <v>1607</v>
      </c>
      <c r="Y123" s="145"/>
      <c r="Z123" s="155"/>
      <c r="AE123" s="88" t="s">
        <v>1778</v>
      </c>
      <c r="AF123" s="88" t="s">
        <v>1779</v>
      </c>
    </row>
    <row r="124" spans="1:52" ht="17.45" customHeight="1">
      <c r="B124" s="96" t="e">
        <f t="shared" si="4"/>
        <v>#REF!</v>
      </c>
      <c r="C124" s="112">
        <v>44158</v>
      </c>
      <c r="D124" s="98" t="s">
        <v>2003</v>
      </c>
      <c r="E124" s="98">
        <v>7600991</v>
      </c>
      <c r="F124" s="113" t="s">
        <v>2001</v>
      </c>
      <c r="G124" s="100" t="s">
        <v>127</v>
      </c>
      <c r="H124" s="101" t="s">
        <v>1992</v>
      </c>
      <c r="I124" s="98" t="s">
        <v>2003</v>
      </c>
      <c r="J124" s="102">
        <v>1</v>
      </c>
      <c r="K124" s="103" t="s">
        <v>1810</v>
      </c>
      <c r="L124" s="124">
        <v>3</v>
      </c>
      <c r="M124" s="125" t="s">
        <v>1604</v>
      </c>
      <c r="N124" s="106" t="str">
        <f t="shared" si="3"/>
        <v>13</v>
      </c>
      <c r="O124" s="107"/>
      <c r="P124" s="114" t="s">
        <v>2003</v>
      </c>
      <c r="Q124" s="107"/>
      <c r="R124" s="115" t="s">
        <v>1607</v>
      </c>
      <c r="S124" s="92" t="s">
        <v>1572</v>
      </c>
      <c r="T124" s="110"/>
      <c r="U124" s="94" t="s">
        <v>1607</v>
      </c>
      <c r="V124" s="107"/>
      <c r="W124" s="117">
        <v>7600991</v>
      </c>
      <c r="X124" s="115" t="s">
        <v>1607</v>
      </c>
      <c r="Y124" s="129"/>
      <c r="Z124" s="155"/>
      <c r="AE124" s="88" t="s">
        <v>1778</v>
      </c>
      <c r="AF124" s="88" t="s">
        <v>1779</v>
      </c>
    </row>
    <row r="125" spans="1:52" ht="17.45" customHeight="1">
      <c r="B125" s="96" t="e">
        <f t="shared" si="4"/>
        <v>#REF!</v>
      </c>
      <c r="C125" s="112">
        <v>38708</v>
      </c>
      <c r="D125" s="98" t="s">
        <v>2004</v>
      </c>
      <c r="E125" s="98">
        <v>7601047</v>
      </c>
      <c r="F125" s="113" t="s">
        <v>2001</v>
      </c>
      <c r="G125" s="100" t="s">
        <v>134</v>
      </c>
      <c r="H125" s="101" t="s">
        <v>1992</v>
      </c>
      <c r="I125" s="98" t="s">
        <v>2004</v>
      </c>
      <c r="J125" s="102">
        <v>1</v>
      </c>
      <c r="K125" s="103" t="s">
        <v>1810</v>
      </c>
      <c r="L125" s="124">
        <v>3</v>
      </c>
      <c r="M125" s="125" t="s">
        <v>1604</v>
      </c>
      <c r="N125" s="106" t="str">
        <f t="shared" si="3"/>
        <v>13</v>
      </c>
      <c r="O125" s="107"/>
      <c r="P125" s="114" t="s">
        <v>2003</v>
      </c>
      <c r="Q125" s="107"/>
      <c r="R125" s="115" t="s">
        <v>1607</v>
      </c>
      <c r="S125" s="92" t="s">
        <v>1572</v>
      </c>
      <c r="T125" s="110"/>
      <c r="U125" s="94" t="s">
        <v>1607</v>
      </c>
      <c r="V125" s="107"/>
      <c r="W125" s="117">
        <v>7600991</v>
      </c>
      <c r="X125" s="115" t="s">
        <v>1607</v>
      </c>
      <c r="Y125" s="129"/>
      <c r="Z125" s="155"/>
      <c r="AE125" s="88" t="s">
        <v>1778</v>
      </c>
      <c r="AF125" s="88" t="s">
        <v>1779</v>
      </c>
    </row>
    <row r="126" spans="1:52" ht="17.45" customHeight="1">
      <c r="B126" s="96" t="e">
        <f t="shared" si="4"/>
        <v>#REF!</v>
      </c>
      <c r="C126" s="112">
        <v>36714</v>
      </c>
      <c r="D126" s="98" t="s">
        <v>2008</v>
      </c>
      <c r="E126" s="98">
        <v>7600154</v>
      </c>
      <c r="F126" s="113" t="s">
        <v>2006</v>
      </c>
      <c r="G126" s="100" t="s">
        <v>224</v>
      </c>
      <c r="H126" s="101" t="s">
        <v>1996</v>
      </c>
      <c r="I126" s="98" t="s">
        <v>2008</v>
      </c>
      <c r="J126" s="102">
        <v>1</v>
      </c>
      <c r="K126" s="103" t="s">
        <v>1810</v>
      </c>
      <c r="L126" s="124">
        <v>5</v>
      </c>
      <c r="M126" s="125" t="s">
        <v>1613</v>
      </c>
      <c r="N126" s="106" t="str">
        <f t="shared" si="3"/>
        <v>15</v>
      </c>
      <c r="O126" s="107"/>
      <c r="P126" s="114" t="s">
        <v>2007</v>
      </c>
      <c r="Q126" s="107"/>
      <c r="R126" s="115" t="s">
        <v>1616</v>
      </c>
      <c r="S126" s="92" t="s">
        <v>1574</v>
      </c>
      <c r="T126" s="110"/>
      <c r="U126" s="94" t="s">
        <v>1616</v>
      </c>
      <c r="V126" s="107"/>
      <c r="W126" s="117">
        <v>7600012</v>
      </c>
      <c r="X126" s="115" t="s">
        <v>1616</v>
      </c>
      <c r="Z126" s="155"/>
      <c r="AE126" s="88" t="s">
        <v>1778</v>
      </c>
      <c r="AF126" s="88" t="s">
        <v>1779</v>
      </c>
    </row>
    <row r="127" spans="1:52" ht="17.45" customHeight="1">
      <c r="B127" s="96" t="e">
        <f t="shared" si="4"/>
        <v>#REF!</v>
      </c>
      <c r="C127" s="112">
        <v>40714</v>
      </c>
      <c r="D127" s="98" t="s">
        <v>2013</v>
      </c>
      <c r="E127" s="98">
        <v>7600860</v>
      </c>
      <c r="F127" s="113" t="s">
        <v>2006</v>
      </c>
      <c r="G127" s="100" t="s">
        <v>231</v>
      </c>
      <c r="H127" s="101" t="s">
        <v>1996</v>
      </c>
      <c r="I127" s="98" t="s">
        <v>2013</v>
      </c>
      <c r="J127" s="102">
        <v>1</v>
      </c>
      <c r="K127" s="103" t="s">
        <v>1810</v>
      </c>
      <c r="L127" s="124">
        <v>5</v>
      </c>
      <c r="M127" s="125" t="s">
        <v>1613</v>
      </c>
      <c r="N127" s="106" t="str">
        <f t="shared" si="3"/>
        <v>15</v>
      </c>
      <c r="O127" s="107"/>
      <c r="P127" s="114" t="s">
        <v>2007</v>
      </c>
      <c r="Q127" s="107"/>
      <c r="R127" s="115" t="s">
        <v>1616</v>
      </c>
      <c r="S127" s="92" t="s">
        <v>1574</v>
      </c>
      <c r="T127" s="110"/>
      <c r="U127" s="94" t="s">
        <v>1616</v>
      </c>
      <c r="V127" s="107"/>
      <c r="W127" s="117">
        <v>7600012</v>
      </c>
      <c r="X127" s="115" t="s">
        <v>1616</v>
      </c>
      <c r="Z127" s="155"/>
      <c r="AE127" s="88" t="s">
        <v>1778</v>
      </c>
      <c r="AF127" s="88" t="s">
        <v>1779</v>
      </c>
    </row>
    <row r="128" spans="1:52" s="132" customFormat="1" ht="17.45" customHeight="1">
      <c r="A128" s="56"/>
      <c r="B128" s="96" t="e">
        <f t="shared" si="4"/>
        <v>#REF!</v>
      </c>
      <c r="C128" s="112">
        <v>42387</v>
      </c>
      <c r="D128" s="98" t="s">
        <v>2014</v>
      </c>
      <c r="E128" s="98">
        <v>7600887</v>
      </c>
      <c r="F128" s="113" t="s">
        <v>2006</v>
      </c>
      <c r="G128" s="100" t="s">
        <v>235</v>
      </c>
      <c r="H128" s="151" t="s">
        <v>1996</v>
      </c>
      <c r="I128" s="98" t="s">
        <v>2014</v>
      </c>
      <c r="J128" s="126">
        <v>1</v>
      </c>
      <c r="K128" s="124" t="s">
        <v>1810</v>
      </c>
      <c r="L128" s="124">
        <v>5</v>
      </c>
      <c r="M128" s="125" t="s">
        <v>1613</v>
      </c>
      <c r="N128" s="106" t="str">
        <f t="shared" si="3"/>
        <v>15</v>
      </c>
      <c r="O128" s="107"/>
      <c r="P128" s="114" t="s">
        <v>2007</v>
      </c>
      <c r="Q128" s="107"/>
      <c r="R128" s="115" t="s">
        <v>1616</v>
      </c>
      <c r="S128" s="92" t="s">
        <v>1574</v>
      </c>
      <c r="T128" s="110"/>
      <c r="U128" s="94" t="s">
        <v>1616</v>
      </c>
      <c r="V128" s="107"/>
      <c r="W128" s="117">
        <v>7600012</v>
      </c>
      <c r="X128" s="115" t="s">
        <v>1616</v>
      </c>
      <c r="Y128" s="74"/>
      <c r="Z128" s="155"/>
      <c r="AA128" s="129"/>
      <c r="AB128" s="74"/>
      <c r="AC128" s="74"/>
      <c r="AD128" s="74"/>
      <c r="AE128" s="88" t="s">
        <v>1778</v>
      </c>
      <c r="AF128" s="88" t="s">
        <v>1779</v>
      </c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</row>
    <row r="129" spans="2:32" ht="17.45" customHeight="1">
      <c r="B129" s="96" t="e">
        <f t="shared" si="4"/>
        <v>#REF!</v>
      </c>
      <c r="C129" s="112">
        <v>40800</v>
      </c>
      <c r="D129" s="98" t="s">
        <v>2016</v>
      </c>
      <c r="E129" s="98">
        <v>7601199</v>
      </c>
      <c r="F129" s="113" t="s">
        <v>2006</v>
      </c>
      <c r="G129" s="100" t="s">
        <v>237</v>
      </c>
      <c r="H129" s="151" t="s">
        <v>2002</v>
      </c>
      <c r="I129" s="98" t="s">
        <v>2016</v>
      </c>
      <c r="J129" s="126">
        <v>1</v>
      </c>
      <c r="K129" s="124" t="s">
        <v>1810</v>
      </c>
      <c r="L129" s="124">
        <v>5</v>
      </c>
      <c r="M129" s="125" t="s">
        <v>1613</v>
      </c>
      <c r="N129" s="106" t="str">
        <f t="shared" si="3"/>
        <v>15</v>
      </c>
      <c r="O129" s="107"/>
      <c r="P129" s="114" t="s">
        <v>2007</v>
      </c>
      <c r="Q129" s="107"/>
      <c r="R129" s="115" t="s">
        <v>1616</v>
      </c>
      <c r="S129" s="92" t="s">
        <v>1574</v>
      </c>
      <c r="T129" s="110"/>
      <c r="U129" s="94" t="s">
        <v>1616</v>
      </c>
      <c r="V129" s="107"/>
      <c r="W129" s="211">
        <v>7600012</v>
      </c>
      <c r="X129" s="115" t="s">
        <v>1616</v>
      </c>
      <c r="Z129" s="155"/>
      <c r="AE129" s="88" t="s">
        <v>1778</v>
      </c>
      <c r="AF129" s="88" t="s">
        <v>1779</v>
      </c>
    </row>
    <row r="130" spans="2:32" ht="17.45" customHeight="1">
      <c r="B130" s="96" t="e">
        <f t="shared" si="4"/>
        <v>#REF!</v>
      </c>
      <c r="C130" s="112">
        <v>40869</v>
      </c>
      <c r="D130" s="98" t="s">
        <v>2009</v>
      </c>
      <c r="E130" s="98">
        <v>7600602</v>
      </c>
      <c r="F130" s="113" t="s">
        <v>2006</v>
      </c>
      <c r="G130" s="100" t="s">
        <v>240</v>
      </c>
      <c r="H130" s="101" t="s">
        <v>1996</v>
      </c>
      <c r="I130" s="98" t="s">
        <v>2009</v>
      </c>
      <c r="J130" s="102">
        <v>1</v>
      </c>
      <c r="K130" s="103" t="s">
        <v>1810</v>
      </c>
      <c r="L130" s="124">
        <v>5</v>
      </c>
      <c r="M130" s="125" t="s">
        <v>1613</v>
      </c>
      <c r="N130" s="106" t="str">
        <f t="shared" si="3"/>
        <v>15</v>
      </c>
      <c r="O130" s="107"/>
      <c r="P130" s="114" t="s">
        <v>2007</v>
      </c>
      <c r="Q130" s="107"/>
      <c r="R130" s="115" t="s">
        <v>1616</v>
      </c>
      <c r="S130" s="92" t="s">
        <v>1574</v>
      </c>
      <c r="T130" s="110"/>
      <c r="U130" s="94" t="s">
        <v>1616</v>
      </c>
      <c r="V130" s="107"/>
      <c r="W130" s="117">
        <v>7600012</v>
      </c>
      <c r="X130" s="115" t="s">
        <v>1616</v>
      </c>
      <c r="Z130" s="155"/>
      <c r="AE130" s="88" t="s">
        <v>1778</v>
      </c>
      <c r="AF130" s="88" t="s">
        <v>1779</v>
      </c>
    </row>
    <row r="131" spans="2:32" ht="17.45" customHeight="1">
      <c r="B131" s="96" t="e">
        <f t="shared" si="4"/>
        <v>#REF!</v>
      </c>
      <c r="C131" s="112">
        <v>38623</v>
      </c>
      <c r="D131" s="98" t="s">
        <v>2011</v>
      </c>
      <c r="E131" s="98">
        <v>7600854</v>
      </c>
      <c r="F131" s="113" t="s">
        <v>2006</v>
      </c>
      <c r="G131" s="100" t="s">
        <v>243</v>
      </c>
      <c r="H131" s="101" t="s">
        <v>1996</v>
      </c>
      <c r="I131" s="98" t="s">
        <v>2011</v>
      </c>
      <c r="J131" s="102">
        <v>1</v>
      </c>
      <c r="K131" s="103" t="s">
        <v>1810</v>
      </c>
      <c r="L131" s="124">
        <v>5</v>
      </c>
      <c r="M131" s="125" t="s">
        <v>1613</v>
      </c>
      <c r="N131" s="106" t="str">
        <f t="shared" si="3"/>
        <v>15</v>
      </c>
      <c r="O131" s="107"/>
      <c r="P131" s="114" t="s">
        <v>2007</v>
      </c>
      <c r="Q131" s="107"/>
      <c r="R131" s="115" t="s">
        <v>1616</v>
      </c>
      <c r="S131" s="92" t="s">
        <v>1574</v>
      </c>
      <c r="T131" s="110"/>
      <c r="U131" s="94" t="s">
        <v>1616</v>
      </c>
      <c r="V131" s="107"/>
      <c r="W131" s="117">
        <v>7600012</v>
      </c>
      <c r="X131" s="115" t="s">
        <v>1616</v>
      </c>
      <c r="Z131" s="155"/>
      <c r="AE131" s="88" t="s">
        <v>1778</v>
      </c>
      <c r="AF131" s="88" t="s">
        <v>1779</v>
      </c>
    </row>
    <row r="132" spans="2:32" ht="17.45" customHeight="1">
      <c r="B132" s="96" t="e">
        <f t="shared" si="4"/>
        <v>#REF!</v>
      </c>
      <c r="C132" s="112">
        <v>43018</v>
      </c>
      <c r="D132" s="98" t="s">
        <v>2015</v>
      </c>
      <c r="E132" s="98">
        <v>7601197</v>
      </c>
      <c r="F132" s="113" t="s">
        <v>2006</v>
      </c>
      <c r="G132" s="100" t="s">
        <v>246</v>
      </c>
      <c r="H132" s="151" t="s">
        <v>2002</v>
      </c>
      <c r="I132" s="98" t="s">
        <v>2015</v>
      </c>
      <c r="J132" s="126">
        <v>1</v>
      </c>
      <c r="K132" s="124" t="s">
        <v>1810</v>
      </c>
      <c r="L132" s="124">
        <v>5</v>
      </c>
      <c r="M132" s="125" t="s">
        <v>1613</v>
      </c>
      <c r="N132" s="106" t="str">
        <f t="shared" si="3"/>
        <v>15</v>
      </c>
      <c r="O132" s="107"/>
      <c r="P132" s="114" t="s">
        <v>2007</v>
      </c>
      <c r="Q132" s="107"/>
      <c r="R132" s="115" t="s">
        <v>1616</v>
      </c>
      <c r="S132" s="92" t="s">
        <v>1574</v>
      </c>
      <c r="T132" s="110"/>
      <c r="U132" s="94" t="s">
        <v>1616</v>
      </c>
      <c r="V132" s="107"/>
      <c r="W132" s="211">
        <v>7600012</v>
      </c>
      <c r="X132" s="115" t="s">
        <v>1616</v>
      </c>
      <c r="Z132" s="155"/>
      <c r="AE132" s="88" t="s">
        <v>1778</v>
      </c>
      <c r="AF132" s="88" t="s">
        <v>1779</v>
      </c>
    </row>
    <row r="133" spans="2:32" ht="17.45" customHeight="1">
      <c r="B133" s="96" t="e">
        <f t="shared" si="4"/>
        <v>#REF!</v>
      </c>
      <c r="C133" s="112">
        <v>35468</v>
      </c>
      <c r="D133" s="98" t="s">
        <v>2007</v>
      </c>
      <c r="E133" s="98">
        <v>7600012</v>
      </c>
      <c r="F133" s="113" t="s">
        <v>2006</v>
      </c>
      <c r="G133" s="100" t="s">
        <v>249</v>
      </c>
      <c r="H133" s="101" t="s">
        <v>1996</v>
      </c>
      <c r="I133" s="98" t="s">
        <v>2007</v>
      </c>
      <c r="J133" s="102">
        <v>1</v>
      </c>
      <c r="K133" s="103" t="s">
        <v>1810</v>
      </c>
      <c r="L133" s="124">
        <v>5</v>
      </c>
      <c r="M133" s="125" t="s">
        <v>1613</v>
      </c>
      <c r="N133" s="106" t="str">
        <f t="shared" ref="N133:N196" si="5">J133&amp;L133</f>
        <v>15</v>
      </c>
      <c r="O133" s="107"/>
      <c r="P133" s="114" t="s">
        <v>2007</v>
      </c>
      <c r="Q133" s="107"/>
      <c r="R133" s="115" t="s">
        <v>1616</v>
      </c>
      <c r="S133" s="92" t="s">
        <v>1574</v>
      </c>
      <c r="T133" s="110"/>
      <c r="U133" s="94" t="s">
        <v>1616</v>
      </c>
      <c r="V133" s="107"/>
      <c r="W133" s="117">
        <v>7600012</v>
      </c>
      <c r="X133" s="115" t="s">
        <v>1616</v>
      </c>
      <c r="Y133" s="129"/>
      <c r="Z133" s="155"/>
      <c r="AE133" s="88" t="s">
        <v>1778</v>
      </c>
      <c r="AF133" s="88" t="s">
        <v>1779</v>
      </c>
    </row>
    <row r="134" spans="2:32" ht="17.45" customHeight="1">
      <c r="B134" s="96" t="e">
        <f t="shared" si="4"/>
        <v>#REF!</v>
      </c>
      <c r="C134" s="112">
        <v>38295</v>
      </c>
      <c r="D134" s="98" t="s">
        <v>2022</v>
      </c>
      <c r="E134" s="98">
        <v>7600373</v>
      </c>
      <c r="F134" s="113" t="s">
        <v>2019</v>
      </c>
      <c r="G134" s="100" t="s">
        <v>252</v>
      </c>
      <c r="H134" s="101" t="s">
        <v>2010</v>
      </c>
      <c r="I134" s="98" t="s">
        <v>2022</v>
      </c>
      <c r="J134" s="102">
        <v>1</v>
      </c>
      <c r="K134" s="103" t="s">
        <v>1810</v>
      </c>
      <c r="L134" s="124">
        <v>3</v>
      </c>
      <c r="M134" s="125" t="s">
        <v>1604</v>
      </c>
      <c r="N134" s="106" t="str">
        <f t="shared" si="5"/>
        <v>13</v>
      </c>
      <c r="O134" s="107"/>
      <c r="P134" s="114" t="s">
        <v>2020</v>
      </c>
      <c r="Q134" s="107"/>
      <c r="R134" s="115" t="s">
        <v>1608</v>
      </c>
      <c r="S134" s="92" t="s">
        <v>1572</v>
      </c>
      <c r="T134" s="110"/>
      <c r="U134" s="94" t="s">
        <v>1608</v>
      </c>
      <c r="V134" s="107"/>
      <c r="W134" s="117">
        <v>7600023</v>
      </c>
      <c r="X134" s="115" t="s">
        <v>1608</v>
      </c>
      <c r="Z134" s="155"/>
      <c r="AE134" s="88" t="s">
        <v>1778</v>
      </c>
      <c r="AF134" s="88" t="s">
        <v>1779</v>
      </c>
    </row>
    <row r="135" spans="2:32" ht="17.45" customHeight="1">
      <c r="B135" s="96" t="e">
        <f t="shared" si="4"/>
        <v>#REF!</v>
      </c>
      <c r="C135" s="112">
        <v>41249</v>
      </c>
      <c r="D135" s="98" t="s">
        <v>2024</v>
      </c>
      <c r="E135" s="98">
        <v>7600701</v>
      </c>
      <c r="F135" s="113" t="s">
        <v>2019</v>
      </c>
      <c r="G135" s="100" t="s">
        <v>257</v>
      </c>
      <c r="H135" s="101" t="s">
        <v>2010</v>
      </c>
      <c r="I135" s="98" t="s">
        <v>2024</v>
      </c>
      <c r="J135" s="102">
        <v>1</v>
      </c>
      <c r="K135" s="103" t="s">
        <v>1810</v>
      </c>
      <c r="L135" s="124">
        <v>3</v>
      </c>
      <c r="M135" s="125" t="s">
        <v>1604</v>
      </c>
      <c r="N135" s="106" t="str">
        <f t="shared" si="5"/>
        <v>13</v>
      </c>
      <c r="O135" s="107"/>
      <c r="P135" s="114" t="s">
        <v>2020</v>
      </c>
      <c r="Q135" s="107"/>
      <c r="R135" s="115" t="s">
        <v>1608</v>
      </c>
      <c r="S135" s="92" t="s">
        <v>1572</v>
      </c>
      <c r="T135" s="110"/>
      <c r="U135" s="94" t="s">
        <v>1608</v>
      </c>
      <c r="V135" s="107"/>
      <c r="W135" s="117">
        <v>7600023</v>
      </c>
      <c r="X135" s="115" t="s">
        <v>1608</v>
      </c>
      <c r="Z135" s="155"/>
      <c r="AE135" s="88" t="s">
        <v>1778</v>
      </c>
      <c r="AF135" s="88" t="s">
        <v>1779</v>
      </c>
    </row>
    <row r="136" spans="2:32" ht="17.45" customHeight="1">
      <c r="B136" s="96" t="e">
        <f t="shared" si="4"/>
        <v>#REF!</v>
      </c>
      <c r="C136" s="112">
        <v>37160</v>
      </c>
      <c r="D136" s="98" t="s">
        <v>2026</v>
      </c>
      <c r="E136" s="98">
        <v>7600756</v>
      </c>
      <c r="F136" s="113" t="s">
        <v>2019</v>
      </c>
      <c r="G136" s="100" t="s">
        <v>260</v>
      </c>
      <c r="H136" s="101" t="s">
        <v>2010</v>
      </c>
      <c r="I136" s="98" t="s">
        <v>2026</v>
      </c>
      <c r="J136" s="102">
        <v>1</v>
      </c>
      <c r="K136" s="103" t="s">
        <v>1810</v>
      </c>
      <c r="L136" s="124">
        <v>3</v>
      </c>
      <c r="M136" s="125" t="s">
        <v>1604</v>
      </c>
      <c r="N136" s="106" t="str">
        <f t="shared" si="5"/>
        <v>13</v>
      </c>
      <c r="O136" s="107"/>
      <c r="P136" s="114" t="s">
        <v>2020</v>
      </c>
      <c r="Q136" s="107"/>
      <c r="R136" s="115" t="s">
        <v>1608</v>
      </c>
      <c r="S136" s="92" t="s">
        <v>1572</v>
      </c>
      <c r="T136" s="110"/>
      <c r="U136" s="94" t="s">
        <v>1608</v>
      </c>
      <c r="V136" s="107"/>
      <c r="W136" s="117">
        <v>7600023</v>
      </c>
      <c r="X136" s="115" t="s">
        <v>1608</v>
      </c>
      <c r="Z136" s="155"/>
      <c r="AE136" s="88" t="s">
        <v>1778</v>
      </c>
      <c r="AF136" s="88" t="s">
        <v>1779</v>
      </c>
    </row>
    <row r="137" spans="2:32" ht="17.45" customHeight="1">
      <c r="B137" s="96" t="e">
        <f t="shared" si="4"/>
        <v>#REF!</v>
      </c>
      <c r="C137" s="112">
        <v>35571</v>
      </c>
      <c r="D137" s="98" t="s">
        <v>2020</v>
      </c>
      <c r="E137" s="98">
        <v>7600023</v>
      </c>
      <c r="F137" s="113" t="s">
        <v>2019</v>
      </c>
      <c r="G137" s="100" t="s">
        <v>264</v>
      </c>
      <c r="H137" s="101" t="s">
        <v>2010</v>
      </c>
      <c r="I137" s="98" t="s">
        <v>2020</v>
      </c>
      <c r="J137" s="102">
        <v>1</v>
      </c>
      <c r="K137" s="103" t="s">
        <v>1810</v>
      </c>
      <c r="L137" s="124">
        <v>3</v>
      </c>
      <c r="M137" s="125" t="s">
        <v>1604</v>
      </c>
      <c r="N137" s="106" t="str">
        <f t="shared" si="5"/>
        <v>13</v>
      </c>
      <c r="O137" s="107"/>
      <c r="P137" s="114" t="s">
        <v>2020</v>
      </c>
      <c r="Q137" s="107"/>
      <c r="R137" s="115" t="s">
        <v>1608</v>
      </c>
      <c r="S137" s="92" t="s">
        <v>1572</v>
      </c>
      <c r="T137" s="110"/>
      <c r="U137" s="94" t="s">
        <v>1608</v>
      </c>
      <c r="V137" s="107"/>
      <c r="W137" s="117">
        <v>7600023</v>
      </c>
      <c r="X137" s="115" t="s">
        <v>1608</v>
      </c>
      <c r="Z137" s="155"/>
      <c r="AE137" s="88" t="s">
        <v>1778</v>
      </c>
      <c r="AF137" s="88" t="s">
        <v>1779</v>
      </c>
    </row>
    <row r="138" spans="2:32" ht="17.45" customHeight="1">
      <c r="B138" s="96" t="e">
        <f t="shared" si="4"/>
        <v>#REF!</v>
      </c>
      <c r="C138" s="112">
        <v>37246</v>
      </c>
      <c r="D138" s="98" t="s">
        <v>2021</v>
      </c>
      <c r="E138" s="98">
        <v>7600271</v>
      </c>
      <c r="F138" s="113" t="s">
        <v>2019</v>
      </c>
      <c r="G138" s="100" t="s">
        <v>266</v>
      </c>
      <c r="H138" s="101" t="s">
        <v>2010</v>
      </c>
      <c r="I138" s="98" t="s">
        <v>2021</v>
      </c>
      <c r="J138" s="102">
        <v>1</v>
      </c>
      <c r="K138" s="103" t="s">
        <v>1810</v>
      </c>
      <c r="L138" s="124">
        <v>3</v>
      </c>
      <c r="M138" s="125" t="s">
        <v>1604</v>
      </c>
      <c r="N138" s="106" t="str">
        <f t="shared" si="5"/>
        <v>13</v>
      </c>
      <c r="O138" s="107"/>
      <c r="P138" s="114" t="s">
        <v>2020</v>
      </c>
      <c r="Q138" s="107"/>
      <c r="R138" s="115" t="s">
        <v>1608</v>
      </c>
      <c r="S138" s="92" t="s">
        <v>1572</v>
      </c>
      <c r="T138" s="110"/>
      <c r="U138" s="94" t="s">
        <v>1608</v>
      </c>
      <c r="V138" s="107"/>
      <c r="W138" s="117">
        <v>7600023</v>
      </c>
      <c r="X138" s="115" t="s">
        <v>1608</v>
      </c>
      <c r="Z138" s="155"/>
      <c r="AE138" s="88" t="s">
        <v>1778</v>
      </c>
      <c r="AF138" s="88" t="s">
        <v>1779</v>
      </c>
    </row>
    <row r="139" spans="2:32" ht="17.45" customHeight="1">
      <c r="B139" s="96" t="e">
        <f t="shared" si="4"/>
        <v>#REF!</v>
      </c>
      <c r="C139" s="112">
        <v>36783</v>
      </c>
      <c r="D139" s="98" t="s">
        <v>2030</v>
      </c>
      <c r="E139" s="98">
        <v>7600187</v>
      </c>
      <c r="F139" s="113" t="s">
        <v>2027</v>
      </c>
      <c r="G139" s="100" t="s">
        <v>507</v>
      </c>
      <c r="H139" s="101" t="s">
        <v>2017</v>
      </c>
      <c r="I139" s="98" t="s">
        <v>2030</v>
      </c>
      <c r="J139" s="102">
        <v>2</v>
      </c>
      <c r="K139" s="103" t="s">
        <v>1784</v>
      </c>
      <c r="L139" s="124">
        <v>1</v>
      </c>
      <c r="M139" s="125" t="s">
        <v>1628</v>
      </c>
      <c r="N139" s="106" t="str">
        <f t="shared" si="5"/>
        <v>21</v>
      </c>
      <c r="O139" s="107"/>
      <c r="P139" s="114" t="s">
        <v>2028</v>
      </c>
      <c r="Q139" s="107"/>
      <c r="R139" s="115" t="s">
        <v>1629</v>
      </c>
      <c r="S139" s="92" t="s">
        <v>1630</v>
      </c>
      <c r="T139" s="110"/>
      <c r="U139" s="94" t="s">
        <v>1629</v>
      </c>
      <c r="V139" s="107"/>
      <c r="W139" s="117">
        <v>7600152</v>
      </c>
      <c r="X139" s="115" t="s">
        <v>1629</v>
      </c>
      <c r="Z139" s="155"/>
      <c r="AE139" s="88" t="s">
        <v>1778</v>
      </c>
      <c r="AF139" s="88" t="s">
        <v>1779</v>
      </c>
    </row>
    <row r="140" spans="2:32" ht="17.45" customHeight="1">
      <c r="B140" s="96" t="e">
        <f t="shared" si="4"/>
        <v>#REF!</v>
      </c>
      <c r="C140" s="112">
        <v>36648</v>
      </c>
      <c r="D140" s="98" t="s">
        <v>2028</v>
      </c>
      <c r="E140" s="98">
        <v>7600152</v>
      </c>
      <c r="F140" s="113" t="s">
        <v>2027</v>
      </c>
      <c r="G140" s="100" t="s">
        <v>514</v>
      </c>
      <c r="H140" s="101" t="s">
        <v>2017</v>
      </c>
      <c r="I140" s="98" t="s">
        <v>2028</v>
      </c>
      <c r="J140" s="102">
        <v>2</v>
      </c>
      <c r="K140" s="103" t="s">
        <v>1784</v>
      </c>
      <c r="L140" s="124">
        <v>1</v>
      </c>
      <c r="M140" s="125" t="s">
        <v>1628</v>
      </c>
      <c r="N140" s="106" t="str">
        <f t="shared" si="5"/>
        <v>21</v>
      </c>
      <c r="O140" s="107"/>
      <c r="P140" s="114" t="s">
        <v>2028</v>
      </c>
      <c r="Q140" s="107"/>
      <c r="R140" s="115" t="s">
        <v>1629</v>
      </c>
      <c r="S140" s="92" t="s">
        <v>1630</v>
      </c>
      <c r="T140" s="110"/>
      <c r="U140" s="94" t="s">
        <v>1629</v>
      </c>
      <c r="V140" s="107"/>
      <c r="W140" s="117">
        <v>7600152</v>
      </c>
      <c r="X140" s="115" t="s">
        <v>1629</v>
      </c>
      <c r="Z140" s="155"/>
      <c r="AE140" s="88" t="s">
        <v>1778</v>
      </c>
      <c r="AF140" s="88" t="s">
        <v>1779</v>
      </c>
    </row>
    <row r="141" spans="2:32" ht="17.45" customHeight="1">
      <c r="B141" s="96" t="e">
        <f t="shared" ref="B141:B158" si="6">B140+1</f>
        <v>#REF!</v>
      </c>
      <c r="C141" s="112">
        <v>40542</v>
      </c>
      <c r="D141" s="98" t="s">
        <v>2032</v>
      </c>
      <c r="E141" s="98">
        <v>7600566</v>
      </c>
      <c r="F141" s="113" t="s">
        <v>2027</v>
      </c>
      <c r="G141" s="100" t="s">
        <v>521</v>
      </c>
      <c r="H141" s="101" t="s">
        <v>2017</v>
      </c>
      <c r="I141" s="98" t="s">
        <v>2032</v>
      </c>
      <c r="J141" s="102">
        <v>2</v>
      </c>
      <c r="K141" s="103" t="s">
        <v>1784</v>
      </c>
      <c r="L141" s="124">
        <v>1</v>
      </c>
      <c r="M141" s="125" t="s">
        <v>1628</v>
      </c>
      <c r="N141" s="106" t="str">
        <f t="shared" si="5"/>
        <v>21</v>
      </c>
      <c r="O141" s="107"/>
      <c r="P141" s="114" t="s">
        <v>2028</v>
      </c>
      <c r="Q141" s="107"/>
      <c r="R141" s="115" t="s">
        <v>1629</v>
      </c>
      <c r="S141" s="92" t="s">
        <v>1630</v>
      </c>
      <c r="T141" s="110"/>
      <c r="U141" s="94" t="s">
        <v>1629</v>
      </c>
      <c r="V141" s="107"/>
      <c r="W141" s="117">
        <v>7600152</v>
      </c>
      <c r="X141" s="115" t="s">
        <v>1629</v>
      </c>
      <c r="Z141" s="155"/>
      <c r="AE141" s="88" t="s">
        <v>1778</v>
      </c>
      <c r="AF141" s="88" t="s">
        <v>1779</v>
      </c>
    </row>
    <row r="142" spans="2:32" ht="17.45" customHeight="1">
      <c r="B142" s="96" t="e">
        <f t="shared" si="6"/>
        <v>#REF!</v>
      </c>
      <c r="C142" s="112">
        <v>37961</v>
      </c>
      <c r="D142" s="98" t="s">
        <v>2031</v>
      </c>
      <c r="E142" s="98">
        <v>7600353</v>
      </c>
      <c r="F142" s="113" t="s">
        <v>2027</v>
      </c>
      <c r="G142" s="100" t="s">
        <v>526</v>
      </c>
      <c r="H142" s="101" t="s">
        <v>2017</v>
      </c>
      <c r="I142" s="98" t="s">
        <v>2031</v>
      </c>
      <c r="J142" s="102">
        <v>2</v>
      </c>
      <c r="K142" s="103" t="s">
        <v>1784</v>
      </c>
      <c r="L142" s="124">
        <v>1</v>
      </c>
      <c r="M142" s="125" t="s">
        <v>1628</v>
      </c>
      <c r="N142" s="106" t="str">
        <f t="shared" si="5"/>
        <v>21</v>
      </c>
      <c r="O142" s="107"/>
      <c r="P142" s="114" t="s">
        <v>2028</v>
      </c>
      <c r="Q142" s="107"/>
      <c r="R142" s="115" t="s">
        <v>1629</v>
      </c>
      <c r="S142" s="92" t="s">
        <v>1630</v>
      </c>
      <c r="T142" s="110"/>
      <c r="U142" s="94" t="s">
        <v>1629</v>
      </c>
      <c r="V142" s="107"/>
      <c r="W142" s="117">
        <v>7600152</v>
      </c>
      <c r="X142" s="115" t="s">
        <v>1629</v>
      </c>
      <c r="Z142" s="155"/>
      <c r="AE142" s="88" t="s">
        <v>1778</v>
      </c>
      <c r="AF142" s="88" t="s">
        <v>1779</v>
      </c>
    </row>
    <row r="143" spans="2:32" ht="17.45" customHeight="1">
      <c r="B143" s="96" t="e">
        <f t="shared" si="6"/>
        <v>#REF!</v>
      </c>
      <c r="C143" s="112">
        <v>37237</v>
      </c>
      <c r="D143" s="98" t="s">
        <v>2034</v>
      </c>
      <c r="E143" s="98">
        <v>7600286</v>
      </c>
      <c r="F143" s="113" t="s">
        <v>2033</v>
      </c>
      <c r="G143" s="100" t="s">
        <v>998</v>
      </c>
      <c r="H143" s="101" t="s">
        <v>2023</v>
      </c>
      <c r="I143" s="98" t="s">
        <v>2034</v>
      </c>
      <c r="J143" s="102">
        <v>4</v>
      </c>
      <c r="K143" s="103" t="s">
        <v>1774</v>
      </c>
      <c r="L143" s="124">
        <v>5</v>
      </c>
      <c r="M143" s="125" t="s">
        <v>1728</v>
      </c>
      <c r="N143" s="106" t="str">
        <f t="shared" si="5"/>
        <v>45</v>
      </c>
      <c r="O143" s="107"/>
      <c r="P143" s="114" t="s">
        <v>2034</v>
      </c>
      <c r="Q143" s="107"/>
      <c r="R143" s="115" t="s">
        <v>1729</v>
      </c>
      <c r="S143" s="92" t="s">
        <v>1591</v>
      </c>
      <c r="T143" s="110"/>
      <c r="U143" s="94" t="s">
        <v>1729</v>
      </c>
      <c r="V143" s="107"/>
      <c r="W143" s="117">
        <v>7600286</v>
      </c>
      <c r="X143" s="115" t="s">
        <v>1729</v>
      </c>
      <c r="Z143" s="155"/>
      <c r="AE143" s="88" t="s">
        <v>1778</v>
      </c>
      <c r="AF143" s="88" t="s">
        <v>1779</v>
      </c>
    </row>
    <row r="144" spans="2:32" ht="17.45" customHeight="1">
      <c r="B144" s="96" t="e">
        <f t="shared" si="6"/>
        <v>#REF!</v>
      </c>
      <c r="C144" s="112">
        <v>36503</v>
      </c>
      <c r="D144" s="98" t="s">
        <v>2045</v>
      </c>
      <c r="E144" s="98">
        <v>7601091</v>
      </c>
      <c r="F144" s="190" t="s">
        <v>2043</v>
      </c>
      <c r="G144" s="191" t="s">
        <v>935</v>
      </c>
      <c r="H144" s="191" t="s">
        <v>2036</v>
      </c>
      <c r="I144" s="98" t="s">
        <v>2045</v>
      </c>
      <c r="J144" s="126">
        <v>4</v>
      </c>
      <c r="K144" s="124" t="s">
        <v>1774</v>
      </c>
      <c r="L144" s="124">
        <v>3</v>
      </c>
      <c r="M144" s="125" t="s">
        <v>1713</v>
      </c>
      <c r="N144" s="106" t="str">
        <f t="shared" si="5"/>
        <v>43</v>
      </c>
      <c r="O144" s="107"/>
      <c r="P144" s="167" t="s">
        <v>2045</v>
      </c>
      <c r="Q144" s="163"/>
      <c r="R144" s="192" t="s">
        <v>1719</v>
      </c>
      <c r="S144" s="92" t="s">
        <v>1589</v>
      </c>
      <c r="T144" s="110"/>
      <c r="U144" s="94" t="s">
        <v>1719</v>
      </c>
      <c r="V144" s="163"/>
      <c r="W144" s="117">
        <v>7601091</v>
      </c>
      <c r="X144" s="192" t="s">
        <v>1719</v>
      </c>
      <c r="Z144" s="155"/>
      <c r="AE144" s="88" t="s">
        <v>1778</v>
      </c>
      <c r="AF144" s="88" t="s">
        <v>1779</v>
      </c>
    </row>
    <row r="145" spans="1:52" ht="17.45" customHeight="1">
      <c r="B145" s="96" t="e">
        <f t="shared" si="6"/>
        <v>#REF!</v>
      </c>
      <c r="C145" s="112">
        <v>44679</v>
      </c>
      <c r="D145" s="98" t="s">
        <v>2047</v>
      </c>
      <c r="E145" s="98">
        <v>7601187</v>
      </c>
      <c r="F145" s="190" t="s">
        <v>2043</v>
      </c>
      <c r="G145" s="191" t="s">
        <v>941</v>
      </c>
      <c r="H145" s="191" t="s">
        <v>2039</v>
      </c>
      <c r="I145" s="98" t="s">
        <v>2047</v>
      </c>
      <c r="J145" s="126">
        <v>4</v>
      </c>
      <c r="K145" s="124" t="s">
        <v>1774</v>
      </c>
      <c r="L145" s="124">
        <v>3</v>
      </c>
      <c r="M145" s="125" t="s">
        <v>1713</v>
      </c>
      <c r="N145" s="106" t="str">
        <f t="shared" si="5"/>
        <v>43</v>
      </c>
      <c r="O145" s="107"/>
      <c r="P145" s="167" t="s">
        <v>2045</v>
      </c>
      <c r="Q145" s="163"/>
      <c r="R145" s="192" t="s">
        <v>1719</v>
      </c>
      <c r="S145" s="92" t="s">
        <v>1589</v>
      </c>
      <c r="T145" s="110"/>
      <c r="U145" s="94" t="s">
        <v>1719</v>
      </c>
      <c r="V145" s="163"/>
      <c r="W145" s="211">
        <v>7601091</v>
      </c>
      <c r="X145" s="192" t="s">
        <v>1719</v>
      </c>
      <c r="Y145" s="166"/>
      <c r="Z145" s="155"/>
      <c r="AE145" s="88" t="s">
        <v>1778</v>
      </c>
      <c r="AF145" s="88" t="s">
        <v>1779</v>
      </c>
    </row>
    <row r="146" spans="1:52" ht="17.45" customHeight="1">
      <c r="B146" s="96" t="e">
        <f t="shared" si="6"/>
        <v>#REF!</v>
      </c>
      <c r="C146" s="112">
        <v>39465</v>
      </c>
      <c r="D146" s="98" t="s">
        <v>2049</v>
      </c>
      <c r="E146" s="98">
        <v>7600473</v>
      </c>
      <c r="F146" s="113" t="s">
        <v>2048</v>
      </c>
      <c r="G146" s="100" t="s">
        <v>887</v>
      </c>
      <c r="H146" s="101" t="s">
        <v>2041</v>
      </c>
      <c r="I146" s="98" t="s">
        <v>2049</v>
      </c>
      <c r="J146" s="102">
        <v>4</v>
      </c>
      <c r="K146" s="103" t="s">
        <v>1774</v>
      </c>
      <c r="L146" s="124">
        <v>2</v>
      </c>
      <c r="M146" s="125" t="s">
        <v>1706</v>
      </c>
      <c r="N146" s="106" t="str">
        <f t="shared" si="5"/>
        <v>42</v>
      </c>
      <c r="O146" s="107"/>
      <c r="P146" s="114" t="s">
        <v>2049</v>
      </c>
      <c r="Q146" s="107"/>
      <c r="R146" s="115" t="s">
        <v>1709</v>
      </c>
      <c r="S146" s="92" t="s">
        <v>1588</v>
      </c>
      <c r="T146" s="110"/>
      <c r="U146" s="94" t="s">
        <v>1709</v>
      </c>
      <c r="V146" s="107"/>
      <c r="W146" s="117">
        <v>7600473</v>
      </c>
      <c r="X146" s="115" t="s">
        <v>1709</v>
      </c>
      <c r="Y146" s="166"/>
      <c r="Z146" s="155"/>
      <c r="AE146" s="88" t="s">
        <v>1778</v>
      </c>
      <c r="AF146" s="88" t="s">
        <v>1779</v>
      </c>
    </row>
    <row r="147" spans="1:52" ht="17.45" customHeight="1">
      <c r="B147" s="96" t="e">
        <f t="shared" si="6"/>
        <v>#REF!</v>
      </c>
      <c r="C147" s="112">
        <v>42527</v>
      </c>
      <c r="D147" s="98" t="s">
        <v>2052</v>
      </c>
      <c r="E147" s="98">
        <v>7600863</v>
      </c>
      <c r="F147" s="113" t="s">
        <v>2050</v>
      </c>
      <c r="G147" s="100" t="s">
        <v>969</v>
      </c>
      <c r="H147" s="101" t="s">
        <v>2044</v>
      </c>
      <c r="I147" s="98" t="s">
        <v>2052</v>
      </c>
      <c r="J147" s="102">
        <v>4</v>
      </c>
      <c r="K147" s="103" t="s">
        <v>1774</v>
      </c>
      <c r="L147" s="124">
        <v>4</v>
      </c>
      <c r="M147" s="125" t="s">
        <v>1721</v>
      </c>
      <c r="N147" s="106" t="str">
        <f t="shared" si="5"/>
        <v>44</v>
      </c>
      <c r="O147" s="107"/>
      <c r="P147" s="114" t="s">
        <v>2052</v>
      </c>
      <c r="Q147" s="107"/>
      <c r="R147" s="115" t="s">
        <v>1725</v>
      </c>
      <c r="S147" s="92" t="s">
        <v>1590</v>
      </c>
      <c r="T147" s="110"/>
      <c r="U147" s="94" t="s">
        <v>1725</v>
      </c>
      <c r="V147" s="107"/>
      <c r="W147" s="117">
        <v>7600863</v>
      </c>
      <c r="X147" s="115" t="s">
        <v>1725</v>
      </c>
      <c r="Z147" s="155"/>
      <c r="AE147" s="88" t="s">
        <v>1778</v>
      </c>
      <c r="AF147" s="88" t="s">
        <v>1779</v>
      </c>
    </row>
    <row r="148" spans="1:52" ht="17.45" customHeight="1">
      <c r="A148" s="147"/>
      <c r="B148" s="96" t="e">
        <f t="shared" si="6"/>
        <v>#REF!</v>
      </c>
      <c r="C148" s="112">
        <v>42275</v>
      </c>
      <c r="D148" s="98" t="s">
        <v>2123</v>
      </c>
      <c r="E148" s="98">
        <v>7600810</v>
      </c>
      <c r="F148" s="113" t="s">
        <v>2122</v>
      </c>
      <c r="G148" s="100" t="s">
        <v>1041</v>
      </c>
      <c r="H148" s="101" t="s">
        <v>2046</v>
      </c>
      <c r="I148" s="98" t="s">
        <v>2123</v>
      </c>
      <c r="J148" s="126">
        <v>4</v>
      </c>
      <c r="K148" s="124" t="s">
        <v>1774</v>
      </c>
      <c r="L148" s="124">
        <v>6</v>
      </c>
      <c r="M148" s="125" t="s">
        <v>1735</v>
      </c>
      <c r="N148" s="106" t="str">
        <f t="shared" si="5"/>
        <v>46</v>
      </c>
      <c r="O148" s="107"/>
      <c r="P148" s="114" t="s">
        <v>2123</v>
      </c>
      <c r="Q148" s="107"/>
      <c r="R148" s="115" t="s">
        <v>1742</v>
      </c>
      <c r="S148" s="92" t="s">
        <v>1577</v>
      </c>
      <c r="T148" s="110"/>
      <c r="U148" s="94" t="s">
        <v>1742</v>
      </c>
      <c r="V148" s="107"/>
      <c r="W148" s="117">
        <v>7600810</v>
      </c>
      <c r="X148" s="115" t="s">
        <v>1742</v>
      </c>
      <c r="Z148" s="155"/>
      <c r="AA148" s="107"/>
      <c r="AE148" s="88" t="s">
        <v>1778</v>
      </c>
      <c r="AF148" s="88" t="s">
        <v>1779</v>
      </c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  <c r="AW148" s="147"/>
      <c r="AX148" s="147"/>
      <c r="AY148" s="147"/>
      <c r="AZ148" s="147"/>
    </row>
    <row r="149" spans="1:52" ht="17.45" customHeight="1">
      <c r="B149" s="96" t="e">
        <f t="shared" si="6"/>
        <v>#REF!</v>
      </c>
      <c r="C149" s="112">
        <v>42796</v>
      </c>
      <c r="D149" s="98" t="s">
        <v>2124</v>
      </c>
      <c r="E149" s="98">
        <v>7600872</v>
      </c>
      <c r="F149" s="99" t="s">
        <v>2122</v>
      </c>
      <c r="G149" s="100" t="s">
        <v>1046</v>
      </c>
      <c r="H149" s="151" t="s">
        <v>2046</v>
      </c>
      <c r="I149" s="98" t="s">
        <v>2124</v>
      </c>
      <c r="J149" s="126">
        <v>4</v>
      </c>
      <c r="K149" s="124" t="s">
        <v>1774</v>
      </c>
      <c r="L149" s="124">
        <v>6</v>
      </c>
      <c r="M149" s="125" t="s">
        <v>1735</v>
      </c>
      <c r="N149" s="106" t="str">
        <f t="shared" si="5"/>
        <v>46</v>
      </c>
      <c r="O149" s="107"/>
      <c r="P149" s="114" t="s">
        <v>2123</v>
      </c>
      <c r="Q149" s="107"/>
      <c r="R149" s="115" t="s">
        <v>1742</v>
      </c>
      <c r="S149" s="92" t="s">
        <v>1577</v>
      </c>
      <c r="T149" s="110"/>
      <c r="U149" s="94" t="s">
        <v>1742</v>
      </c>
      <c r="V149" s="107"/>
      <c r="W149" s="117">
        <v>7600810</v>
      </c>
      <c r="X149" s="115" t="s">
        <v>1742</v>
      </c>
      <c r="Z149" s="155"/>
      <c r="AA149" s="107"/>
      <c r="AD149" s="74" t="e">
        <f>VLOOKUP(#REF!,'Lista de Concessionárias (2)'!$G$5:$M$267,7,0)</f>
        <v>#REF!</v>
      </c>
      <c r="AE149" s="88" t="s">
        <v>1778</v>
      </c>
      <c r="AF149" s="88" t="s">
        <v>1779</v>
      </c>
    </row>
    <row r="150" spans="1:52" s="166" customFormat="1" ht="17.45" customHeight="1">
      <c r="A150" s="56"/>
      <c r="B150" s="96" t="e">
        <f t="shared" si="6"/>
        <v>#REF!</v>
      </c>
      <c r="C150" s="112">
        <v>37388</v>
      </c>
      <c r="D150" s="98" t="s">
        <v>2059</v>
      </c>
      <c r="E150" s="98">
        <v>7600312</v>
      </c>
      <c r="F150" s="113" t="s">
        <v>2055</v>
      </c>
      <c r="G150" s="100" t="s">
        <v>607</v>
      </c>
      <c r="H150" s="101" t="s">
        <v>2051</v>
      </c>
      <c r="I150" s="98" t="s">
        <v>2059</v>
      </c>
      <c r="J150" s="102">
        <v>3</v>
      </c>
      <c r="K150" s="103" t="s">
        <v>1802</v>
      </c>
      <c r="L150" s="124">
        <v>2</v>
      </c>
      <c r="M150" s="125" t="s">
        <v>1668</v>
      </c>
      <c r="N150" s="106" t="str">
        <f t="shared" si="5"/>
        <v>32</v>
      </c>
      <c r="O150" s="107"/>
      <c r="P150" s="114" t="s">
        <v>2056</v>
      </c>
      <c r="Q150" s="107"/>
      <c r="R150" s="115" t="s">
        <v>1671</v>
      </c>
      <c r="S150" s="92" t="s">
        <v>1577</v>
      </c>
      <c r="T150" s="110"/>
      <c r="U150" s="94" t="s">
        <v>1671</v>
      </c>
      <c r="V150" s="107"/>
      <c r="W150" s="117">
        <v>7600013</v>
      </c>
      <c r="X150" s="115" t="s">
        <v>1671</v>
      </c>
      <c r="Y150" s="74"/>
      <c r="Z150" s="155"/>
      <c r="AA150" s="129"/>
      <c r="AB150" s="74"/>
      <c r="AC150" s="74"/>
      <c r="AD150" s="74"/>
      <c r="AE150" s="88" t="s">
        <v>1778</v>
      </c>
      <c r="AF150" s="88" t="s">
        <v>1779</v>
      </c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</row>
    <row r="151" spans="1:52" ht="17.45" customHeight="1">
      <c r="B151" s="96" t="e">
        <f t="shared" si="6"/>
        <v>#REF!</v>
      </c>
      <c r="C151" s="112">
        <v>35466</v>
      </c>
      <c r="D151" s="98" t="s">
        <v>2056</v>
      </c>
      <c r="E151" s="98">
        <v>7600013</v>
      </c>
      <c r="F151" s="113" t="s">
        <v>2055</v>
      </c>
      <c r="G151" s="100" t="s">
        <v>614</v>
      </c>
      <c r="H151" s="101" t="s">
        <v>2051</v>
      </c>
      <c r="I151" s="98" t="s">
        <v>2056</v>
      </c>
      <c r="J151" s="102">
        <v>3</v>
      </c>
      <c r="K151" s="103" t="s">
        <v>1802</v>
      </c>
      <c r="L151" s="124">
        <v>2</v>
      </c>
      <c r="M151" s="125" t="s">
        <v>1668</v>
      </c>
      <c r="N151" s="106" t="str">
        <f t="shared" si="5"/>
        <v>32</v>
      </c>
      <c r="O151" s="107"/>
      <c r="P151" s="114" t="s">
        <v>2056</v>
      </c>
      <c r="Q151" s="107"/>
      <c r="R151" s="115" t="s">
        <v>1671</v>
      </c>
      <c r="S151" s="92" t="s">
        <v>1577</v>
      </c>
      <c r="T151" s="110"/>
      <c r="U151" s="94" t="s">
        <v>1671</v>
      </c>
      <c r="V151" s="107"/>
      <c r="W151" s="117">
        <v>7600013</v>
      </c>
      <c r="X151" s="115" t="s">
        <v>1671</v>
      </c>
      <c r="Z151" s="155"/>
      <c r="AE151" s="88" t="s">
        <v>1778</v>
      </c>
      <c r="AF151" s="88" t="s">
        <v>1779</v>
      </c>
    </row>
    <row r="152" spans="1:52" ht="17.45" customHeight="1">
      <c r="B152" s="96" t="e">
        <f t="shared" si="6"/>
        <v>#REF!</v>
      </c>
      <c r="C152" s="112">
        <v>40183</v>
      </c>
      <c r="D152" s="98" t="s">
        <v>2061</v>
      </c>
      <c r="E152" s="98">
        <v>7600526</v>
      </c>
      <c r="F152" s="99" t="s">
        <v>2055</v>
      </c>
      <c r="G152" s="100" t="s">
        <v>618</v>
      </c>
      <c r="H152" s="101" t="s">
        <v>2051</v>
      </c>
      <c r="I152" s="98" t="s">
        <v>2061</v>
      </c>
      <c r="J152" s="102">
        <v>3</v>
      </c>
      <c r="K152" s="102" t="s">
        <v>1802</v>
      </c>
      <c r="L152" s="126">
        <v>2</v>
      </c>
      <c r="M152" s="125" t="s">
        <v>1668</v>
      </c>
      <c r="N152" s="106" t="str">
        <f t="shared" si="5"/>
        <v>32</v>
      </c>
      <c r="O152" s="107"/>
      <c r="P152" s="114" t="s">
        <v>2056</v>
      </c>
      <c r="Q152" s="107"/>
      <c r="R152" s="115" t="s">
        <v>1671</v>
      </c>
      <c r="S152" s="92" t="s">
        <v>1577</v>
      </c>
      <c r="T152" s="110"/>
      <c r="U152" s="94" t="s">
        <v>1671</v>
      </c>
      <c r="V152" s="107"/>
      <c r="W152" s="117">
        <v>7600013</v>
      </c>
      <c r="X152" s="115" t="s">
        <v>1671</v>
      </c>
      <c r="Z152" s="155"/>
      <c r="AE152" s="88" t="s">
        <v>1778</v>
      </c>
      <c r="AF152" s="88" t="s">
        <v>1779</v>
      </c>
    </row>
    <row r="153" spans="1:52" ht="17.45" customHeight="1">
      <c r="B153" s="96" t="e">
        <f t="shared" si="6"/>
        <v>#REF!</v>
      </c>
      <c r="C153" s="112">
        <v>36972</v>
      </c>
      <c r="D153" s="98" t="s">
        <v>2057</v>
      </c>
      <c r="E153" s="98">
        <v>7600213</v>
      </c>
      <c r="F153" s="113" t="s">
        <v>2055</v>
      </c>
      <c r="G153" s="100" t="s">
        <v>621</v>
      </c>
      <c r="H153" s="101" t="s">
        <v>2051</v>
      </c>
      <c r="I153" s="98" t="s">
        <v>2057</v>
      </c>
      <c r="J153" s="102">
        <v>3</v>
      </c>
      <c r="K153" s="103" t="s">
        <v>1802</v>
      </c>
      <c r="L153" s="124">
        <v>2</v>
      </c>
      <c r="M153" s="125" t="s">
        <v>1668</v>
      </c>
      <c r="N153" s="106" t="str">
        <f t="shared" si="5"/>
        <v>32</v>
      </c>
      <c r="O153" s="107"/>
      <c r="P153" s="114" t="s">
        <v>2056</v>
      </c>
      <c r="Q153" s="107"/>
      <c r="R153" s="115" t="s">
        <v>1671</v>
      </c>
      <c r="S153" s="92" t="s">
        <v>1577</v>
      </c>
      <c r="T153" s="110"/>
      <c r="U153" s="94" t="s">
        <v>1671</v>
      </c>
      <c r="V153" s="107"/>
      <c r="W153" s="117">
        <v>7600013</v>
      </c>
      <c r="X153" s="115" t="s">
        <v>1671</v>
      </c>
      <c r="Z153" s="155"/>
      <c r="AE153" s="88" t="s">
        <v>1778</v>
      </c>
      <c r="AF153" s="88" t="s">
        <v>1779</v>
      </c>
    </row>
    <row r="154" spans="1:52" ht="17.45" customHeight="1">
      <c r="B154" s="96" t="e">
        <f t="shared" si="6"/>
        <v>#REF!</v>
      </c>
      <c r="C154" s="112">
        <v>40725</v>
      </c>
      <c r="D154" s="98" t="s">
        <v>2174</v>
      </c>
      <c r="E154" s="98">
        <v>7600592</v>
      </c>
      <c r="F154" s="113" t="s">
        <v>2172</v>
      </c>
      <c r="G154" s="100" t="s">
        <v>624</v>
      </c>
      <c r="H154" s="101" t="s">
        <v>2058</v>
      </c>
      <c r="I154" s="98" t="s">
        <v>2174</v>
      </c>
      <c r="J154" s="102">
        <v>3</v>
      </c>
      <c r="K154" s="103" t="s">
        <v>1802</v>
      </c>
      <c r="L154" s="124">
        <v>4</v>
      </c>
      <c r="M154" s="125" t="s">
        <v>1682</v>
      </c>
      <c r="N154" s="106" t="str">
        <f t="shared" si="5"/>
        <v>34</v>
      </c>
      <c r="O154" s="107"/>
      <c r="P154" s="114" t="s">
        <v>2174</v>
      </c>
      <c r="Q154" s="107"/>
      <c r="R154" s="115" t="s">
        <v>1673</v>
      </c>
      <c r="S154" s="92" t="s">
        <v>1584</v>
      </c>
      <c r="T154" s="110"/>
      <c r="U154" s="94" t="s">
        <v>1673</v>
      </c>
      <c r="V154" s="107"/>
      <c r="W154" s="117">
        <v>7600592</v>
      </c>
      <c r="X154" s="115" t="s">
        <v>1673</v>
      </c>
      <c r="Z154" s="155"/>
      <c r="AE154" s="88" t="s">
        <v>1778</v>
      </c>
      <c r="AF154" s="88" t="s">
        <v>1779</v>
      </c>
    </row>
    <row r="155" spans="1:52" ht="17.45" customHeight="1">
      <c r="B155" s="96" t="e">
        <f t="shared" si="6"/>
        <v>#REF!</v>
      </c>
      <c r="C155" s="112">
        <v>42625</v>
      </c>
      <c r="D155" s="98" t="s">
        <v>2175</v>
      </c>
      <c r="E155" s="98">
        <v>7601201</v>
      </c>
      <c r="F155" s="113" t="s">
        <v>2172</v>
      </c>
      <c r="G155" s="100" t="s">
        <v>630</v>
      </c>
      <c r="H155" s="101" t="s">
        <v>2060</v>
      </c>
      <c r="I155" s="98" t="s">
        <v>2175</v>
      </c>
      <c r="J155" s="102">
        <v>3</v>
      </c>
      <c r="K155" s="103" t="s">
        <v>1802</v>
      </c>
      <c r="L155" s="124">
        <v>4</v>
      </c>
      <c r="M155" s="125" t="s">
        <v>1682</v>
      </c>
      <c r="N155" s="106" t="str">
        <f t="shared" si="5"/>
        <v>34</v>
      </c>
      <c r="O155" s="107"/>
      <c r="P155" s="114" t="s">
        <v>2174</v>
      </c>
      <c r="Q155" s="107"/>
      <c r="R155" s="115" t="s">
        <v>1673</v>
      </c>
      <c r="S155" s="92" t="s">
        <v>1584</v>
      </c>
      <c r="T155" s="110"/>
      <c r="U155" s="94" t="s">
        <v>1673</v>
      </c>
      <c r="V155" s="107"/>
      <c r="W155" s="211">
        <v>7600592</v>
      </c>
      <c r="X155" s="115" t="s">
        <v>1673</v>
      </c>
      <c r="Z155" s="155"/>
      <c r="AE155" s="88" t="s">
        <v>1778</v>
      </c>
      <c r="AF155" s="88" t="s">
        <v>1779</v>
      </c>
    </row>
    <row r="156" spans="1:52" ht="17.45" customHeight="1">
      <c r="B156" s="96" t="e">
        <f t="shared" si="6"/>
        <v>#REF!</v>
      </c>
      <c r="C156" s="112">
        <v>39673</v>
      </c>
      <c r="D156" s="98" t="s">
        <v>2064</v>
      </c>
      <c r="E156" s="98">
        <v>7600764</v>
      </c>
      <c r="F156" s="113" t="s">
        <v>2062</v>
      </c>
      <c r="G156" s="100" t="s">
        <v>1104</v>
      </c>
      <c r="H156" s="101" t="s">
        <v>2063</v>
      </c>
      <c r="I156" s="98" t="s">
        <v>2064</v>
      </c>
      <c r="J156" s="126">
        <v>4</v>
      </c>
      <c r="K156" s="124" t="s">
        <v>1774</v>
      </c>
      <c r="L156" s="124">
        <v>7</v>
      </c>
      <c r="M156" s="125" t="s">
        <v>1744</v>
      </c>
      <c r="N156" s="106" t="str">
        <f t="shared" si="5"/>
        <v>47</v>
      </c>
      <c r="O156" s="107"/>
      <c r="P156" s="114" t="s">
        <v>2064</v>
      </c>
      <c r="Q156" s="107"/>
      <c r="R156" s="115" t="s">
        <v>1749</v>
      </c>
      <c r="S156" s="92" t="s">
        <v>1592</v>
      </c>
      <c r="T156" s="110"/>
      <c r="U156" s="94" t="s">
        <v>1749</v>
      </c>
      <c r="V156" s="107"/>
      <c r="W156" s="117">
        <v>7600764</v>
      </c>
      <c r="X156" s="115" t="s">
        <v>1749</v>
      </c>
      <c r="Z156" s="155"/>
      <c r="AE156" s="88" t="s">
        <v>1778</v>
      </c>
      <c r="AF156" s="88" t="s">
        <v>1779</v>
      </c>
    </row>
    <row r="157" spans="1:52" ht="17.45" customHeight="1">
      <c r="B157" s="96" t="e">
        <f t="shared" si="6"/>
        <v>#REF!</v>
      </c>
      <c r="C157" s="112">
        <v>44301</v>
      </c>
      <c r="D157" s="98" t="s">
        <v>2067</v>
      </c>
      <c r="E157" s="98">
        <v>7601137</v>
      </c>
      <c r="F157" s="153" t="s">
        <v>2065</v>
      </c>
      <c r="G157" s="101" t="s">
        <v>853</v>
      </c>
      <c r="H157" s="154" t="s">
        <v>2066</v>
      </c>
      <c r="I157" s="98" t="s">
        <v>2067</v>
      </c>
      <c r="J157" s="126">
        <v>4</v>
      </c>
      <c r="K157" s="124" t="s">
        <v>1774</v>
      </c>
      <c r="L157" s="103">
        <v>1</v>
      </c>
      <c r="M157" s="173" t="s">
        <v>1699</v>
      </c>
      <c r="N157" s="106" t="str">
        <f t="shared" si="5"/>
        <v>41</v>
      </c>
      <c r="O157" s="107"/>
      <c r="P157" s="114" t="s">
        <v>2067</v>
      </c>
      <c r="Q157" s="107"/>
      <c r="R157" s="115" t="s">
        <v>1702</v>
      </c>
      <c r="S157" s="92" t="s">
        <v>1587</v>
      </c>
      <c r="T157" s="110"/>
      <c r="U157" s="94" t="s">
        <v>1702</v>
      </c>
      <c r="V157" s="107"/>
      <c r="W157" s="117">
        <v>7601137</v>
      </c>
      <c r="X157" s="115" t="s">
        <v>1702</v>
      </c>
      <c r="AE157" s="88" t="s">
        <v>1778</v>
      </c>
      <c r="AF157" s="88" t="s">
        <v>1779</v>
      </c>
    </row>
    <row r="158" spans="1:52" ht="17.45" customHeight="1">
      <c r="B158" s="96" t="e">
        <f t="shared" si="6"/>
        <v>#REF!</v>
      </c>
      <c r="C158" s="112">
        <v>43787</v>
      </c>
      <c r="D158" s="98" t="s">
        <v>2242</v>
      </c>
      <c r="E158" s="98">
        <v>7601087</v>
      </c>
      <c r="F158" s="224" t="s">
        <v>2241</v>
      </c>
      <c r="G158" s="101" t="s">
        <v>538</v>
      </c>
      <c r="H158" s="154" t="s">
        <v>2069</v>
      </c>
      <c r="I158" s="98" t="s">
        <v>2242</v>
      </c>
      <c r="J158" s="126">
        <v>2</v>
      </c>
      <c r="K158" s="126" t="s">
        <v>1784</v>
      </c>
      <c r="L158" s="126">
        <v>4</v>
      </c>
      <c r="M158" s="125" t="s">
        <v>1644</v>
      </c>
      <c r="N158" s="106" t="str">
        <f t="shared" si="5"/>
        <v>24</v>
      </c>
      <c r="O158" s="107"/>
      <c r="P158" s="117" t="s">
        <v>2242</v>
      </c>
      <c r="Q158" s="107"/>
      <c r="R158" s="115" t="s">
        <v>1647</v>
      </c>
      <c r="S158" s="92" t="s">
        <v>1580</v>
      </c>
      <c r="T158" s="110"/>
      <c r="U158" s="94" t="s">
        <v>1647</v>
      </c>
      <c r="V158" s="163"/>
      <c r="W158" s="117">
        <v>7601087</v>
      </c>
      <c r="X158" s="115" t="s">
        <v>1647</v>
      </c>
      <c r="Z158" s="155"/>
      <c r="AE158" s="88" t="s">
        <v>1778</v>
      </c>
      <c r="AF158" s="88" t="s">
        <v>1779</v>
      </c>
    </row>
    <row r="159" spans="1:52" ht="17.45" customHeight="1">
      <c r="B159" s="96">
        <v>1</v>
      </c>
      <c r="C159" s="112">
        <v>41999</v>
      </c>
      <c r="D159" s="98" t="s">
        <v>1773</v>
      </c>
      <c r="E159" s="98">
        <v>7600804</v>
      </c>
      <c r="F159" s="113" t="s">
        <v>1771</v>
      </c>
      <c r="G159" s="100" t="s">
        <v>1056</v>
      </c>
      <c r="H159" s="101" t="s">
        <v>2071</v>
      </c>
      <c r="I159" s="98" t="s">
        <v>1773</v>
      </c>
      <c r="J159" s="126">
        <v>4</v>
      </c>
      <c r="K159" s="124" t="s">
        <v>1774</v>
      </c>
      <c r="L159" s="124">
        <v>6</v>
      </c>
      <c r="M159" s="125" t="s">
        <v>1735</v>
      </c>
      <c r="N159" s="106" t="str">
        <f t="shared" si="5"/>
        <v>46</v>
      </c>
      <c r="O159" s="107"/>
      <c r="P159" s="117" t="s">
        <v>1773</v>
      </c>
      <c r="Q159" s="107"/>
      <c r="R159" s="115" t="s">
        <v>1736</v>
      </c>
      <c r="S159" s="92" t="s">
        <v>1577</v>
      </c>
      <c r="T159" s="110"/>
      <c r="U159" s="94" t="s">
        <v>1736</v>
      </c>
      <c r="V159" s="107"/>
      <c r="W159" s="117">
        <v>7600804</v>
      </c>
      <c r="X159" s="115" t="s">
        <v>1736</v>
      </c>
      <c r="Y159" s="194"/>
      <c r="Z159" s="110" t="s">
        <v>1736</v>
      </c>
      <c r="AA159" s="107"/>
      <c r="AE159" s="88" t="s">
        <v>1778</v>
      </c>
      <c r="AF159" s="88" t="s">
        <v>1779</v>
      </c>
    </row>
    <row r="160" spans="1:52" ht="17.45" customHeight="1">
      <c r="B160" s="96">
        <f t="shared" ref="B160:B200" si="7">B159+1</f>
        <v>2</v>
      </c>
      <c r="C160" s="112">
        <v>43774</v>
      </c>
      <c r="D160" s="98" t="s">
        <v>1780</v>
      </c>
      <c r="E160" s="98">
        <v>7601095</v>
      </c>
      <c r="F160" s="153" t="s">
        <v>1771</v>
      </c>
      <c r="G160" s="101" t="s">
        <v>1061</v>
      </c>
      <c r="H160" s="154" t="s">
        <v>2071</v>
      </c>
      <c r="I160" s="98" t="s">
        <v>1780</v>
      </c>
      <c r="J160" s="126">
        <v>4</v>
      </c>
      <c r="K160" s="124" t="s">
        <v>1774</v>
      </c>
      <c r="L160" s="124">
        <v>6</v>
      </c>
      <c r="M160" s="125" t="s">
        <v>1735</v>
      </c>
      <c r="N160" s="106" t="str">
        <f t="shared" si="5"/>
        <v>46</v>
      </c>
      <c r="O160" s="107"/>
      <c r="P160" s="117" t="s">
        <v>1773</v>
      </c>
      <c r="Q160" s="107"/>
      <c r="R160" s="115" t="s">
        <v>1736</v>
      </c>
      <c r="S160" s="92" t="s">
        <v>1577</v>
      </c>
      <c r="T160" s="110"/>
      <c r="U160" s="94" t="s">
        <v>1736</v>
      </c>
      <c r="V160" s="107"/>
      <c r="W160" s="117">
        <v>7600804</v>
      </c>
      <c r="X160" s="115" t="s">
        <v>1736</v>
      </c>
      <c r="Y160" s="194"/>
      <c r="Z160" s="110" t="s">
        <v>1658</v>
      </c>
      <c r="AA160" s="107"/>
      <c r="AE160" s="88" t="s">
        <v>1778</v>
      </c>
      <c r="AF160" s="88" t="s">
        <v>1779</v>
      </c>
    </row>
    <row r="161" spans="1:52" ht="17.45" customHeight="1">
      <c r="B161" s="96">
        <f t="shared" si="7"/>
        <v>3</v>
      </c>
      <c r="C161" s="112">
        <v>38971</v>
      </c>
      <c r="D161" s="98" t="s">
        <v>2072</v>
      </c>
      <c r="E161" s="98">
        <v>7600449</v>
      </c>
      <c r="F161" s="113" t="s">
        <v>2068</v>
      </c>
      <c r="G161" s="100" t="s">
        <v>325</v>
      </c>
      <c r="H161" s="101" t="s">
        <v>2074</v>
      </c>
      <c r="I161" s="98" t="s">
        <v>2072</v>
      </c>
      <c r="J161" s="126">
        <v>2</v>
      </c>
      <c r="K161" s="124" t="s">
        <v>1784</v>
      </c>
      <c r="L161" s="124">
        <v>2</v>
      </c>
      <c r="M161" s="125" t="s">
        <v>1634</v>
      </c>
      <c r="N161" s="106" t="str">
        <f t="shared" si="5"/>
        <v>22</v>
      </c>
      <c r="O161" s="107"/>
      <c r="P161" s="114" t="s">
        <v>2070</v>
      </c>
      <c r="Q161" s="107"/>
      <c r="R161" s="115" t="s">
        <v>1636</v>
      </c>
      <c r="S161" s="92" t="s">
        <v>1578</v>
      </c>
      <c r="T161" s="110"/>
      <c r="U161" s="94" t="s">
        <v>1636</v>
      </c>
      <c r="V161" s="107"/>
      <c r="W161" s="117">
        <v>7600382</v>
      </c>
      <c r="X161" s="115" t="s">
        <v>1636</v>
      </c>
      <c r="Z161" s="155"/>
      <c r="AE161" s="88" t="s">
        <v>1778</v>
      </c>
      <c r="AF161" s="88" t="s">
        <v>1779</v>
      </c>
    </row>
    <row r="162" spans="1:52" ht="17.45" customHeight="1">
      <c r="B162" s="96">
        <f t="shared" si="7"/>
        <v>4</v>
      </c>
      <c r="C162" s="112">
        <v>36875</v>
      </c>
      <c r="D162" s="98" t="s">
        <v>2080</v>
      </c>
      <c r="E162" s="98">
        <v>7601236</v>
      </c>
      <c r="F162" s="153" t="s">
        <v>2068</v>
      </c>
      <c r="G162" s="101" t="s">
        <v>331</v>
      </c>
      <c r="H162" s="154" t="s">
        <v>2074</v>
      </c>
      <c r="I162" s="98" t="s">
        <v>2080</v>
      </c>
      <c r="J162" s="126">
        <v>2</v>
      </c>
      <c r="K162" s="124" t="s">
        <v>1784</v>
      </c>
      <c r="L162" s="124">
        <v>2</v>
      </c>
      <c r="M162" s="125" t="s">
        <v>1634</v>
      </c>
      <c r="N162" s="106" t="str">
        <f t="shared" si="5"/>
        <v>22</v>
      </c>
      <c r="O162" s="107"/>
      <c r="P162" s="114" t="s">
        <v>2070</v>
      </c>
      <c r="Q162" s="107"/>
      <c r="R162" s="115" t="s">
        <v>1636</v>
      </c>
      <c r="S162" s="92" t="s">
        <v>1578</v>
      </c>
      <c r="T162" s="110"/>
      <c r="U162" s="94" t="s">
        <v>1636</v>
      </c>
      <c r="V162" s="107"/>
      <c r="W162" s="117">
        <v>7600382</v>
      </c>
      <c r="X162" s="115" t="s">
        <v>1636</v>
      </c>
      <c r="Z162" s="155"/>
      <c r="AE162" s="88" t="s">
        <v>1778</v>
      </c>
      <c r="AF162" s="88" t="s">
        <v>1779</v>
      </c>
    </row>
    <row r="163" spans="1:52" ht="17.45" customHeight="1">
      <c r="B163" s="96">
        <f t="shared" si="7"/>
        <v>5</v>
      </c>
      <c r="C163" s="112">
        <v>36443</v>
      </c>
      <c r="D163" s="98" t="s">
        <v>2077</v>
      </c>
      <c r="E163" s="98">
        <v>7601235</v>
      </c>
      <c r="F163" s="224" t="s">
        <v>2068</v>
      </c>
      <c r="G163" s="101" t="s">
        <v>335</v>
      </c>
      <c r="H163" s="154" t="s">
        <v>2074</v>
      </c>
      <c r="I163" s="98" t="s">
        <v>2077</v>
      </c>
      <c r="J163" s="126">
        <v>2</v>
      </c>
      <c r="K163" s="124" t="s">
        <v>1784</v>
      </c>
      <c r="L163" s="124">
        <v>2</v>
      </c>
      <c r="M163" s="125" t="s">
        <v>1634</v>
      </c>
      <c r="N163" s="106" t="str">
        <f t="shared" si="5"/>
        <v>22</v>
      </c>
      <c r="O163" s="107"/>
      <c r="P163" s="114" t="s">
        <v>2070</v>
      </c>
      <c r="Q163" s="107"/>
      <c r="R163" s="115" t="s">
        <v>1636</v>
      </c>
      <c r="S163" s="92" t="s">
        <v>1578</v>
      </c>
      <c r="T163" s="110"/>
      <c r="U163" s="94" t="s">
        <v>1636</v>
      </c>
      <c r="V163" s="107"/>
      <c r="W163" s="117">
        <v>7600382</v>
      </c>
      <c r="X163" s="115" t="s">
        <v>1636</v>
      </c>
      <c r="Z163" s="155"/>
      <c r="AE163" s="88" t="s">
        <v>1778</v>
      </c>
      <c r="AF163" s="88" t="s">
        <v>1779</v>
      </c>
    </row>
    <row r="164" spans="1:52" ht="17.45" customHeight="1">
      <c r="B164" s="96">
        <f t="shared" si="7"/>
        <v>6</v>
      </c>
      <c r="C164" s="112">
        <v>38818</v>
      </c>
      <c r="D164" s="98" t="s">
        <v>2076</v>
      </c>
      <c r="E164" s="98">
        <v>7601112</v>
      </c>
      <c r="F164" s="224" t="s">
        <v>2068</v>
      </c>
      <c r="G164" s="101" t="s">
        <v>339</v>
      </c>
      <c r="H164" s="154" t="s">
        <v>2074</v>
      </c>
      <c r="I164" s="98" t="s">
        <v>2076</v>
      </c>
      <c r="J164" s="126">
        <v>2</v>
      </c>
      <c r="K164" s="124" t="s">
        <v>1784</v>
      </c>
      <c r="L164" s="124">
        <v>2</v>
      </c>
      <c r="M164" s="125" t="s">
        <v>1634</v>
      </c>
      <c r="N164" s="106" t="str">
        <f t="shared" si="5"/>
        <v>22</v>
      </c>
      <c r="O164" s="107"/>
      <c r="P164" s="114" t="s">
        <v>2070</v>
      </c>
      <c r="Q164" s="107"/>
      <c r="R164" s="115" t="s">
        <v>1636</v>
      </c>
      <c r="S164" s="92" t="s">
        <v>1578</v>
      </c>
      <c r="T164" s="110"/>
      <c r="U164" s="94" t="s">
        <v>1636</v>
      </c>
      <c r="V164" s="107"/>
      <c r="W164" s="117">
        <v>7600382</v>
      </c>
      <c r="X164" s="115" t="s">
        <v>1636</v>
      </c>
      <c r="Z164" s="155"/>
      <c r="AE164" s="88" t="s">
        <v>1778</v>
      </c>
      <c r="AF164" s="88" t="s">
        <v>1779</v>
      </c>
    </row>
    <row r="165" spans="1:52" ht="17.45" customHeight="1">
      <c r="A165" s="88"/>
      <c r="B165" s="96">
        <f t="shared" si="7"/>
        <v>7</v>
      </c>
      <c r="C165" s="112">
        <v>42720</v>
      </c>
      <c r="D165" s="98" t="s">
        <v>2073</v>
      </c>
      <c r="E165" s="98">
        <v>7600550</v>
      </c>
      <c r="F165" s="99" t="s">
        <v>2068</v>
      </c>
      <c r="G165" s="100" t="s">
        <v>342</v>
      </c>
      <c r="H165" s="101" t="s">
        <v>2074</v>
      </c>
      <c r="I165" s="98" t="s">
        <v>2073</v>
      </c>
      <c r="J165" s="102">
        <v>2</v>
      </c>
      <c r="K165" s="103" t="s">
        <v>1784</v>
      </c>
      <c r="L165" s="124">
        <v>2</v>
      </c>
      <c r="M165" s="125" t="s">
        <v>1634</v>
      </c>
      <c r="N165" s="106" t="str">
        <f t="shared" si="5"/>
        <v>22</v>
      </c>
      <c r="O165" s="107"/>
      <c r="P165" s="114" t="s">
        <v>2070</v>
      </c>
      <c r="Q165" s="107"/>
      <c r="R165" s="115" t="s">
        <v>1636</v>
      </c>
      <c r="S165" s="92" t="s">
        <v>1578</v>
      </c>
      <c r="T165" s="110"/>
      <c r="U165" s="94" t="s">
        <v>1636</v>
      </c>
      <c r="V165" s="107"/>
      <c r="W165" s="117">
        <v>7600382</v>
      </c>
      <c r="X165" s="115" t="s">
        <v>1636</v>
      </c>
      <c r="Z165" s="155"/>
      <c r="AE165" s="88" t="s">
        <v>1778</v>
      </c>
      <c r="AF165" s="88" t="s">
        <v>1779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</row>
    <row r="166" spans="1:52" ht="17.45" customHeight="1">
      <c r="B166" s="96">
        <f t="shared" si="7"/>
        <v>8</v>
      </c>
      <c r="C166" s="112">
        <v>40889</v>
      </c>
      <c r="D166" s="98" t="s">
        <v>2075</v>
      </c>
      <c r="E166" s="98">
        <v>7600610</v>
      </c>
      <c r="F166" s="113" t="s">
        <v>2068</v>
      </c>
      <c r="G166" s="100" t="s">
        <v>345</v>
      </c>
      <c r="H166" s="101" t="s">
        <v>2074</v>
      </c>
      <c r="I166" s="98" t="s">
        <v>2075</v>
      </c>
      <c r="J166" s="102">
        <v>2</v>
      </c>
      <c r="K166" s="103" t="s">
        <v>1784</v>
      </c>
      <c r="L166" s="124">
        <v>2</v>
      </c>
      <c r="M166" s="125" t="s">
        <v>1634</v>
      </c>
      <c r="N166" s="106" t="str">
        <f t="shared" si="5"/>
        <v>22</v>
      </c>
      <c r="O166" s="107"/>
      <c r="P166" s="114" t="s">
        <v>2070</v>
      </c>
      <c r="Q166" s="107"/>
      <c r="R166" s="115" t="s">
        <v>1636</v>
      </c>
      <c r="S166" s="92" t="s">
        <v>1578</v>
      </c>
      <c r="T166" s="110"/>
      <c r="U166" s="94" t="s">
        <v>1636</v>
      </c>
      <c r="V166" s="107"/>
      <c r="W166" s="117">
        <v>7600382</v>
      </c>
      <c r="X166" s="115" t="s">
        <v>1636</v>
      </c>
      <c r="Z166" s="155"/>
      <c r="AA166" s="88"/>
      <c r="AB166" s="88"/>
      <c r="AC166" s="88"/>
      <c r="AD166" s="88"/>
      <c r="AE166" s="88" t="s">
        <v>1778</v>
      </c>
      <c r="AF166" s="88" t="s">
        <v>1779</v>
      </c>
    </row>
    <row r="167" spans="1:52" ht="17.45" customHeight="1">
      <c r="B167" s="96">
        <f t="shared" si="7"/>
        <v>9</v>
      </c>
      <c r="C167" s="112">
        <v>38786</v>
      </c>
      <c r="D167" s="98" t="s">
        <v>2070</v>
      </c>
      <c r="E167" s="98">
        <v>7600382</v>
      </c>
      <c r="F167" s="113" t="s">
        <v>2068</v>
      </c>
      <c r="G167" s="100" t="s">
        <v>348</v>
      </c>
      <c r="H167" s="101" t="s">
        <v>2074</v>
      </c>
      <c r="I167" s="98" t="s">
        <v>2070</v>
      </c>
      <c r="J167" s="126">
        <v>2</v>
      </c>
      <c r="K167" s="124" t="s">
        <v>1784</v>
      </c>
      <c r="L167" s="124">
        <v>2</v>
      </c>
      <c r="M167" s="125" t="s">
        <v>1634</v>
      </c>
      <c r="N167" s="106" t="str">
        <f t="shared" si="5"/>
        <v>22</v>
      </c>
      <c r="O167" s="107"/>
      <c r="P167" s="114" t="s">
        <v>2070</v>
      </c>
      <c r="Q167" s="107"/>
      <c r="R167" s="115" t="s">
        <v>1636</v>
      </c>
      <c r="S167" s="92" t="s">
        <v>1578</v>
      </c>
      <c r="T167" s="110"/>
      <c r="U167" s="94" t="s">
        <v>1636</v>
      </c>
      <c r="V167" s="107"/>
      <c r="W167" s="117">
        <v>7600382</v>
      </c>
      <c r="X167" s="115" t="s">
        <v>1636</v>
      </c>
      <c r="Z167" s="155"/>
      <c r="AE167" s="88" t="s">
        <v>1778</v>
      </c>
      <c r="AF167" s="88" t="s">
        <v>1779</v>
      </c>
    </row>
    <row r="168" spans="1:52" ht="17.45" customHeight="1">
      <c r="B168" s="96">
        <f t="shared" si="7"/>
        <v>10</v>
      </c>
      <c r="C168" s="112">
        <v>36508</v>
      </c>
      <c r="D168" s="98" t="s">
        <v>1855</v>
      </c>
      <c r="E168" s="98">
        <v>7601169</v>
      </c>
      <c r="F168" s="113" t="s">
        <v>1851</v>
      </c>
      <c r="G168" s="100" t="s">
        <v>750</v>
      </c>
      <c r="H168" s="101" t="s">
        <v>2025</v>
      </c>
      <c r="I168" s="98" t="s">
        <v>1855</v>
      </c>
      <c r="J168" s="126">
        <v>3</v>
      </c>
      <c r="K168" s="124" t="s">
        <v>1802</v>
      </c>
      <c r="L168" s="124">
        <v>5</v>
      </c>
      <c r="M168" s="125" t="s">
        <v>1685</v>
      </c>
      <c r="N168" s="106" t="str">
        <f t="shared" si="5"/>
        <v>35</v>
      </c>
      <c r="O168" s="107"/>
      <c r="P168" s="114" t="s">
        <v>1852</v>
      </c>
      <c r="Q168" s="107"/>
      <c r="R168" s="115" t="s">
        <v>1687</v>
      </c>
      <c r="S168" s="92" t="s">
        <v>1585</v>
      </c>
      <c r="T168" s="110"/>
      <c r="U168" s="94" t="s">
        <v>1687</v>
      </c>
      <c r="V168" s="107"/>
      <c r="W168" s="117">
        <v>7600546</v>
      </c>
      <c r="X168" s="115" t="s">
        <v>1687</v>
      </c>
      <c r="Z168" s="110" t="s">
        <v>1724</v>
      </c>
      <c r="AE168" s="88" t="s">
        <v>1778</v>
      </c>
      <c r="AF168" s="88" t="s">
        <v>1779</v>
      </c>
    </row>
    <row r="169" spans="1:52" ht="17.45" customHeight="1">
      <c r="B169" s="96">
        <f t="shared" si="7"/>
        <v>11</v>
      </c>
      <c r="C169" s="112">
        <v>41264</v>
      </c>
      <c r="D169" s="98" t="s">
        <v>1854</v>
      </c>
      <c r="E169" s="98">
        <v>7600705</v>
      </c>
      <c r="F169" s="113" t="s">
        <v>1851</v>
      </c>
      <c r="G169" s="100" t="s">
        <v>756</v>
      </c>
      <c r="H169" s="101" t="s">
        <v>2025</v>
      </c>
      <c r="I169" s="98" t="s">
        <v>1854</v>
      </c>
      <c r="J169" s="126">
        <v>3</v>
      </c>
      <c r="K169" s="124" t="s">
        <v>1802</v>
      </c>
      <c r="L169" s="124">
        <v>5</v>
      </c>
      <c r="M169" s="125" t="s">
        <v>1685</v>
      </c>
      <c r="N169" s="106" t="str">
        <f t="shared" si="5"/>
        <v>35</v>
      </c>
      <c r="O169" s="107"/>
      <c r="P169" s="114" t="s">
        <v>1852</v>
      </c>
      <c r="Q169" s="107"/>
      <c r="R169" s="115" t="s">
        <v>1687</v>
      </c>
      <c r="S169" s="92" t="s">
        <v>1585</v>
      </c>
      <c r="T169" s="110"/>
      <c r="U169" s="94" t="s">
        <v>1687</v>
      </c>
      <c r="V169" s="107"/>
      <c r="W169" s="117">
        <v>7600546</v>
      </c>
      <c r="X169" s="115" t="s">
        <v>1687</v>
      </c>
      <c r="Z169" s="110" t="s">
        <v>1729</v>
      </c>
      <c r="AE169" s="88" t="s">
        <v>1778</v>
      </c>
      <c r="AF169" s="88" t="s">
        <v>1779</v>
      </c>
    </row>
    <row r="170" spans="1:52" ht="17.45" customHeight="1">
      <c r="B170" s="96">
        <f t="shared" si="7"/>
        <v>12</v>
      </c>
      <c r="C170" s="112">
        <v>40399</v>
      </c>
      <c r="D170" s="98" t="s">
        <v>1852</v>
      </c>
      <c r="E170" s="98">
        <v>7600546</v>
      </c>
      <c r="F170" s="113" t="s">
        <v>1851</v>
      </c>
      <c r="G170" s="100" t="s">
        <v>761</v>
      </c>
      <c r="H170" s="101" t="s">
        <v>2025</v>
      </c>
      <c r="I170" s="98" t="s">
        <v>1852</v>
      </c>
      <c r="J170" s="102">
        <v>3</v>
      </c>
      <c r="K170" s="103" t="s">
        <v>1802</v>
      </c>
      <c r="L170" s="124">
        <v>5</v>
      </c>
      <c r="M170" s="125" t="s">
        <v>1685</v>
      </c>
      <c r="N170" s="106" t="str">
        <f t="shared" si="5"/>
        <v>35</v>
      </c>
      <c r="O170" s="107"/>
      <c r="P170" s="114" t="s">
        <v>1852</v>
      </c>
      <c r="Q170" s="107"/>
      <c r="R170" s="115" t="s">
        <v>1687</v>
      </c>
      <c r="S170" s="92" t="s">
        <v>1585</v>
      </c>
      <c r="T170" s="110"/>
      <c r="U170" s="94" t="s">
        <v>1687</v>
      </c>
      <c r="V170" s="107"/>
      <c r="W170" s="117">
        <v>7600546</v>
      </c>
      <c r="X170" s="115" t="s">
        <v>1687</v>
      </c>
      <c r="Z170" s="110" t="s">
        <v>1629</v>
      </c>
      <c r="AE170" s="88" t="s">
        <v>1778</v>
      </c>
      <c r="AF170" s="88" t="s">
        <v>1779</v>
      </c>
    </row>
    <row r="171" spans="1:52" ht="17.45" customHeight="1">
      <c r="B171" s="96">
        <f t="shared" si="7"/>
        <v>13</v>
      </c>
      <c r="C171" s="112">
        <v>41149</v>
      </c>
      <c r="D171" s="98" t="s">
        <v>2082</v>
      </c>
      <c r="E171" s="98">
        <v>7600671</v>
      </c>
      <c r="F171" s="113" t="s">
        <v>2081</v>
      </c>
      <c r="G171" s="100" t="s">
        <v>297</v>
      </c>
      <c r="H171" s="101" t="s">
        <v>2088</v>
      </c>
      <c r="I171" s="98" t="s">
        <v>2082</v>
      </c>
      <c r="J171" s="102">
        <v>1</v>
      </c>
      <c r="K171" s="103" t="s">
        <v>1810</v>
      </c>
      <c r="L171" s="124">
        <v>7</v>
      </c>
      <c r="M171" s="125" t="s">
        <v>1622</v>
      </c>
      <c r="N171" s="106" t="str">
        <f t="shared" si="5"/>
        <v>17</v>
      </c>
      <c r="O171" s="107"/>
      <c r="P171" s="114" t="s">
        <v>2082</v>
      </c>
      <c r="Q171" s="107"/>
      <c r="R171" s="115" t="s">
        <v>1625</v>
      </c>
      <c r="S171" s="92" t="s">
        <v>1576</v>
      </c>
      <c r="T171" s="110"/>
      <c r="U171" s="94" t="s">
        <v>1625</v>
      </c>
      <c r="V171" s="107"/>
      <c r="W171" s="117">
        <v>7600671</v>
      </c>
      <c r="X171" s="115" t="s">
        <v>1625</v>
      </c>
      <c r="Z171" s="155"/>
      <c r="AE171" s="88" t="s">
        <v>1778</v>
      </c>
      <c r="AF171" s="88" t="s">
        <v>1779</v>
      </c>
    </row>
    <row r="172" spans="1:52" ht="17.45" customHeight="1">
      <c r="B172" s="96">
        <f t="shared" si="7"/>
        <v>14</v>
      </c>
      <c r="C172" s="112">
        <v>43829</v>
      </c>
      <c r="D172" s="98" t="s">
        <v>2054</v>
      </c>
      <c r="E172" s="98">
        <v>7601104</v>
      </c>
      <c r="F172" s="153" t="s">
        <v>2053</v>
      </c>
      <c r="G172" s="101" t="s">
        <v>635</v>
      </c>
      <c r="H172" s="154" t="s">
        <v>2092</v>
      </c>
      <c r="I172" s="98" t="s">
        <v>2054</v>
      </c>
      <c r="J172" s="126">
        <v>3</v>
      </c>
      <c r="K172" s="124" t="s">
        <v>1802</v>
      </c>
      <c r="L172" s="124">
        <v>4</v>
      </c>
      <c r="M172" s="125" t="s">
        <v>1682</v>
      </c>
      <c r="N172" s="106" t="str">
        <f t="shared" si="5"/>
        <v>34</v>
      </c>
      <c r="O172" s="107"/>
      <c r="P172" s="167" t="s">
        <v>2054</v>
      </c>
      <c r="Q172" s="107"/>
      <c r="R172" s="115" t="s">
        <v>1669</v>
      </c>
      <c r="S172" s="92" t="s">
        <v>1584</v>
      </c>
      <c r="T172" s="110"/>
      <c r="U172" s="94" t="s">
        <v>1669</v>
      </c>
      <c r="V172" s="107"/>
      <c r="W172" s="211">
        <v>7601104</v>
      </c>
      <c r="X172" s="115" t="s">
        <v>1669</v>
      </c>
      <c r="Z172" s="155"/>
      <c r="AE172" s="88" t="s">
        <v>1778</v>
      </c>
      <c r="AF172" s="88" t="s">
        <v>1779</v>
      </c>
    </row>
    <row r="173" spans="1:52" ht="17.45" customHeight="1">
      <c r="B173" s="96">
        <f t="shared" si="7"/>
        <v>15</v>
      </c>
      <c r="C173" s="146">
        <v>37225</v>
      </c>
      <c r="D173" s="98" t="s">
        <v>2084</v>
      </c>
      <c r="E173" s="118">
        <v>7600848</v>
      </c>
      <c r="F173" s="168" t="s">
        <v>2083</v>
      </c>
      <c r="G173" s="169" t="s">
        <v>694</v>
      </c>
      <c r="H173" s="170" t="s">
        <v>2095</v>
      </c>
      <c r="I173" s="98" t="s">
        <v>2084</v>
      </c>
      <c r="J173" s="189">
        <v>3</v>
      </c>
      <c r="K173" s="131" t="s">
        <v>1802</v>
      </c>
      <c r="L173" s="124">
        <v>1</v>
      </c>
      <c r="M173" s="125" t="s">
        <v>1661</v>
      </c>
      <c r="N173" s="106" t="str">
        <f t="shared" si="5"/>
        <v>31</v>
      </c>
      <c r="O173" s="107"/>
      <c r="P173" s="108" t="s">
        <v>2084</v>
      </c>
      <c r="Q173" s="107"/>
      <c r="R173" s="109" t="s">
        <v>1667</v>
      </c>
      <c r="S173" s="92" t="s">
        <v>1663</v>
      </c>
      <c r="T173" s="110"/>
      <c r="U173" s="94" t="s">
        <v>1667</v>
      </c>
      <c r="V173" s="107"/>
      <c r="W173" s="111">
        <v>7600848</v>
      </c>
      <c r="X173" s="109" t="s">
        <v>1667</v>
      </c>
      <c r="Z173" s="155"/>
      <c r="AE173" s="88" t="s">
        <v>1778</v>
      </c>
      <c r="AF173" s="88" t="s">
        <v>1779</v>
      </c>
    </row>
    <row r="174" spans="1:52" s="86" customFormat="1" ht="17.45" customHeight="1">
      <c r="A174" s="166"/>
      <c r="B174" s="96">
        <f t="shared" si="7"/>
        <v>16</v>
      </c>
      <c r="C174" s="148">
        <v>36686</v>
      </c>
      <c r="D174" s="98" t="s">
        <v>2086</v>
      </c>
      <c r="E174" s="118">
        <v>7600839</v>
      </c>
      <c r="F174" s="164" t="s">
        <v>2085</v>
      </c>
      <c r="G174" s="165" t="s">
        <v>585</v>
      </c>
      <c r="H174" s="171" t="s">
        <v>2098</v>
      </c>
      <c r="I174" s="98" t="s">
        <v>2086</v>
      </c>
      <c r="J174" s="181">
        <v>3</v>
      </c>
      <c r="K174" s="131" t="s">
        <v>1802</v>
      </c>
      <c r="L174" s="124">
        <v>1</v>
      </c>
      <c r="M174" s="125" t="s">
        <v>1661</v>
      </c>
      <c r="N174" s="106" t="str">
        <f t="shared" si="5"/>
        <v>31</v>
      </c>
      <c r="O174" s="107"/>
      <c r="P174" s="108" t="s">
        <v>2086</v>
      </c>
      <c r="Q174" s="107"/>
      <c r="R174" s="115" t="s">
        <v>1662</v>
      </c>
      <c r="S174" s="92" t="s">
        <v>1663</v>
      </c>
      <c r="T174" s="110"/>
      <c r="U174" s="94" t="s">
        <v>1662</v>
      </c>
      <c r="V174" s="107"/>
      <c r="W174" s="111">
        <v>7600839</v>
      </c>
      <c r="X174" s="115" t="s">
        <v>1662</v>
      </c>
      <c r="Y174" s="74"/>
      <c r="Z174" s="155"/>
      <c r="AA174" s="129"/>
      <c r="AB174" s="74"/>
      <c r="AC174" s="74"/>
      <c r="AD174" s="74"/>
      <c r="AE174" s="88" t="s">
        <v>1778</v>
      </c>
      <c r="AF174" s="88" t="s">
        <v>1779</v>
      </c>
      <c r="AG174" s="166"/>
      <c r="AH174" s="166"/>
      <c r="AI174" s="166"/>
      <c r="AJ174" s="166"/>
      <c r="AK174" s="166"/>
      <c r="AL174" s="166"/>
      <c r="AM174" s="166"/>
      <c r="AN174" s="166"/>
      <c r="AO174" s="166"/>
      <c r="AP174" s="166"/>
      <c r="AQ174" s="166"/>
      <c r="AR174" s="166"/>
      <c r="AS174" s="166"/>
      <c r="AT174" s="166"/>
      <c r="AU174" s="166"/>
      <c r="AV174" s="166"/>
      <c r="AW174" s="166"/>
      <c r="AX174" s="166"/>
      <c r="AY174" s="166"/>
      <c r="AZ174" s="166"/>
    </row>
    <row r="175" spans="1:52" ht="17.45" customHeight="1">
      <c r="B175" s="96">
        <f t="shared" si="7"/>
        <v>17</v>
      </c>
      <c r="C175" s="112">
        <v>40907</v>
      </c>
      <c r="D175" s="98" t="s">
        <v>2093</v>
      </c>
      <c r="E175" s="98">
        <v>7600816</v>
      </c>
      <c r="F175" s="113" t="s">
        <v>2087</v>
      </c>
      <c r="G175" s="100" t="s">
        <v>216</v>
      </c>
      <c r="H175" s="101" t="s">
        <v>2101</v>
      </c>
      <c r="I175" s="98" t="s">
        <v>2093</v>
      </c>
      <c r="J175" s="272">
        <v>1</v>
      </c>
      <c r="K175" s="131" t="s">
        <v>1810</v>
      </c>
      <c r="L175" s="124">
        <v>5</v>
      </c>
      <c r="M175" s="125" t="s">
        <v>1613</v>
      </c>
      <c r="N175" s="106" t="str">
        <f t="shared" si="5"/>
        <v>15</v>
      </c>
      <c r="O175" s="107"/>
      <c r="P175" s="108" t="s">
        <v>2089</v>
      </c>
      <c r="Q175" s="107"/>
      <c r="R175" s="115" t="s">
        <v>1617</v>
      </c>
      <c r="S175" s="92" t="s">
        <v>1574</v>
      </c>
      <c r="T175" s="110"/>
      <c r="U175" s="94" t="s">
        <v>1617</v>
      </c>
      <c r="V175" s="107"/>
      <c r="W175" s="111">
        <v>7600442</v>
      </c>
      <c r="X175" s="115" t="s">
        <v>1617</v>
      </c>
      <c r="Z175" s="155"/>
      <c r="AE175" s="88" t="s">
        <v>1778</v>
      </c>
      <c r="AF175" s="88" t="s">
        <v>1779</v>
      </c>
    </row>
    <row r="176" spans="1:52" ht="17.45" customHeight="1">
      <c r="B176" s="96">
        <f t="shared" si="7"/>
        <v>18</v>
      </c>
      <c r="C176" s="148">
        <v>38841</v>
      </c>
      <c r="D176" s="98" t="s">
        <v>2089</v>
      </c>
      <c r="E176" s="118">
        <v>7600442</v>
      </c>
      <c r="F176" s="164" t="s">
        <v>2087</v>
      </c>
      <c r="G176" s="165" t="s">
        <v>218</v>
      </c>
      <c r="H176" s="171" t="s">
        <v>2101</v>
      </c>
      <c r="I176" s="98" t="s">
        <v>2089</v>
      </c>
      <c r="J176" s="181">
        <v>1</v>
      </c>
      <c r="K176" s="131" t="s">
        <v>1810</v>
      </c>
      <c r="L176" s="124">
        <v>5</v>
      </c>
      <c r="M176" s="125" t="s">
        <v>1613</v>
      </c>
      <c r="N176" s="106" t="str">
        <f t="shared" si="5"/>
        <v>15</v>
      </c>
      <c r="O176" s="107"/>
      <c r="P176" s="108" t="s">
        <v>2089</v>
      </c>
      <c r="Q176" s="107"/>
      <c r="R176" s="115" t="s">
        <v>1617</v>
      </c>
      <c r="S176" s="92" t="s">
        <v>1574</v>
      </c>
      <c r="T176" s="110"/>
      <c r="U176" s="94" t="s">
        <v>1617</v>
      </c>
      <c r="V176" s="107"/>
      <c r="W176" s="111">
        <v>7600442</v>
      </c>
      <c r="X176" s="115" t="s">
        <v>1617</v>
      </c>
      <c r="Z176" s="155"/>
      <c r="AE176" s="88" t="s">
        <v>1778</v>
      </c>
      <c r="AF176" s="88" t="s">
        <v>1779</v>
      </c>
    </row>
    <row r="177" spans="1:52" ht="17.45" customHeight="1">
      <c r="B177" s="96">
        <f t="shared" si="7"/>
        <v>19</v>
      </c>
      <c r="C177" s="148">
        <v>40836</v>
      </c>
      <c r="D177" s="98" t="s">
        <v>2091</v>
      </c>
      <c r="E177" s="98">
        <v>7600601</v>
      </c>
      <c r="F177" s="113" t="s">
        <v>2087</v>
      </c>
      <c r="G177" s="100" t="s">
        <v>221</v>
      </c>
      <c r="H177" s="101" t="s">
        <v>2101</v>
      </c>
      <c r="I177" s="98" t="s">
        <v>2091</v>
      </c>
      <c r="J177" s="102">
        <v>1</v>
      </c>
      <c r="K177" s="103" t="s">
        <v>1810</v>
      </c>
      <c r="L177" s="124">
        <v>5</v>
      </c>
      <c r="M177" s="125" t="s">
        <v>1613</v>
      </c>
      <c r="N177" s="106" t="str">
        <f t="shared" si="5"/>
        <v>15</v>
      </c>
      <c r="O177" s="107"/>
      <c r="P177" s="114" t="s">
        <v>2089</v>
      </c>
      <c r="Q177" s="107"/>
      <c r="R177" s="115" t="s">
        <v>1617</v>
      </c>
      <c r="S177" s="92" t="s">
        <v>1574</v>
      </c>
      <c r="T177" s="110"/>
      <c r="U177" s="94" t="s">
        <v>1617</v>
      </c>
      <c r="V177" s="107"/>
      <c r="W177" s="117">
        <v>7600442</v>
      </c>
      <c r="X177" s="115" t="s">
        <v>1617</v>
      </c>
      <c r="Z177" s="155"/>
      <c r="AE177" s="88" t="s">
        <v>1778</v>
      </c>
      <c r="AF177" s="88" t="s">
        <v>1779</v>
      </c>
    </row>
    <row r="178" spans="1:52" ht="17.45" customHeight="1">
      <c r="B178" s="96">
        <f t="shared" si="7"/>
        <v>20</v>
      </c>
      <c r="C178" s="112">
        <v>42628</v>
      </c>
      <c r="D178" s="98" t="s">
        <v>2096</v>
      </c>
      <c r="E178" s="98">
        <v>7600927</v>
      </c>
      <c r="F178" s="113" t="s">
        <v>2094</v>
      </c>
      <c r="G178" s="100" t="s">
        <v>1004</v>
      </c>
      <c r="H178" s="101" t="s">
        <v>2106</v>
      </c>
      <c r="I178" s="98" t="s">
        <v>2096</v>
      </c>
      <c r="J178" s="102">
        <v>4</v>
      </c>
      <c r="K178" s="103" t="s">
        <v>1774</v>
      </c>
      <c r="L178" s="124">
        <v>5</v>
      </c>
      <c r="M178" s="125" t="s">
        <v>1728</v>
      </c>
      <c r="N178" s="106" t="str">
        <f t="shared" si="5"/>
        <v>45</v>
      </c>
      <c r="O178" s="107"/>
      <c r="P178" s="114" t="s">
        <v>2096</v>
      </c>
      <c r="Q178" s="107"/>
      <c r="R178" s="115" t="s">
        <v>1731</v>
      </c>
      <c r="S178" s="92" t="s">
        <v>1591</v>
      </c>
      <c r="T178" s="110"/>
      <c r="U178" s="94" t="s">
        <v>1731</v>
      </c>
      <c r="V178" s="107"/>
      <c r="W178" s="117">
        <v>7600927</v>
      </c>
      <c r="X178" s="115" t="s">
        <v>1731</v>
      </c>
      <c r="Z178" s="155"/>
      <c r="AA178" s="107"/>
      <c r="AE178" s="88" t="s">
        <v>1778</v>
      </c>
      <c r="AF178" s="88" t="s">
        <v>1779</v>
      </c>
    </row>
    <row r="179" spans="1:52" ht="17.45" customHeight="1">
      <c r="B179" s="96">
        <f t="shared" si="7"/>
        <v>21</v>
      </c>
      <c r="C179" s="148">
        <v>41922</v>
      </c>
      <c r="D179" s="98" t="s">
        <v>2099</v>
      </c>
      <c r="E179" s="118">
        <v>7600803</v>
      </c>
      <c r="F179" s="164" t="s">
        <v>2097</v>
      </c>
      <c r="G179" s="165" t="s">
        <v>857</v>
      </c>
      <c r="H179" s="171" t="s">
        <v>2108</v>
      </c>
      <c r="I179" s="98" t="s">
        <v>2099</v>
      </c>
      <c r="J179" s="172">
        <v>4</v>
      </c>
      <c r="K179" s="130" t="s">
        <v>1774</v>
      </c>
      <c r="L179" s="124">
        <v>1</v>
      </c>
      <c r="M179" s="125" t="s">
        <v>1699</v>
      </c>
      <c r="N179" s="106" t="str">
        <f t="shared" si="5"/>
        <v>41</v>
      </c>
      <c r="O179" s="107"/>
      <c r="P179" s="108" t="s">
        <v>2099</v>
      </c>
      <c r="Q179" s="107"/>
      <c r="R179" s="115" t="s">
        <v>1703</v>
      </c>
      <c r="S179" s="92" t="s">
        <v>1587</v>
      </c>
      <c r="T179" s="110"/>
      <c r="U179" s="94" t="s">
        <v>1703</v>
      </c>
      <c r="V179" s="107"/>
      <c r="W179" s="111">
        <v>7600803</v>
      </c>
      <c r="X179" s="115" t="s">
        <v>1703</v>
      </c>
      <c r="AE179" s="88" t="s">
        <v>1778</v>
      </c>
      <c r="AF179" s="88" t="s">
        <v>1779</v>
      </c>
    </row>
    <row r="180" spans="1:52" ht="17.45" customHeight="1">
      <c r="B180" s="96">
        <f t="shared" si="7"/>
        <v>22</v>
      </c>
      <c r="C180" s="112">
        <v>37256</v>
      </c>
      <c r="D180" s="98" t="s">
        <v>2105</v>
      </c>
      <c r="E180" s="98">
        <v>7600258</v>
      </c>
      <c r="F180" s="113" t="s">
        <v>2104</v>
      </c>
      <c r="G180" s="100" t="s">
        <v>303</v>
      </c>
      <c r="H180" s="101" t="s">
        <v>2110</v>
      </c>
      <c r="I180" s="98" t="s">
        <v>2105</v>
      </c>
      <c r="J180" s="102">
        <v>1</v>
      </c>
      <c r="K180" s="103" t="s">
        <v>1810</v>
      </c>
      <c r="L180" s="124">
        <v>7</v>
      </c>
      <c r="M180" s="125" t="s">
        <v>1622</v>
      </c>
      <c r="N180" s="106" t="str">
        <f t="shared" si="5"/>
        <v>17</v>
      </c>
      <c r="O180" s="107"/>
      <c r="P180" s="114" t="s">
        <v>2105</v>
      </c>
      <c r="Q180" s="107"/>
      <c r="R180" s="115" t="s">
        <v>1627</v>
      </c>
      <c r="S180" s="92" t="s">
        <v>1576</v>
      </c>
      <c r="T180" s="110"/>
      <c r="U180" s="94" t="s">
        <v>1627</v>
      </c>
      <c r="V180" s="107"/>
      <c r="W180" s="117">
        <v>7600258</v>
      </c>
      <c r="X180" s="115" t="s">
        <v>1627</v>
      </c>
      <c r="Z180" s="155"/>
      <c r="AE180" s="88" t="s">
        <v>1778</v>
      </c>
      <c r="AF180" s="88" t="s">
        <v>1779</v>
      </c>
    </row>
    <row r="181" spans="1:52" ht="17.45" customHeight="1">
      <c r="B181" s="96">
        <f t="shared" si="7"/>
        <v>23</v>
      </c>
      <c r="C181" s="112">
        <v>37224</v>
      </c>
      <c r="D181" s="98" t="s">
        <v>2109</v>
      </c>
      <c r="E181" s="98">
        <v>7600277</v>
      </c>
      <c r="F181" s="113" t="s">
        <v>2104</v>
      </c>
      <c r="G181" s="100" t="s">
        <v>310</v>
      </c>
      <c r="H181" s="101" t="s">
        <v>2110</v>
      </c>
      <c r="I181" s="98" t="s">
        <v>2109</v>
      </c>
      <c r="J181" s="102">
        <v>1</v>
      </c>
      <c r="K181" s="103" t="s">
        <v>1810</v>
      </c>
      <c r="L181" s="124">
        <v>7</v>
      </c>
      <c r="M181" s="125" t="s">
        <v>1622</v>
      </c>
      <c r="N181" s="106" t="str">
        <f t="shared" si="5"/>
        <v>17</v>
      </c>
      <c r="O181" s="107"/>
      <c r="P181" s="114" t="s">
        <v>2105</v>
      </c>
      <c r="Q181" s="107"/>
      <c r="R181" s="115" t="s">
        <v>1627</v>
      </c>
      <c r="S181" s="92" t="s">
        <v>1576</v>
      </c>
      <c r="T181" s="110"/>
      <c r="U181" s="94" t="s">
        <v>1627</v>
      </c>
      <c r="V181" s="107"/>
      <c r="W181" s="117">
        <v>7600258</v>
      </c>
      <c r="X181" s="115" t="s">
        <v>1627</v>
      </c>
      <c r="Z181" s="155"/>
      <c r="AE181" s="88" t="s">
        <v>1778</v>
      </c>
      <c r="AF181" s="88" t="s">
        <v>1779</v>
      </c>
    </row>
    <row r="182" spans="1:52" ht="17.45" customHeight="1">
      <c r="B182" s="96">
        <f t="shared" si="7"/>
        <v>24</v>
      </c>
      <c r="C182" s="112">
        <v>37181</v>
      </c>
      <c r="D182" s="98" t="s">
        <v>2107</v>
      </c>
      <c r="E182" s="98">
        <v>7600263</v>
      </c>
      <c r="F182" s="113" t="s">
        <v>2104</v>
      </c>
      <c r="G182" s="100" t="s">
        <v>313</v>
      </c>
      <c r="H182" s="101" t="s">
        <v>2110</v>
      </c>
      <c r="I182" s="98" t="s">
        <v>2107</v>
      </c>
      <c r="J182" s="102">
        <v>1</v>
      </c>
      <c r="K182" s="103" t="s">
        <v>1810</v>
      </c>
      <c r="L182" s="124">
        <v>7</v>
      </c>
      <c r="M182" s="125" t="s">
        <v>1622</v>
      </c>
      <c r="N182" s="106" t="str">
        <f t="shared" si="5"/>
        <v>17</v>
      </c>
      <c r="O182" s="107"/>
      <c r="P182" s="114" t="s">
        <v>2105</v>
      </c>
      <c r="Q182" s="107"/>
      <c r="R182" s="115" t="s">
        <v>1627</v>
      </c>
      <c r="S182" s="92" t="s">
        <v>1576</v>
      </c>
      <c r="T182" s="110"/>
      <c r="U182" s="94" t="s">
        <v>1627</v>
      </c>
      <c r="V182" s="107"/>
      <c r="W182" s="117">
        <v>7600258</v>
      </c>
      <c r="X182" s="115" t="s">
        <v>1627</v>
      </c>
      <c r="Z182" s="155"/>
      <c r="AE182" s="88" t="s">
        <v>1778</v>
      </c>
      <c r="AF182" s="88" t="s">
        <v>1779</v>
      </c>
    </row>
    <row r="183" spans="1:52" ht="17.45" customHeight="1">
      <c r="B183" s="96">
        <f t="shared" si="7"/>
        <v>25</v>
      </c>
      <c r="C183" s="112">
        <v>41272</v>
      </c>
      <c r="D183" s="98" t="s">
        <v>2113</v>
      </c>
      <c r="E183" s="98">
        <v>7600709</v>
      </c>
      <c r="F183" s="113" t="s">
        <v>2112</v>
      </c>
      <c r="G183" s="100" t="s">
        <v>1111</v>
      </c>
      <c r="H183" s="101" t="s">
        <v>2117</v>
      </c>
      <c r="I183" s="98" t="s">
        <v>2113</v>
      </c>
      <c r="J183" s="126">
        <v>4</v>
      </c>
      <c r="K183" s="126" t="s">
        <v>1774</v>
      </c>
      <c r="L183" s="126">
        <v>7</v>
      </c>
      <c r="M183" s="125" t="s">
        <v>1744</v>
      </c>
      <c r="N183" s="106" t="str">
        <f t="shared" si="5"/>
        <v>47</v>
      </c>
      <c r="O183" s="107"/>
      <c r="P183" s="114" t="s">
        <v>2113</v>
      </c>
      <c r="Q183" s="107"/>
      <c r="R183" s="115" t="s">
        <v>1750</v>
      </c>
      <c r="S183" s="92" t="s">
        <v>1592</v>
      </c>
      <c r="T183" s="110"/>
      <c r="U183" s="94" t="s">
        <v>1750</v>
      </c>
      <c r="V183" s="107"/>
      <c r="W183" s="117">
        <v>7600709</v>
      </c>
      <c r="X183" s="115" t="s">
        <v>1750</v>
      </c>
      <c r="Z183" s="155"/>
      <c r="AE183" s="88" t="s">
        <v>1778</v>
      </c>
      <c r="AF183" s="88" t="s">
        <v>1779</v>
      </c>
    </row>
    <row r="184" spans="1:52" ht="17.45" customHeight="1">
      <c r="B184" s="96">
        <f t="shared" si="7"/>
        <v>26</v>
      </c>
      <c r="C184" s="112">
        <v>41273</v>
      </c>
      <c r="D184" s="98" t="s">
        <v>2121</v>
      </c>
      <c r="E184" s="98">
        <v>7601180</v>
      </c>
      <c r="F184" s="113" t="s">
        <v>2114</v>
      </c>
      <c r="G184" s="100" t="s">
        <v>699</v>
      </c>
      <c r="H184" s="154" t="s">
        <v>2119</v>
      </c>
      <c r="I184" s="98" t="s">
        <v>2121</v>
      </c>
      <c r="J184" s="126">
        <v>3</v>
      </c>
      <c r="K184" s="126" t="s">
        <v>1802</v>
      </c>
      <c r="L184" s="102">
        <v>4</v>
      </c>
      <c r="M184" s="173" t="s">
        <v>1682</v>
      </c>
      <c r="N184" s="106" t="str">
        <f t="shared" si="5"/>
        <v>34</v>
      </c>
      <c r="O184" s="107"/>
      <c r="P184" s="167" t="s">
        <v>2115</v>
      </c>
      <c r="Q184" s="107"/>
      <c r="R184" s="115" t="s">
        <v>1683</v>
      </c>
      <c r="S184" s="92" t="s">
        <v>1584</v>
      </c>
      <c r="T184" s="110"/>
      <c r="U184" s="94" t="s">
        <v>1683</v>
      </c>
      <c r="V184" s="107"/>
      <c r="W184" s="211">
        <v>7600822</v>
      </c>
      <c r="X184" s="115" t="s">
        <v>1683</v>
      </c>
      <c r="Z184" s="155"/>
      <c r="AE184" s="88" t="s">
        <v>1778</v>
      </c>
      <c r="AF184" s="88" t="s">
        <v>1779</v>
      </c>
    </row>
    <row r="185" spans="1:52" ht="17.45" customHeight="1">
      <c r="A185" s="86"/>
      <c r="B185" s="96">
        <f t="shared" si="7"/>
        <v>27</v>
      </c>
      <c r="C185" s="148">
        <v>41638</v>
      </c>
      <c r="D185" s="98" t="s">
        <v>2118</v>
      </c>
      <c r="E185" s="118">
        <v>7600875</v>
      </c>
      <c r="F185" s="164" t="s">
        <v>2114</v>
      </c>
      <c r="G185" s="165" t="s">
        <v>707</v>
      </c>
      <c r="H185" s="171" t="s">
        <v>2119</v>
      </c>
      <c r="I185" s="98" t="s">
        <v>2118</v>
      </c>
      <c r="J185" s="172">
        <v>3</v>
      </c>
      <c r="K185" s="130" t="s">
        <v>1802</v>
      </c>
      <c r="L185" s="124">
        <v>4</v>
      </c>
      <c r="M185" s="125" t="s">
        <v>1682</v>
      </c>
      <c r="N185" s="106" t="str">
        <f t="shared" si="5"/>
        <v>34</v>
      </c>
      <c r="O185" s="107"/>
      <c r="P185" s="108" t="s">
        <v>2115</v>
      </c>
      <c r="Q185" s="107"/>
      <c r="R185" s="115" t="s">
        <v>1683</v>
      </c>
      <c r="S185" s="92" t="s">
        <v>1584</v>
      </c>
      <c r="T185" s="110"/>
      <c r="U185" s="94" t="s">
        <v>1683</v>
      </c>
      <c r="V185" s="107"/>
      <c r="W185" s="111">
        <v>7600822</v>
      </c>
      <c r="X185" s="115" t="s">
        <v>1683</v>
      </c>
      <c r="Z185" s="155"/>
      <c r="AA185" s="86"/>
      <c r="AB185" s="86"/>
      <c r="AC185" s="86"/>
      <c r="AD185" s="86"/>
      <c r="AE185" s="88" t="s">
        <v>1778</v>
      </c>
      <c r="AF185" s="88" t="s">
        <v>1779</v>
      </c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</row>
    <row r="186" spans="1:52" ht="17.45" customHeight="1">
      <c r="B186" s="96">
        <f t="shared" si="7"/>
        <v>28</v>
      </c>
      <c r="C186" s="148">
        <v>36463</v>
      </c>
      <c r="D186" s="98" t="s">
        <v>2116</v>
      </c>
      <c r="E186" s="118">
        <v>7600826</v>
      </c>
      <c r="F186" s="164" t="s">
        <v>2114</v>
      </c>
      <c r="G186" s="165" t="s">
        <v>712</v>
      </c>
      <c r="H186" s="171" t="s">
        <v>2119</v>
      </c>
      <c r="I186" s="98" t="s">
        <v>2116</v>
      </c>
      <c r="J186" s="172">
        <v>3</v>
      </c>
      <c r="K186" s="130" t="s">
        <v>1802</v>
      </c>
      <c r="L186" s="124">
        <v>4</v>
      </c>
      <c r="M186" s="125" t="s">
        <v>1682</v>
      </c>
      <c r="N186" s="106" t="str">
        <f t="shared" si="5"/>
        <v>34</v>
      </c>
      <c r="O186" s="107"/>
      <c r="P186" s="108" t="s">
        <v>2115</v>
      </c>
      <c r="Q186" s="107"/>
      <c r="R186" s="115" t="s">
        <v>1683</v>
      </c>
      <c r="S186" s="92" t="s">
        <v>1584</v>
      </c>
      <c r="T186" s="110"/>
      <c r="U186" s="94" t="s">
        <v>1683</v>
      </c>
      <c r="V186" s="107"/>
      <c r="W186" s="111">
        <v>7600822</v>
      </c>
      <c r="X186" s="115" t="s">
        <v>1683</v>
      </c>
      <c r="Z186" s="155"/>
      <c r="AE186" s="88" t="s">
        <v>1778</v>
      </c>
      <c r="AF186" s="88" t="s">
        <v>1779</v>
      </c>
    </row>
    <row r="187" spans="1:52" ht="17.45" customHeight="1">
      <c r="B187" s="96">
        <f t="shared" si="7"/>
        <v>29</v>
      </c>
      <c r="C187" s="148">
        <v>37601</v>
      </c>
      <c r="D187" s="98" t="s">
        <v>2120</v>
      </c>
      <c r="E187" s="118">
        <v>7601179</v>
      </c>
      <c r="F187" s="164" t="s">
        <v>2114</v>
      </c>
      <c r="G187" s="165" t="s">
        <v>715</v>
      </c>
      <c r="H187" s="175" t="s">
        <v>2119</v>
      </c>
      <c r="I187" s="98" t="s">
        <v>2120</v>
      </c>
      <c r="J187" s="172">
        <v>3</v>
      </c>
      <c r="K187" s="130" t="s">
        <v>1802</v>
      </c>
      <c r="L187" s="103">
        <v>4</v>
      </c>
      <c r="M187" s="173" t="s">
        <v>1682</v>
      </c>
      <c r="N187" s="106" t="str">
        <f t="shared" si="5"/>
        <v>34</v>
      </c>
      <c r="O187" s="107"/>
      <c r="P187" s="174" t="s">
        <v>2115</v>
      </c>
      <c r="Q187" s="107"/>
      <c r="R187" s="115" t="s">
        <v>1683</v>
      </c>
      <c r="S187" s="92" t="s">
        <v>1584</v>
      </c>
      <c r="T187" s="110"/>
      <c r="U187" s="94" t="s">
        <v>1683</v>
      </c>
      <c r="V187" s="107"/>
      <c r="W187" s="214">
        <v>7600822</v>
      </c>
      <c r="X187" s="115" t="s">
        <v>1683</v>
      </c>
      <c r="Z187" s="155"/>
      <c r="AE187" s="88" t="s">
        <v>1778</v>
      </c>
      <c r="AF187" s="88" t="s">
        <v>1779</v>
      </c>
    </row>
    <row r="188" spans="1:52" ht="17.45" customHeight="1">
      <c r="B188" s="96">
        <f t="shared" si="7"/>
        <v>30</v>
      </c>
      <c r="C188" s="148">
        <v>39204</v>
      </c>
      <c r="D188" s="98" t="s">
        <v>2115</v>
      </c>
      <c r="E188" s="118">
        <v>7600822</v>
      </c>
      <c r="F188" s="164" t="s">
        <v>2114</v>
      </c>
      <c r="G188" s="165" t="s">
        <v>718</v>
      </c>
      <c r="H188" s="171" t="s">
        <v>2119</v>
      </c>
      <c r="I188" s="98" t="s">
        <v>2115</v>
      </c>
      <c r="J188" s="172">
        <v>3</v>
      </c>
      <c r="K188" s="130" t="s">
        <v>1802</v>
      </c>
      <c r="L188" s="124">
        <v>4</v>
      </c>
      <c r="M188" s="125" t="s">
        <v>1682</v>
      </c>
      <c r="N188" s="106" t="str">
        <f t="shared" si="5"/>
        <v>34</v>
      </c>
      <c r="O188" s="107"/>
      <c r="P188" s="108" t="s">
        <v>2115</v>
      </c>
      <c r="Q188" s="107"/>
      <c r="R188" s="115" t="s">
        <v>1683</v>
      </c>
      <c r="S188" s="92" t="s">
        <v>1584</v>
      </c>
      <c r="T188" s="110"/>
      <c r="U188" s="94" t="s">
        <v>1683</v>
      </c>
      <c r="V188" s="107"/>
      <c r="W188" s="111">
        <v>7600822</v>
      </c>
      <c r="X188" s="115" t="s">
        <v>1683</v>
      </c>
      <c r="Z188" s="155"/>
      <c r="AE188" s="88" t="s">
        <v>1778</v>
      </c>
      <c r="AF188" s="88" t="s">
        <v>1779</v>
      </c>
    </row>
    <row r="189" spans="1:52" ht="17.45" customHeight="1">
      <c r="B189" s="96">
        <f t="shared" si="7"/>
        <v>31</v>
      </c>
      <c r="C189" s="222">
        <v>45463</v>
      </c>
      <c r="D189" s="98" t="s">
        <v>2129</v>
      </c>
      <c r="E189" s="118">
        <v>7600726</v>
      </c>
      <c r="F189" s="225" t="s">
        <v>2125</v>
      </c>
      <c r="G189" s="228" t="s">
        <v>722</v>
      </c>
      <c r="H189" s="231" t="s">
        <v>2128</v>
      </c>
      <c r="I189" s="98" t="s">
        <v>2129</v>
      </c>
      <c r="J189" s="232">
        <v>3</v>
      </c>
      <c r="K189" s="235" t="s">
        <v>1802</v>
      </c>
      <c r="L189" s="176">
        <v>5</v>
      </c>
      <c r="M189" s="177" t="s">
        <v>1685</v>
      </c>
      <c r="N189" s="178" t="str">
        <f t="shared" si="5"/>
        <v>35</v>
      </c>
      <c r="O189" s="107"/>
      <c r="P189" s="238" t="s">
        <v>2127</v>
      </c>
      <c r="Q189" s="179"/>
      <c r="R189" s="180" t="s">
        <v>1684</v>
      </c>
      <c r="S189" s="92" t="s">
        <v>1585</v>
      </c>
      <c r="T189" s="110"/>
      <c r="U189" s="94" t="s">
        <v>1684</v>
      </c>
      <c r="V189" s="179"/>
      <c r="W189" s="239">
        <v>7600062</v>
      </c>
      <c r="X189" s="180" t="s">
        <v>1684</v>
      </c>
      <c r="Z189" s="155"/>
      <c r="AE189" s="88" t="s">
        <v>1778</v>
      </c>
      <c r="AF189" s="88" t="s">
        <v>1779</v>
      </c>
    </row>
    <row r="190" spans="1:52" s="182" customFormat="1" ht="17.45" customHeight="1">
      <c r="A190" s="56"/>
      <c r="B190" s="96">
        <f t="shared" si="7"/>
        <v>32</v>
      </c>
      <c r="C190" s="222">
        <v>35961</v>
      </c>
      <c r="D190" s="98" t="s">
        <v>2127</v>
      </c>
      <c r="E190" s="118">
        <v>7600062</v>
      </c>
      <c r="F190" s="225" t="s">
        <v>2125</v>
      </c>
      <c r="G190" s="228" t="s">
        <v>2126</v>
      </c>
      <c r="H190" s="231" t="s">
        <v>2128</v>
      </c>
      <c r="I190" s="98" t="s">
        <v>2127</v>
      </c>
      <c r="J190" s="232">
        <v>3</v>
      </c>
      <c r="K190" s="235" t="s">
        <v>1802</v>
      </c>
      <c r="L190" s="176">
        <v>5</v>
      </c>
      <c r="M190" s="177" t="s">
        <v>1685</v>
      </c>
      <c r="N190" s="178" t="str">
        <f t="shared" si="5"/>
        <v>35</v>
      </c>
      <c r="O190" s="107"/>
      <c r="P190" s="238" t="s">
        <v>2127</v>
      </c>
      <c r="Q190" s="179"/>
      <c r="R190" s="180" t="s">
        <v>1684</v>
      </c>
      <c r="S190" s="92" t="s">
        <v>1585</v>
      </c>
      <c r="T190" s="110"/>
      <c r="U190" s="94" t="s">
        <v>1684</v>
      </c>
      <c r="V190" s="179"/>
      <c r="W190" s="239">
        <v>7600062</v>
      </c>
      <c r="X190" s="180" t="s">
        <v>1684</v>
      </c>
      <c r="Y190" s="74"/>
      <c r="Z190" s="155"/>
      <c r="AA190" s="129"/>
      <c r="AB190" s="74"/>
      <c r="AC190" s="74"/>
      <c r="AD190" s="74"/>
      <c r="AE190" s="88" t="s">
        <v>1778</v>
      </c>
      <c r="AF190" s="88" t="s">
        <v>1779</v>
      </c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</row>
    <row r="191" spans="1:52" ht="17.45" customHeight="1">
      <c r="B191" s="96">
        <f t="shared" si="7"/>
        <v>33</v>
      </c>
      <c r="C191" s="112">
        <v>40765</v>
      </c>
      <c r="D191" s="98" t="s">
        <v>2134</v>
      </c>
      <c r="E191" s="98">
        <v>7600599</v>
      </c>
      <c r="F191" s="113" t="s">
        <v>2132</v>
      </c>
      <c r="G191" s="100" t="s">
        <v>1064</v>
      </c>
      <c r="H191" s="101" t="s">
        <v>2239</v>
      </c>
      <c r="I191" s="98" t="s">
        <v>2134</v>
      </c>
      <c r="J191" s="102">
        <v>4</v>
      </c>
      <c r="K191" s="103" t="s">
        <v>1774</v>
      </c>
      <c r="L191" s="124">
        <v>6</v>
      </c>
      <c r="M191" s="125" t="s">
        <v>1735</v>
      </c>
      <c r="N191" s="106" t="str">
        <f t="shared" si="5"/>
        <v>46</v>
      </c>
      <c r="O191" s="107"/>
      <c r="P191" s="114" t="s">
        <v>2134</v>
      </c>
      <c r="Q191" s="107"/>
      <c r="R191" s="115" t="s">
        <v>2136</v>
      </c>
      <c r="S191" s="92" t="s">
        <v>1577</v>
      </c>
      <c r="T191" s="110"/>
      <c r="U191" s="94" t="s">
        <v>1743</v>
      </c>
      <c r="V191" s="107"/>
      <c r="W191" s="117">
        <v>7600599</v>
      </c>
      <c r="X191" s="115" t="s">
        <v>2136</v>
      </c>
      <c r="Z191" s="155"/>
      <c r="AA191" s="107"/>
      <c r="AE191" s="88" t="s">
        <v>1778</v>
      </c>
      <c r="AF191" s="88" t="s">
        <v>1779</v>
      </c>
    </row>
    <row r="192" spans="1:52" ht="17.45" customHeight="1">
      <c r="B192" s="96">
        <f t="shared" si="7"/>
        <v>34</v>
      </c>
      <c r="C192" s="148">
        <v>43801</v>
      </c>
      <c r="D192" s="98" t="s">
        <v>2142</v>
      </c>
      <c r="E192" s="118">
        <v>7601110</v>
      </c>
      <c r="F192" s="164" t="s">
        <v>2137</v>
      </c>
      <c r="G192" s="165" t="s">
        <v>376</v>
      </c>
      <c r="H192" s="171" t="s">
        <v>2133</v>
      </c>
      <c r="I192" s="98" t="s">
        <v>2142</v>
      </c>
      <c r="J192" s="172">
        <v>2</v>
      </c>
      <c r="K192" s="130" t="s">
        <v>1784</v>
      </c>
      <c r="L192" s="124">
        <v>5</v>
      </c>
      <c r="M192" s="125" t="s">
        <v>1648</v>
      </c>
      <c r="N192" s="106" t="str">
        <f t="shared" si="5"/>
        <v>25</v>
      </c>
      <c r="O192" s="107"/>
      <c r="P192" s="108" t="s">
        <v>2138</v>
      </c>
      <c r="Q192" s="107"/>
      <c r="R192" s="115" t="s">
        <v>1650</v>
      </c>
      <c r="S192" s="92" t="s">
        <v>1577</v>
      </c>
      <c r="T192" s="110"/>
      <c r="U192" s="94" t="s">
        <v>1650</v>
      </c>
      <c r="V192" s="107"/>
      <c r="W192" s="117">
        <v>7600895</v>
      </c>
      <c r="X192" s="115" t="s">
        <v>1650</v>
      </c>
      <c r="Z192" s="155"/>
      <c r="AE192" s="88" t="s">
        <v>1778</v>
      </c>
      <c r="AF192" s="88" t="s">
        <v>1779</v>
      </c>
    </row>
    <row r="193" spans="2:32" ht="17.45" customHeight="1">
      <c r="B193" s="96">
        <f t="shared" si="7"/>
        <v>35</v>
      </c>
      <c r="C193" s="148">
        <v>40473</v>
      </c>
      <c r="D193" s="98" t="s">
        <v>2138</v>
      </c>
      <c r="E193" s="118">
        <v>7600895</v>
      </c>
      <c r="F193" s="164" t="s">
        <v>2137</v>
      </c>
      <c r="G193" s="165" t="s">
        <v>383</v>
      </c>
      <c r="H193" s="171" t="s">
        <v>2133</v>
      </c>
      <c r="I193" s="98" t="s">
        <v>2138</v>
      </c>
      <c r="J193" s="172">
        <v>2</v>
      </c>
      <c r="K193" s="130" t="s">
        <v>1784</v>
      </c>
      <c r="L193" s="124">
        <v>5</v>
      </c>
      <c r="M193" s="125" t="s">
        <v>1648</v>
      </c>
      <c r="N193" s="106" t="str">
        <f t="shared" si="5"/>
        <v>25</v>
      </c>
      <c r="O193" s="107"/>
      <c r="P193" s="108" t="s">
        <v>2138</v>
      </c>
      <c r="Q193" s="107"/>
      <c r="R193" s="115" t="s">
        <v>1650</v>
      </c>
      <c r="S193" s="92" t="s">
        <v>1577</v>
      </c>
      <c r="T193" s="110"/>
      <c r="U193" s="94" t="s">
        <v>1650</v>
      </c>
      <c r="V193" s="107"/>
      <c r="W193" s="111">
        <v>7600895</v>
      </c>
      <c r="X193" s="115" t="s">
        <v>1650</v>
      </c>
      <c r="Z193" s="155"/>
      <c r="AE193" s="88" t="s">
        <v>1778</v>
      </c>
      <c r="AF193" s="88" t="s">
        <v>1779</v>
      </c>
    </row>
    <row r="194" spans="2:32" ht="17.45" customHeight="1">
      <c r="B194" s="96">
        <f t="shared" si="7"/>
        <v>36</v>
      </c>
      <c r="C194" s="148">
        <v>40473</v>
      </c>
      <c r="D194" s="98" t="s">
        <v>2140</v>
      </c>
      <c r="E194" s="118">
        <v>7600920</v>
      </c>
      <c r="F194" s="164" t="s">
        <v>2137</v>
      </c>
      <c r="G194" s="165" t="s">
        <v>387</v>
      </c>
      <c r="H194" s="171" t="s">
        <v>2133</v>
      </c>
      <c r="I194" s="98" t="s">
        <v>2140</v>
      </c>
      <c r="J194" s="172">
        <v>2</v>
      </c>
      <c r="K194" s="130" t="s">
        <v>1784</v>
      </c>
      <c r="L194" s="124">
        <v>5</v>
      </c>
      <c r="M194" s="125" t="s">
        <v>1648</v>
      </c>
      <c r="N194" s="106" t="str">
        <f t="shared" si="5"/>
        <v>25</v>
      </c>
      <c r="O194" s="107"/>
      <c r="P194" s="108" t="s">
        <v>2138</v>
      </c>
      <c r="Q194" s="107"/>
      <c r="R194" s="115" t="s">
        <v>1650</v>
      </c>
      <c r="S194" s="92" t="s">
        <v>1577</v>
      </c>
      <c r="T194" s="110"/>
      <c r="U194" s="94" t="s">
        <v>1650</v>
      </c>
      <c r="V194" s="107"/>
      <c r="W194" s="111">
        <v>7600895</v>
      </c>
      <c r="X194" s="115" t="s">
        <v>1650</v>
      </c>
      <c r="Z194" s="155"/>
      <c r="AE194" s="88" t="s">
        <v>1778</v>
      </c>
      <c r="AF194" s="88" t="s">
        <v>1779</v>
      </c>
    </row>
    <row r="195" spans="2:32" ht="17.45" customHeight="1">
      <c r="B195" s="96">
        <f t="shared" si="7"/>
        <v>37</v>
      </c>
      <c r="C195" s="148">
        <v>41269</v>
      </c>
      <c r="D195" s="98" t="s">
        <v>2139</v>
      </c>
      <c r="E195" s="118">
        <v>7600918</v>
      </c>
      <c r="F195" s="164" t="s">
        <v>2137</v>
      </c>
      <c r="G195" s="165" t="s">
        <v>389</v>
      </c>
      <c r="H195" s="171" t="s">
        <v>2133</v>
      </c>
      <c r="I195" s="98" t="s">
        <v>2139</v>
      </c>
      <c r="J195" s="172">
        <v>2</v>
      </c>
      <c r="K195" s="130" t="s">
        <v>1784</v>
      </c>
      <c r="L195" s="124">
        <v>5</v>
      </c>
      <c r="M195" s="125" t="s">
        <v>1648</v>
      </c>
      <c r="N195" s="106" t="str">
        <f t="shared" si="5"/>
        <v>25</v>
      </c>
      <c r="O195" s="107"/>
      <c r="P195" s="108" t="s">
        <v>2138</v>
      </c>
      <c r="Q195" s="107"/>
      <c r="R195" s="115" t="s">
        <v>1650</v>
      </c>
      <c r="S195" s="92" t="s">
        <v>1577</v>
      </c>
      <c r="T195" s="110"/>
      <c r="U195" s="94" t="s">
        <v>1650</v>
      </c>
      <c r="V195" s="107"/>
      <c r="W195" s="111">
        <v>7600895</v>
      </c>
      <c r="X195" s="115" t="s">
        <v>1650</v>
      </c>
      <c r="Z195" s="155"/>
      <c r="AE195" s="88" t="s">
        <v>1778</v>
      </c>
      <c r="AF195" s="88" t="s">
        <v>1779</v>
      </c>
    </row>
    <row r="196" spans="2:32" ht="17.45" customHeight="1">
      <c r="B196" s="96">
        <f t="shared" si="7"/>
        <v>38</v>
      </c>
      <c r="C196" s="148">
        <v>40473</v>
      </c>
      <c r="D196" s="98" t="s">
        <v>2141</v>
      </c>
      <c r="E196" s="118">
        <v>7600921</v>
      </c>
      <c r="F196" s="164" t="s">
        <v>2137</v>
      </c>
      <c r="G196" s="165" t="s">
        <v>392</v>
      </c>
      <c r="H196" s="171" t="s">
        <v>2133</v>
      </c>
      <c r="I196" s="98" t="s">
        <v>2141</v>
      </c>
      <c r="J196" s="172">
        <v>2</v>
      </c>
      <c r="K196" s="130" t="s">
        <v>1784</v>
      </c>
      <c r="L196" s="124">
        <v>5</v>
      </c>
      <c r="M196" s="125" t="s">
        <v>1648</v>
      </c>
      <c r="N196" s="106" t="str">
        <f t="shared" si="5"/>
        <v>25</v>
      </c>
      <c r="O196" s="107"/>
      <c r="P196" s="108" t="s">
        <v>2138</v>
      </c>
      <c r="Q196" s="107"/>
      <c r="R196" s="115" t="s">
        <v>1650</v>
      </c>
      <c r="S196" s="92" t="s">
        <v>1577</v>
      </c>
      <c r="T196" s="110"/>
      <c r="U196" s="94" t="s">
        <v>1650</v>
      </c>
      <c r="V196" s="107"/>
      <c r="W196" s="111">
        <v>7600895</v>
      </c>
      <c r="X196" s="115" t="s">
        <v>1650</v>
      </c>
      <c r="Z196" s="155"/>
      <c r="AE196" s="88" t="s">
        <v>1778</v>
      </c>
      <c r="AF196" s="88" t="s">
        <v>1779</v>
      </c>
    </row>
    <row r="197" spans="2:32" ht="17.45" customHeight="1">
      <c r="B197" s="96">
        <f t="shared" si="7"/>
        <v>39</v>
      </c>
      <c r="C197" s="148">
        <v>39973</v>
      </c>
      <c r="D197" s="98" t="s">
        <v>2148</v>
      </c>
      <c r="E197" s="118">
        <v>7600917</v>
      </c>
      <c r="F197" s="164" t="s">
        <v>2143</v>
      </c>
      <c r="G197" s="165" t="s">
        <v>542</v>
      </c>
      <c r="H197" s="171" t="s">
        <v>2117</v>
      </c>
      <c r="I197" s="98" t="s">
        <v>2148</v>
      </c>
      <c r="J197" s="181">
        <v>2</v>
      </c>
      <c r="K197" s="131" t="s">
        <v>1784</v>
      </c>
      <c r="L197" s="124">
        <v>7</v>
      </c>
      <c r="M197" s="125" t="s">
        <v>1657</v>
      </c>
      <c r="N197" s="106" t="str">
        <f t="shared" ref="N197:N260" si="8">J197&amp;L197</f>
        <v>27</v>
      </c>
      <c r="O197" s="107"/>
      <c r="P197" s="108" t="s">
        <v>2144</v>
      </c>
      <c r="Q197" s="107"/>
      <c r="R197" s="115" t="s">
        <v>1660</v>
      </c>
      <c r="S197" s="92" t="s">
        <v>1577</v>
      </c>
      <c r="T197" s="110"/>
      <c r="U197" s="94" t="s">
        <v>1660</v>
      </c>
      <c r="V197" s="107"/>
      <c r="W197" s="111">
        <v>7600528</v>
      </c>
      <c r="X197" s="115" t="s">
        <v>1660</v>
      </c>
      <c r="Z197" s="155"/>
      <c r="AE197" s="88" t="s">
        <v>1778</v>
      </c>
      <c r="AF197" s="88" t="s">
        <v>1779</v>
      </c>
    </row>
    <row r="198" spans="2:32" ht="17.45" customHeight="1">
      <c r="B198" s="96">
        <f t="shared" si="7"/>
        <v>40</v>
      </c>
      <c r="C198" s="148">
        <v>39973</v>
      </c>
      <c r="D198" s="98" t="s">
        <v>2146</v>
      </c>
      <c r="E198" s="118">
        <v>7600916</v>
      </c>
      <c r="F198" s="164" t="s">
        <v>2143</v>
      </c>
      <c r="G198" s="165" t="s">
        <v>546</v>
      </c>
      <c r="H198" s="171" t="s">
        <v>2117</v>
      </c>
      <c r="I198" s="98" t="s">
        <v>2146</v>
      </c>
      <c r="J198" s="181">
        <v>2</v>
      </c>
      <c r="K198" s="131" t="s">
        <v>1784</v>
      </c>
      <c r="L198" s="124">
        <v>7</v>
      </c>
      <c r="M198" s="125" t="s">
        <v>1657</v>
      </c>
      <c r="N198" s="106" t="str">
        <f t="shared" si="8"/>
        <v>27</v>
      </c>
      <c r="O198" s="107"/>
      <c r="P198" s="114" t="s">
        <v>2144</v>
      </c>
      <c r="Q198" s="107"/>
      <c r="R198" s="115" t="s">
        <v>1660</v>
      </c>
      <c r="S198" s="92" t="s">
        <v>1577</v>
      </c>
      <c r="T198" s="110"/>
      <c r="U198" s="94" t="s">
        <v>1660</v>
      </c>
      <c r="V198" s="107"/>
      <c r="W198" s="117">
        <v>7600528</v>
      </c>
      <c r="X198" s="115" t="s">
        <v>1660</v>
      </c>
      <c r="Z198" s="155"/>
      <c r="AE198" s="88" t="s">
        <v>1778</v>
      </c>
      <c r="AF198" s="88" t="s">
        <v>1779</v>
      </c>
    </row>
    <row r="199" spans="2:32" ht="17.45" customHeight="1">
      <c r="B199" s="96">
        <f t="shared" si="7"/>
        <v>41</v>
      </c>
      <c r="C199" s="148">
        <v>40294</v>
      </c>
      <c r="D199" s="98" t="s">
        <v>2144</v>
      </c>
      <c r="E199" s="118">
        <v>7600528</v>
      </c>
      <c r="F199" s="164" t="s">
        <v>2143</v>
      </c>
      <c r="G199" s="165" t="s">
        <v>498</v>
      </c>
      <c r="H199" s="171" t="s">
        <v>2117</v>
      </c>
      <c r="I199" s="98" t="s">
        <v>2144</v>
      </c>
      <c r="J199" s="181">
        <v>2</v>
      </c>
      <c r="K199" s="131" t="s">
        <v>1784</v>
      </c>
      <c r="L199" s="124">
        <v>7</v>
      </c>
      <c r="M199" s="125" t="s">
        <v>1657</v>
      </c>
      <c r="N199" s="106" t="str">
        <f t="shared" si="8"/>
        <v>27</v>
      </c>
      <c r="O199" s="107"/>
      <c r="P199" s="108" t="s">
        <v>2144</v>
      </c>
      <c r="Q199" s="107"/>
      <c r="R199" s="115" t="s">
        <v>1660</v>
      </c>
      <c r="S199" s="92" t="s">
        <v>1577</v>
      </c>
      <c r="T199" s="110"/>
      <c r="U199" s="94" t="s">
        <v>1660</v>
      </c>
      <c r="V199" s="107"/>
      <c r="W199" s="111">
        <v>7600528</v>
      </c>
      <c r="X199" s="115" t="s">
        <v>1660</v>
      </c>
      <c r="Z199" s="155"/>
      <c r="AE199" s="88" t="s">
        <v>1778</v>
      </c>
      <c r="AF199" s="88" t="s">
        <v>1779</v>
      </c>
    </row>
    <row r="200" spans="2:32" ht="17.45" customHeight="1">
      <c r="B200" s="96">
        <f t="shared" si="7"/>
        <v>42</v>
      </c>
      <c r="C200" s="148">
        <v>40698</v>
      </c>
      <c r="D200" s="98" t="s">
        <v>2145</v>
      </c>
      <c r="E200" s="118">
        <v>7600584</v>
      </c>
      <c r="F200" s="164" t="s">
        <v>2143</v>
      </c>
      <c r="G200" s="165" t="s">
        <v>504</v>
      </c>
      <c r="H200" s="171" t="s">
        <v>2117</v>
      </c>
      <c r="I200" s="98" t="s">
        <v>2145</v>
      </c>
      <c r="J200" s="181">
        <v>2</v>
      </c>
      <c r="K200" s="131" t="s">
        <v>1784</v>
      </c>
      <c r="L200" s="124">
        <v>7</v>
      </c>
      <c r="M200" s="125" t="s">
        <v>1657</v>
      </c>
      <c r="N200" s="106" t="str">
        <f t="shared" si="8"/>
        <v>27</v>
      </c>
      <c r="O200" s="107"/>
      <c r="P200" s="108" t="s">
        <v>2144</v>
      </c>
      <c r="Q200" s="107"/>
      <c r="R200" s="115" t="s">
        <v>1660</v>
      </c>
      <c r="S200" s="92" t="s">
        <v>1577</v>
      </c>
      <c r="T200" s="110"/>
      <c r="U200" s="94" t="s">
        <v>1660</v>
      </c>
      <c r="V200" s="107"/>
      <c r="W200" s="111">
        <v>7600528</v>
      </c>
      <c r="X200" s="115" t="s">
        <v>1660</v>
      </c>
      <c r="Z200" s="155"/>
      <c r="AE200" s="88" t="s">
        <v>1778</v>
      </c>
      <c r="AF200" s="88" t="s">
        <v>1779</v>
      </c>
    </row>
    <row r="201" spans="2:32" ht="17.45" customHeight="1">
      <c r="B201" s="96" t="e">
        <f>#REF!+1</f>
        <v>#REF!</v>
      </c>
      <c r="C201" s="148">
        <v>38516</v>
      </c>
      <c r="D201" s="98" t="s">
        <v>2151</v>
      </c>
      <c r="E201" s="118">
        <v>7600832</v>
      </c>
      <c r="F201" s="164" t="s">
        <v>2149</v>
      </c>
      <c r="G201" s="165" t="s">
        <v>596</v>
      </c>
      <c r="H201" s="171" t="s">
        <v>2147</v>
      </c>
      <c r="I201" s="98" t="s">
        <v>2151</v>
      </c>
      <c r="J201" s="181">
        <v>3</v>
      </c>
      <c r="K201" s="131" t="s">
        <v>1802</v>
      </c>
      <c r="L201" s="124">
        <v>1</v>
      </c>
      <c r="M201" s="125" t="s">
        <v>1661</v>
      </c>
      <c r="N201" s="106" t="str">
        <f t="shared" si="8"/>
        <v>31</v>
      </c>
      <c r="O201" s="107"/>
      <c r="P201" s="108" t="s">
        <v>2151</v>
      </c>
      <c r="Q201" s="107"/>
      <c r="R201" s="115" t="s">
        <v>1665</v>
      </c>
      <c r="S201" s="92" t="s">
        <v>1663</v>
      </c>
      <c r="T201" s="110"/>
      <c r="U201" s="94" t="s">
        <v>1665</v>
      </c>
      <c r="V201" s="107"/>
      <c r="W201" s="111">
        <v>7600832</v>
      </c>
      <c r="X201" s="115" t="s">
        <v>1665</v>
      </c>
      <c r="Z201" s="155"/>
      <c r="AA201" s="166"/>
      <c r="AB201" s="166"/>
      <c r="AC201" s="166"/>
      <c r="AD201" s="166"/>
      <c r="AE201" s="88" t="s">
        <v>1778</v>
      </c>
      <c r="AF201" s="88" t="s">
        <v>1779</v>
      </c>
    </row>
    <row r="202" spans="2:32" ht="17.45" customHeight="1">
      <c r="B202" s="96" t="e">
        <f t="shared" ref="B202:B265" si="9">B201+1</f>
        <v>#REF!</v>
      </c>
      <c r="C202" s="148">
        <v>36277</v>
      </c>
      <c r="D202" s="98" t="s">
        <v>2037</v>
      </c>
      <c r="E202" s="118">
        <v>7600104</v>
      </c>
      <c r="F202" s="164" t="s">
        <v>2035</v>
      </c>
      <c r="G202" s="165" t="s">
        <v>974</v>
      </c>
      <c r="H202" s="171" t="s">
        <v>2150</v>
      </c>
      <c r="I202" s="98" t="s">
        <v>2037</v>
      </c>
      <c r="J202" s="181">
        <v>4</v>
      </c>
      <c r="K202" s="131" t="s">
        <v>1774</v>
      </c>
      <c r="L202" s="124">
        <v>4</v>
      </c>
      <c r="M202" s="125" t="s">
        <v>1721</v>
      </c>
      <c r="N202" s="106" t="str">
        <f t="shared" si="8"/>
        <v>44</v>
      </c>
      <c r="O202" s="107"/>
      <c r="P202" s="114" t="s">
        <v>2037</v>
      </c>
      <c r="Q202" s="107"/>
      <c r="R202" s="115" t="s">
        <v>1724</v>
      </c>
      <c r="S202" s="92" t="s">
        <v>1590</v>
      </c>
      <c r="T202" s="110"/>
      <c r="U202" s="94" t="s">
        <v>1724</v>
      </c>
      <c r="V202" s="107"/>
      <c r="W202" s="117">
        <v>7600104</v>
      </c>
      <c r="X202" s="115" t="s">
        <v>1724</v>
      </c>
      <c r="Z202" s="155"/>
      <c r="AE202" s="88" t="s">
        <v>1778</v>
      </c>
      <c r="AF202" s="88" t="s">
        <v>1779</v>
      </c>
    </row>
    <row r="203" spans="2:32" ht="17.45" customHeight="1">
      <c r="B203" s="96" t="e">
        <f t="shared" si="9"/>
        <v>#REF!</v>
      </c>
      <c r="C203" s="148">
        <v>41548</v>
      </c>
      <c r="D203" s="98" t="s">
        <v>2040</v>
      </c>
      <c r="E203" s="118">
        <v>7600781</v>
      </c>
      <c r="F203" s="164" t="s">
        <v>2035</v>
      </c>
      <c r="G203" s="165" t="s">
        <v>2038</v>
      </c>
      <c r="H203" s="171" t="s">
        <v>2153</v>
      </c>
      <c r="I203" s="98" t="s">
        <v>2040</v>
      </c>
      <c r="J203" s="181">
        <v>4</v>
      </c>
      <c r="K203" s="131" t="s">
        <v>1774</v>
      </c>
      <c r="L203" s="124">
        <v>4</v>
      </c>
      <c r="M203" s="125" t="s">
        <v>1721</v>
      </c>
      <c r="N203" s="106" t="str">
        <f t="shared" si="8"/>
        <v>44</v>
      </c>
      <c r="O203" s="107"/>
      <c r="P203" s="108" t="s">
        <v>2037</v>
      </c>
      <c r="Q203" s="107"/>
      <c r="R203" s="115" t="s">
        <v>1724</v>
      </c>
      <c r="S203" s="92" t="s">
        <v>1590</v>
      </c>
      <c r="T203" s="110"/>
      <c r="U203" s="94" t="s">
        <v>1724</v>
      </c>
      <c r="V203" s="107"/>
      <c r="W203" s="111">
        <v>7600104</v>
      </c>
      <c r="X203" s="115" t="s">
        <v>1724</v>
      </c>
      <c r="Z203" s="155"/>
      <c r="AE203" s="88" t="s">
        <v>1778</v>
      </c>
      <c r="AF203" s="88" t="s">
        <v>1779</v>
      </c>
    </row>
    <row r="204" spans="2:32" ht="17.45" customHeight="1">
      <c r="B204" s="96" t="e">
        <f t="shared" si="9"/>
        <v>#REF!</v>
      </c>
      <c r="C204" s="148">
        <v>41547</v>
      </c>
      <c r="D204" s="98" t="s">
        <v>2042</v>
      </c>
      <c r="E204" s="118">
        <v>7600763</v>
      </c>
      <c r="F204" s="164" t="s">
        <v>2035</v>
      </c>
      <c r="G204" s="165" t="s">
        <v>981</v>
      </c>
      <c r="H204" s="171" t="s">
        <v>2153</v>
      </c>
      <c r="I204" s="98" t="s">
        <v>2042</v>
      </c>
      <c r="J204" s="172">
        <v>4</v>
      </c>
      <c r="K204" s="130" t="s">
        <v>1774</v>
      </c>
      <c r="L204" s="124">
        <v>4</v>
      </c>
      <c r="M204" s="125" t="s">
        <v>1721</v>
      </c>
      <c r="N204" s="106" t="str">
        <f t="shared" si="8"/>
        <v>44</v>
      </c>
      <c r="O204" s="107"/>
      <c r="P204" s="111" t="s">
        <v>2037</v>
      </c>
      <c r="Q204" s="107"/>
      <c r="R204" s="115" t="s">
        <v>1724</v>
      </c>
      <c r="S204" s="92" t="s">
        <v>1590</v>
      </c>
      <c r="T204" s="110"/>
      <c r="U204" s="94" t="s">
        <v>1724</v>
      </c>
      <c r="V204" s="107"/>
      <c r="W204" s="111">
        <v>7600104</v>
      </c>
      <c r="X204" s="115" t="s">
        <v>1724</v>
      </c>
      <c r="Z204" s="155"/>
      <c r="AE204" s="88" t="s">
        <v>1778</v>
      </c>
      <c r="AF204" s="88" t="s">
        <v>1779</v>
      </c>
    </row>
    <row r="205" spans="2:32" ht="17.45" customHeight="1">
      <c r="B205" s="96" t="e">
        <f t="shared" si="9"/>
        <v>#REF!</v>
      </c>
      <c r="C205" s="148">
        <v>41415</v>
      </c>
      <c r="D205" s="98" t="s">
        <v>2158</v>
      </c>
      <c r="E205" s="118">
        <v>7600743</v>
      </c>
      <c r="F205" s="164" t="s">
        <v>2152</v>
      </c>
      <c r="G205" s="165" t="s">
        <v>985</v>
      </c>
      <c r="H205" s="171" t="s">
        <v>2156</v>
      </c>
      <c r="I205" s="98" t="s">
        <v>2158</v>
      </c>
      <c r="J205" s="181">
        <v>4</v>
      </c>
      <c r="K205" s="131" t="s">
        <v>1774</v>
      </c>
      <c r="L205" s="124">
        <v>4</v>
      </c>
      <c r="M205" s="125" t="s">
        <v>1721</v>
      </c>
      <c r="N205" s="106" t="str">
        <f t="shared" si="8"/>
        <v>44</v>
      </c>
      <c r="O205" s="107"/>
      <c r="P205" s="108" t="s">
        <v>2154</v>
      </c>
      <c r="Q205" s="107"/>
      <c r="R205" s="115" t="s">
        <v>1726</v>
      </c>
      <c r="S205" s="92" t="s">
        <v>1590</v>
      </c>
      <c r="T205" s="110"/>
      <c r="U205" s="94" t="s">
        <v>1726</v>
      </c>
      <c r="V205" s="107"/>
      <c r="W205" s="111">
        <v>7600596</v>
      </c>
      <c r="X205" s="115" t="s">
        <v>1726</v>
      </c>
      <c r="Z205" s="155"/>
      <c r="AE205" s="88" t="s">
        <v>1778</v>
      </c>
      <c r="AF205" s="88" t="s">
        <v>1779</v>
      </c>
    </row>
    <row r="206" spans="2:32" ht="17.45" customHeight="1">
      <c r="B206" s="96" t="e">
        <f t="shared" si="9"/>
        <v>#REF!</v>
      </c>
      <c r="C206" s="148">
        <v>40829</v>
      </c>
      <c r="D206" s="98" t="s">
        <v>2155</v>
      </c>
      <c r="E206" s="118">
        <v>7600597</v>
      </c>
      <c r="F206" s="164" t="s">
        <v>2152</v>
      </c>
      <c r="G206" s="165" t="s">
        <v>990</v>
      </c>
      <c r="H206" s="171" t="s">
        <v>2156</v>
      </c>
      <c r="I206" s="98" t="s">
        <v>2155</v>
      </c>
      <c r="J206" s="181">
        <v>4</v>
      </c>
      <c r="K206" s="131" t="s">
        <v>1774</v>
      </c>
      <c r="L206" s="124">
        <v>4</v>
      </c>
      <c r="M206" s="125" t="s">
        <v>1721</v>
      </c>
      <c r="N206" s="106" t="str">
        <f t="shared" si="8"/>
        <v>44</v>
      </c>
      <c r="O206" s="107"/>
      <c r="P206" s="114" t="s">
        <v>2154</v>
      </c>
      <c r="Q206" s="107"/>
      <c r="R206" s="115" t="s">
        <v>1726</v>
      </c>
      <c r="S206" s="92" t="s">
        <v>1590</v>
      </c>
      <c r="T206" s="110"/>
      <c r="U206" s="94" t="s">
        <v>1726</v>
      </c>
      <c r="V206" s="107"/>
      <c r="W206" s="117">
        <v>7600596</v>
      </c>
      <c r="X206" s="115" t="s">
        <v>1726</v>
      </c>
      <c r="Z206" s="155"/>
      <c r="AE206" s="88" t="s">
        <v>1778</v>
      </c>
      <c r="AF206" s="88" t="s">
        <v>1779</v>
      </c>
    </row>
    <row r="207" spans="2:32" ht="17.45" customHeight="1">
      <c r="B207" s="96" t="e">
        <f t="shared" si="9"/>
        <v>#REF!</v>
      </c>
      <c r="C207" s="148">
        <v>41373</v>
      </c>
      <c r="D207" s="98" t="s">
        <v>2157</v>
      </c>
      <c r="E207" s="118">
        <v>7600737</v>
      </c>
      <c r="F207" s="164" t="s">
        <v>2152</v>
      </c>
      <c r="G207" s="165" t="s">
        <v>993</v>
      </c>
      <c r="H207" s="171" t="s">
        <v>2156</v>
      </c>
      <c r="I207" s="98" t="s">
        <v>2157</v>
      </c>
      <c r="J207" s="181">
        <v>4</v>
      </c>
      <c r="K207" s="131" t="s">
        <v>1774</v>
      </c>
      <c r="L207" s="124">
        <v>4</v>
      </c>
      <c r="M207" s="125" t="s">
        <v>1721</v>
      </c>
      <c r="N207" s="106" t="str">
        <f t="shared" si="8"/>
        <v>44</v>
      </c>
      <c r="O207" s="107"/>
      <c r="P207" s="114" t="s">
        <v>2154</v>
      </c>
      <c r="Q207" s="107"/>
      <c r="R207" s="115" t="s">
        <v>1726</v>
      </c>
      <c r="S207" s="92" t="s">
        <v>1590</v>
      </c>
      <c r="T207" s="110"/>
      <c r="U207" s="94" t="s">
        <v>1726</v>
      </c>
      <c r="V207" s="107"/>
      <c r="W207" s="117">
        <v>7600596</v>
      </c>
      <c r="X207" s="115" t="s">
        <v>1726</v>
      </c>
      <c r="Z207" s="155"/>
      <c r="AE207" s="88" t="s">
        <v>1778</v>
      </c>
      <c r="AF207" s="88" t="s">
        <v>1779</v>
      </c>
    </row>
    <row r="208" spans="2:32" ht="17.45" customHeight="1">
      <c r="B208" s="96" t="e">
        <f t="shared" si="9"/>
        <v>#REF!</v>
      </c>
      <c r="C208" s="148">
        <v>41106</v>
      </c>
      <c r="D208" s="98" t="s">
        <v>2154</v>
      </c>
      <c r="E208" s="98">
        <v>7600596</v>
      </c>
      <c r="F208" s="113" t="s">
        <v>2152</v>
      </c>
      <c r="G208" s="100" t="s">
        <v>996</v>
      </c>
      <c r="H208" s="101" t="s">
        <v>2156</v>
      </c>
      <c r="I208" s="98" t="s">
        <v>2154</v>
      </c>
      <c r="J208" s="102">
        <v>4</v>
      </c>
      <c r="K208" s="103" t="s">
        <v>1774</v>
      </c>
      <c r="L208" s="124">
        <v>4</v>
      </c>
      <c r="M208" s="125" t="s">
        <v>1721</v>
      </c>
      <c r="N208" s="106" t="str">
        <f t="shared" si="8"/>
        <v>44</v>
      </c>
      <c r="O208" s="107"/>
      <c r="P208" s="108" t="s">
        <v>2154</v>
      </c>
      <c r="Q208" s="107"/>
      <c r="R208" s="115" t="s">
        <v>1726</v>
      </c>
      <c r="S208" s="92" t="s">
        <v>1590</v>
      </c>
      <c r="T208" s="110"/>
      <c r="U208" s="94" t="s">
        <v>1726</v>
      </c>
      <c r="V208" s="107"/>
      <c r="W208" s="111">
        <v>7600596</v>
      </c>
      <c r="X208" s="115" t="s">
        <v>1726</v>
      </c>
      <c r="Z208" s="155"/>
      <c r="AE208" s="88" t="s">
        <v>1778</v>
      </c>
      <c r="AF208" s="88" t="s">
        <v>1779</v>
      </c>
    </row>
    <row r="209" spans="1:52" ht="17.45" customHeight="1">
      <c r="B209" s="96" t="e">
        <f t="shared" si="9"/>
        <v>#REF!</v>
      </c>
      <c r="C209" s="148">
        <v>40021</v>
      </c>
      <c r="D209" s="98" t="s">
        <v>2159</v>
      </c>
      <c r="E209" s="98">
        <v>7600948</v>
      </c>
      <c r="F209" s="113" t="s">
        <v>2152</v>
      </c>
      <c r="G209" s="100" t="s">
        <v>1010</v>
      </c>
      <c r="H209" s="101" t="s">
        <v>2156</v>
      </c>
      <c r="I209" s="98" t="s">
        <v>2159</v>
      </c>
      <c r="J209" s="102">
        <v>4</v>
      </c>
      <c r="K209" s="103" t="s">
        <v>1774</v>
      </c>
      <c r="L209" s="124">
        <v>5</v>
      </c>
      <c r="M209" s="125" t="s">
        <v>1728</v>
      </c>
      <c r="N209" s="106" t="str">
        <f t="shared" si="8"/>
        <v>45</v>
      </c>
      <c r="O209" s="107"/>
      <c r="P209" s="108" t="s">
        <v>2154</v>
      </c>
      <c r="Q209" s="107"/>
      <c r="R209" s="115" t="s">
        <v>1732</v>
      </c>
      <c r="S209" s="92" t="s">
        <v>1591</v>
      </c>
      <c r="T209" s="110"/>
      <c r="U209" s="94" t="s">
        <v>1732</v>
      </c>
      <c r="V209" s="107"/>
      <c r="W209" s="111">
        <v>7600948</v>
      </c>
      <c r="X209" s="115" t="s">
        <v>1732</v>
      </c>
      <c r="Z209" s="155"/>
      <c r="AA209" s="107"/>
      <c r="AE209" s="88" t="s">
        <v>1778</v>
      </c>
      <c r="AF209" s="88" t="s">
        <v>1779</v>
      </c>
    </row>
    <row r="210" spans="1:52" ht="17.45" customHeight="1">
      <c r="B210" s="96" t="e">
        <f t="shared" si="9"/>
        <v>#REF!</v>
      </c>
      <c r="C210" s="112">
        <v>43025</v>
      </c>
      <c r="D210" s="98" t="s">
        <v>2160</v>
      </c>
      <c r="E210" s="98">
        <v>7600985</v>
      </c>
      <c r="F210" s="113" t="s">
        <v>2152</v>
      </c>
      <c r="G210" s="100" t="s">
        <v>1016</v>
      </c>
      <c r="H210" s="101" t="s">
        <v>2156</v>
      </c>
      <c r="I210" s="98" t="s">
        <v>2160</v>
      </c>
      <c r="J210" s="102">
        <v>4</v>
      </c>
      <c r="K210" s="103" t="s">
        <v>1774</v>
      </c>
      <c r="L210" s="124">
        <v>5</v>
      </c>
      <c r="M210" s="125" t="s">
        <v>1728</v>
      </c>
      <c r="N210" s="106" t="str">
        <f t="shared" si="8"/>
        <v>45</v>
      </c>
      <c r="O210" s="107"/>
      <c r="P210" s="114" t="s">
        <v>2154</v>
      </c>
      <c r="Q210" s="107"/>
      <c r="R210" s="115" t="s">
        <v>1732</v>
      </c>
      <c r="S210" s="92" t="s">
        <v>1591</v>
      </c>
      <c r="T210" s="110"/>
      <c r="U210" s="94" t="s">
        <v>1732</v>
      </c>
      <c r="V210" s="107"/>
      <c r="W210" s="117">
        <v>7600948</v>
      </c>
      <c r="X210" s="115" t="s">
        <v>1732</v>
      </c>
      <c r="Z210" s="155"/>
      <c r="AA210" s="107"/>
      <c r="AE210" s="88" t="s">
        <v>1778</v>
      </c>
      <c r="AF210" s="88" t="s">
        <v>1779</v>
      </c>
    </row>
    <row r="211" spans="1:52" ht="17.45" customHeight="1">
      <c r="B211" s="96" t="e">
        <f t="shared" si="9"/>
        <v>#REF!</v>
      </c>
      <c r="C211" s="148">
        <v>42324</v>
      </c>
      <c r="D211" s="98" t="s">
        <v>2162</v>
      </c>
      <c r="E211" s="118">
        <v>7600091</v>
      </c>
      <c r="F211" s="164" t="s">
        <v>2161</v>
      </c>
      <c r="G211" s="165" t="s">
        <v>892</v>
      </c>
      <c r="H211" s="171" t="s">
        <v>2165</v>
      </c>
      <c r="I211" s="98" t="s">
        <v>2162</v>
      </c>
      <c r="J211" s="172">
        <v>4</v>
      </c>
      <c r="K211" s="130" t="s">
        <v>1774</v>
      </c>
      <c r="L211" s="124">
        <v>2</v>
      </c>
      <c r="M211" s="125" t="s">
        <v>1706</v>
      </c>
      <c r="N211" s="106" t="str">
        <f t="shared" si="8"/>
        <v>42</v>
      </c>
      <c r="O211" s="107"/>
      <c r="P211" s="108" t="s">
        <v>2162</v>
      </c>
      <c r="Q211" s="107"/>
      <c r="R211" s="115" t="s">
        <v>1710</v>
      </c>
      <c r="S211" s="92" t="s">
        <v>1588</v>
      </c>
      <c r="T211" s="110"/>
      <c r="U211" s="94" t="s">
        <v>1710</v>
      </c>
      <c r="V211" s="107"/>
      <c r="W211" s="111">
        <v>7600091</v>
      </c>
      <c r="X211" s="115" t="s">
        <v>1710</v>
      </c>
      <c r="Z211" s="155"/>
      <c r="AE211" s="88" t="s">
        <v>1778</v>
      </c>
      <c r="AF211" s="88" t="s">
        <v>1779</v>
      </c>
    </row>
    <row r="212" spans="1:52" ht="17.45" customHeight="1">
      <c r="B212" s="96" t="e">
        <f t="shared" si="9"/>
        <v>#REF!</v>
      </c>
      <c r="C212" s="148">
        <v>43172</v>
      </c>
      <c r="D212" s="98" t="s">
        <v>2177</v>
      </c>
      <c r="E212" s="118">
        <v>7600989</v>
      </c>
      <c r="F212" s="164" t="s">
        <v>2176</v>
      </c>
      <c r="G212" s="165" t="s">
        <v>779</v>
      </c>
      <c r="H212" s="171" t="s">
        <v>2167</v>
      </c>
      <c r="I212" s="98" t="s">
        <v>2177</v>
      </c>
      <c r="J212" s="181">
        <v>3</v>
      </c>
      <c r="K212" s="131" t="s">
        <v>1802</v>
      </c>
      <c r="L212" s="124">
        <v>2</v>
      </c>
      <c r="M212" s="125" t="s">
        <v>1668</v>
      </c>
      <c r="N212" s="106" t="str">
        <f t="shared" si="8"/>
        <v>32</v>
      </c>
      <c r="O212" s="107"/>
      <c r="P212" s="108" t="s">
        <v>2177</v>
      </c>
      <c r="Q212" s="107"/>
      <c r="R212" s="115" t="s">
        <v>1692</v>
      </c>
      <c r="S212" s="92" t="s">
        <v>1577</v>
      </c>
      <c r="T212" s="110"/>
      <c r="U212" s="94" t="s">
        <v>1692</v>
      </c>
      <c r="V212" s="107"/>
      <c r="W212" s="111">
        <v>7600989</v>
      </c>
      <c r="X212" s="115" t="s">
        <v>1692</v>
      </c>
      <c r="Z212" s="155"/>
      <c r="AE212" s="88" t="s">
        <v>1778</v>
      </c>
      <c r="AF212" s="88" t="s">
        <v>1779</v>
      </c>
    </row>
    <row r="213" spans="1:52" ht="17.45" customHeight="1">
      <c r="B213" s="96" t="e">
        <f t="shared" si="9"/>
        <v>#REF!</v>
      </c>
      <c r="C213" s="148">
        <v>42297</v>
      </c>
      <c r="D213" s="98" t="s">
        <v>2181</v>
      </c>
      <c r="E213" s="98">
        <v>7600861</v>
      </c>
      <c r="F213" s="113" t="s">
        <v>2178</v>
      </c>
      <c r="G213" s="165" t="s">
        <v>863</v>
      </c>
      <c r="H213" s="171" t="s">
        <v>2169</v>
      </c>
      <c r="I213" s="98" t="s">
        <v>2181</v>
      </c>
      <c r="J213" s="172">
        <v>4</v>
      </c>
      <c r="K213" s="130" t="s">
        <v>1774</v>
      </c>
      <c r="L213" s="124">
        <v>1</v>
      </c>
      <c r="M213" s="125" t="s">
        <v>1699</v>
      </c>
      <c r="N213" s="106" t="str">
        <f t="shared" si="8"/>
        <v>41</v>
      </c>
      <c r="O213" s="107"/>
      <c r="P213" s="108" t="s">
        <v>2179</v>
      </c>
      <c r="Q213" s="107"/>
      <c r="R213" s="115" t="s">
        <v>1704</v>
      </c>
      <c r="S213" s="92" t="s">
        <v>1587</v>
      </c>
      <c r="T213" s="110"/>
      <c r="U213" s="94" t="s">
        <v>1704</v>
      </c>
      <c r="V213" s="107"/>
      <c r="W213" s="111">
        <v>7600393</v>
      </c>
      <c r="X213" s="115" t="s">
        <v>1704</v>
      </c>
      <c r="Z213" s="155"/>
      <c r="AE213" s="88" t="s">
        <v>1778</v>
      </c>
      <c r="AF213" s="88" t="s">
        <v>1779</v>
      </c>
    </row>
    <row r="214" spans="1:52" ht="17.45" customHeight="1">
      <c r="B214" s="96" t="e">
        <f t="shared" si="9"/>
        <v>#REF!</v>
      </c>
      <c r="C214" s="148">
        <v>38492</v>
      </c>
      <c r="D214" s="98" t="s">
        <v>2179</v>
      </c>
      <c r="E214" s="118">
        <v>7600393</v>
      </c>
      <c r="F214" s="164" t="s">
        <v>2178</v>
      </c>
      <c r="G214" s="165" t="s">
        <v>868</v>
      </c>
      <c r="H214" s="171" t="s">
        <v>2169</v>
      </c>
      <c r="I214" s="98" t="s">
        <v>2179</v>
      </c>
      <c r="J214" s="181">
        <v>4</v>
      </c>
      <c r="K214" s="131" t="s">
        <v>1774</v>
      </c>
      <c r="L214" s="124">
        <v>1</v>
      </c>
      <c r="M214" s="125" t="s">
        <v>1699</v>
      </c>
      <c r="N214" s="106" t="str">
        <f t="shared" si="8"/>
        <v>41</v>
      </c>
      <c r="O214" s="107"/>
      <c r="P214" s="108" t="s">
        <v>2179</v>
      </c>
      <c r="Q214" s="107"/>
      <c r="R214" s="115" t="s">
        <v>1704</v>
      </c>
      <c r="S214" s="92" t="s">
        <v>1587</v>
      </c>
      <c r="T214" s="110"/>
      <c r="U214" s="94" t="s">
        <v>1704</v>
      </c>
      <c r="V214" s="107"/>
      <c r="W214" s="111">
        <v>7600393</v>
      </c>
      <c r="X214" s="115" t="s">
        <v>1704</v>
      </c>
      <c r="AE214" s="88" t="s">
        <v>1778</v>
      </c>
      <c r="AF214" s="88" t="s">
        <v>1779</v>
      </c>
    </row>
    <row r="215" spans="1:52" ht="17.45" customHeight="1">
      <c r="B215" s="96" t="e">
        <f t="shared" si="9"/>
        <v>#REF!</v>
      </c>
      <c r="C215" s="148">
        <v>41273</v>
      </c>
      <c r="D215" s="98" t="s">
        <v>2186</v>
      </c>
      <c r="E215" s="118">
        <v>7601168</v>
      </c>
      <c r="F215" s="164" t="s">
        <v>2182</v>
      </c>
      <c r="G215" s="165" t="s">
        <v>795</v>
      </c>
      <c r="H215" s="171" t="s">
        <v>2173</v>
      </c>
      <c r="I215" s="98" t="s">
        <v>2186</v>
      </c>
      <c r="J215" s="172">
        <v>3</v>
      </c>
      <c r="K215" s="130" t="s">
        <v>1802</v>
      </c>
      <c r="L215" s="124">
        <v>7</v>
      </c>
      <c r="M215" s="125" t="s">
        <v>1694</v>
      </c>
      <c r="N215" s="106" t="str">
        <f t="shared" si="8"/>
        <v>37</v>
      </c>
      <c r="O215" s="107"/>
      <c r="P215" s="114" t="s">
        <v>2183</v>
      </c>
      <c r="Q215" s="107"/>
      <c r="R215" s="115" t="s">
        <v>1696</v>
      </c>
      <c r="S215" s="92" t="s">
        <v>1577</v>
      </c>
      <c r="T215" s="110"/>
      <c r="U215" s="94" t="s">
        <v>1696</v>
      </c>
      <c r="V215" s="107"/>
      <c r="W215" s="117">
        <v>7601167</v>
      </c>
      <c r="X215" s="115" t="s">
        <v>1696</v>
      </c>
      <c r="AE215" s="88" t="s">
        <v>1778</v>
      </c>
      <c r="AF215" s="88" t="s">
        <v>1779</v>
      </c>
    </row>
    <row r="216" spans="1:52" ht="17.45" customHeight="1">
      <c r="B216" s="96" t="e">
        <f t="shared" si="9"/>
        <v>#REF!</v>
      </c>
      <c r="C216" s="112">
        <v>37271</v>
      </c>
      <c r="D216" s="98" t="s">
        <v>2184</v>
      </c>
      <c r="E216" s="98">
        <v>7601167</v>
      </c>
      <c r="F216" s="113" t="s">
        <v>2182</v>
      </c>
      <c r="G216" s="100" t="s">
        <v>802</v>
      </c>
      <c r="H216" s="101" t="s">
        <v>2173</v>
      </c>
      <c r="I216" s="98" t="s">
        <v>2184</v>
      </c>
      <c r="J216" s="126">
        <v>3</v>
      </c>
      <c r="K216" s="124" t="s">
        <v>1802</v>
      </c>
      <c r="L216" s="124">
        <v>7</v>
      </c>
      <c r="M216" s="125" t="s">
        <v>1694</v>
      </c>
      <c r="N216" s="106" t="str">
        <f t="shared" si="8"/>
        <v>37</v>
      </c>
      <c r="O216" s="107"/>
      <c r="P216" s="114" t="s">
        <v>2183</v>
      </c>
      <c r="Q216" s="107"/>
      <c r="R216" s="115" t="s">
        <v>1696</v>
      </c>
      <c r="S216" s="92" t="s">
        <v>1577</v>
      </c>
      <c r="T216" s="110"/>
      <c r="U216" s="94" t="s">
        <v>1696</v>
      </c>
      <c r="V216" s="107"/>
      <c r="W216" s="117">
        <v>7601167</v>
      </c>
      <c r="X216" s="115" t="s">
        <v>1696</v>
      </c>
      <c r="AE216" s="88" t="s">
        <v>1778</v>
      </c>
      <c r="AF216" s="88" t="s">
        <v>1779</v>
      </c>
    </row>
    <row r="217" spans="1:52" ht="17.45" customHeight="1">
      <c r="B217" s="96" t="e">
        <f t="shared" si="9"/>
        <v>#REF!</v>
      </c>
      <c r="C217" s="148">
        <v>44362</v>
      </c>
      <c r="D217" s="98" t="s">
        <v>2183</v>
      </c>
      <c r="E217" s="118">
        <v>7601160</v>
      </c>
      <c r="F217" s="164" t="s">
        <v>2182</v>
      </c>
      <c r="G217" s="165" t="s">
        <v>784</v>
      </c>
      <c r="H217" s="171" t="s">
        <v>2173</v>
      </c>
      <c r="I217" s="98" t="s">
        <v>2183</v>
      </c>
      <c r="J217" s="172">
        <v>3</v>
      </c>
      <c r="K217" s="130" t="s">
        <v>1802</v>
      </c>
      <c r="L217" s="124">
        <v>2</v>
      </c>
      <c r="M217" s="125" t="s">
        <v>1668</v>
      </c>
      <c r="N217" s="106" t="str">
        <f t="shared" si="8"/>
        <v>32</v>
      </c>
      <c r="O217" s="107"/>
      <c r="P217" s="174" t="s">
        <v>2183</v>
      </c>
      <c r="Q217" s="107"/>
      <c r="R217" s="115" t="s">
        <v>1693</v>
      </c>
      <c r="S217" s="92" t="s">
        <v>1577</v>
      </c>
      <c r="T217" s="110"/>
      <c r="U217" s="94" t="s">
        <v>1693</v>
      </c>
      <c r="V217" s="107"/>
      <c r="W217" s="214">
        <v>7601160</v>
      </c>
      <c r="X217" s="115" t="s">
        <v>1693</v>
      </c>
      <c r="AE217" s="88" t="s">
        <v>1778</v>
      </c>
      <c r="AF217" s="88" t="s">
        <v>1779</v>
      </c>
    </row>
    <row r="218" spans="1:52" ht="17.45" customHeight="1">
      <c r="B218" s="96" t="e">
        <f t="shared" si="9"/>
        <v>#REF!</v>
      </c>
      <c r="C218" s="148">
        <v>45442</v>
      </c>
      <c r="D218" s="98" t="s">
        <v>2188</v>
      </c>
      <c r="E218" s="118">
        <v>7601240</v>
      </c>
      <c r="F218" s="164" t="s">
        <v>2182</v>
      </c>
      <c r="G218" s="165" t="s">
        <v>791</v>
      </c>
      <c r="H218" s="171" t="s">
        <v>2173</v>
      </c>
      <c r="I218" s="98" t="s">
        <v>2188</v>
      </c>
      <c r="J218" s="172">
        <v>3</v>
      </c>
      <c r="K218" s="130" t="s">
        <v>1802</v>
      </c>
      <c r="L218" s="124">
        <v>2</v>
      </c>
      <c r="M218" s="125" t="s">
        <v>1668</v>
      </c>
      <c r="N218" s="106" t="str">
        <f t="shared" si="8"/>
        <v>32</v>
      </c>
      <c r="O218" s="107"/>
      <c r="P218" s="174" t="s">
        <v>2183</v>
      </c>
      <c r="Q218" s="107"/>
      <c r="R218" s="115" t="s">
        <v>1693</v>
      </c>
      <c r="S218" s="92" t="s">
        <v>1577</v>
      </c>
      <c r="T218" s="110"/>
      <c r="U218" s="94" t="s">
        <v>1693</v>
      </c>
      <c r="V218" s="107"/>
      <c r="W218" s="214">
        <v>7601160</v>
      </c>
      <c r="X218" s="115" t="s">
        <v>1693</v>
      </c>
      <c r="AE218" s="88" t="s">
        <v>1778</v>
      </c>
      <c r="AF218" s="88" t="s">
        <v>1779</v>
      </c>
    </row>
    <row r="219" spans="1:52" ht="17.45" customHeight="1">
      <c r="B219" s="96" t="e">
        <f t="shared" si="9"/>
        <v>#REF!</v>
      </c>
      <c r="C219" s="146">
        <v>41638</v>
      </c>
      <c r="D219" s="98" t="s">
        <v>2191</v>
      </c>
      <c r="E219" s="118">
        <v>7600760</v>
      </c>
      <c r="F219" s="168" t="s">
        <v>2189</v>
      </c>
      <c r="G219" s="169" t="s">
        <v>870</v>
      </c>
      <c r="H219" s="101" t="s">
        <v>2180</v>
      </c>
      <c r="I219" s="98" t="s">
        <v>2191</v>
      </c>
      <c r="J219" s="126">
        <v>4</v>
      </c>
      <c r="K219" s="124" t="s">
        <v>1774</v>
      </c>
      <c r="L219" s="124">
        <v>1</v>
      </c>
      <c r="M219" s="125" t="s">
        <v>1699</v>
      </c>
      <c r="N219" s="106" t="str">
        <f t="shared" si="8"/>
        <v>41</v>
      </c>
      <c r="O219" s="107"/>
      <c r="P219" s="108" t="s">
        <v>2190</v>
      </c>
      <c r="Q219" s="107"/>
      <c r="R219" s="109" t="s">
        <v>1705</v>
      </c>
      <c r="S219" s="92" t="s">
        <v>1587</v>
      </c>
      <c r="T219" s="110"/>
      <c r="U219" s="94" t="s">
        <v>1705</v>
      </c>
      <c r="V219" s="107"/>
      <c r="W219" s="111">
        <v>7600757</v>
      </c>
      <c r="X219" s="109" t="s">
        <v>1705</v>
      </c>
      <c r="Z219" s="155"/>
      <c r="AE219" s="88" t="s">
        <v>1778</v>
      </c>
      <c r="AF219" s="88" t="s">
        <v>1779</v>
      </c>
    </row>
    <row r="220" spans="1:52" s="86" customFormat="1" ht="17.45" customHeight="1">
      <c r="A220" s="56"/>
      <c r="B220" s="96" t="e">
        <f t="shared" si="9"/>
        <v>#REF!</v>
      </c>
      <c r="C220" s="146">
        <v>41583</v>
      </c>
      <c r="D220" s="98" t="s">
        <v>2190</v>
      </c>
      <c r="E220" s="118">
        <v>7600757</v>
      </c>
      <c r="F220" s="168" t="s">
        <v>2189</v>
      </c>
      <c r="G220" s="169" t="s">
        <v>876</v>
      </c>
      <c r="H220" s="171" t="s">
        <v>2180</v>
      </c>
      <c r="I220" s="98" t="s">
        <v>2190</v>
      </c>
      <c r="J220" s="126">
        <v>4</v>
      </c>
      <c r="K220" s="124" t="s">
        <v>1774</v>
      </c>
      <c r="L220" s="124">
        <v>1</v>
      </c>
      <c r="M220" s="125" t="s">
        <v>1699</v>
      </c>
      <c r="N220" s="106" t="str">
        <f t="shared" si="8"/>
        <v>41</v>
      </c>
      <c r="O220" s="107"/>
      <c r="P220" s="108" t="s">
        <v>2190</v>
      </c>
      <c r="Q220" s="107"/>
      <c r="R220" s="109" t="s">
        <v>1705</v>
      </c>
      <c r="S220" s="92" t="s">
        <v>1587</v>
      </c>
      <c r="T220" s="110"/>
      <c r="U220" s="94" t="s">
        <v>1705</v>
      </c>
      <c r="V220" s="107"/>
      <c r="W220" s="111">
        <v>7600757</v>
      </c>
      <c r="X220" s="109" t="s">
        <v>1705</v>
      </c>
      <c r="Y220" s="74"/>
      <c r="Z220" s="155"/>
      <c r="AA220" s="129"/>
      <c r="AB220" s="74"/>
      <c r="AC220" s="74"/>
      <c r="AD220" s="74"/>
      <c r="AE220" s="88" t="s">
        <v>1778</v>
      </c>
      <c r="AF220" s="88" t="s">
        <v>1779</v>
      </c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</row>
    <row r="221" spans="1:52" s="86" customFormat="1" ht="17.45" customHeight="1">
      <c r="A221" s="56"/>
      <c r="B221" s="96" t="e">
        <f t="shared" si="9"/>
        <v>#REF!</v>
      </c>
      <c r="C221" s="148">
        <v>39674</v>
      </c>
      <c r="D221" s="98" t="s">
        <v>2195</v>
      </c>
      <c r="E221" s="118">
        <v>7601061</v>
      </c>
      <c r="F221" s="168" t="s">
        <v>2193</v>
      </c>
      <c r="G221" s="169" t="s">
        <v>903</v>
      </c>
      <c r="H221" s="171" t="s">
        <v>2185</v>
      </c>
      <c r="I221" s="98" t="s">
        <v>2195</v>
      </c>
      <c r="J221" s="102">
        <v>4</v>
      </c>
      <c r="K221" s="103" t="s">
        <v>1774</v>
      </c>
      <c r="L221" s="124">
        <v>2</v>
      </c>
      <c r="M221" s="125" t="s">
        <v>1706</v>
      </c>
      <c r="N221" s="106" t="str">
        <f t="shared" si="8"/>
        <v>42</v>
      </c>
      <c r="O221" s="107"/>
      <c r="P221" s="108" t="s">
        <v>2195</v>
      </c>
      <c r="Q221" s="107"/>
      <c r="R221" s="109" t="s">
        <v>1711</v>
      </c>
      <c r="S221" s="92" t="s">
        <v>1588</v>
      </c>
      <c r="T221" s="110"/>
      <c r="U221" s="94" t="s">
        <v>1711</v>
      </c>
      <c r="V221" s="107"/>
      <c r="W221" s="111">
        <v>7601061</v>
      </c>
      <c r="X221" s="109" t="s">
        <v>1711</v>
      </c>
      <c r="Y221" s="74"/>
      <c r="Z221" s="155"/>
      <c r="AA221" s="129"/>
      <c r="AB221" s="74"/>
      <c r="AC221" s="74"/>
      <c r="AD221" s="74"/>
      <c r="AE221" s="88" t="s">
        <v>1778</v>
      </c>
      <c r="AF221" s="88" t="s">
        <v>1779</v>
      </c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</row>
    <row r="222" spans="1:52" s="86" customFormat="1" ht="17.45" customHeight="1">
      <c r="A222" s="56"/>
      <c r="B222" s="96" t="e">
        <f t="shared" si="9"/>
        <v>#REF!</v>
      </c>
      <c r="C222" s="183">
        <v>40658</v>
      </c>
      <c r="D222" s="184" t="s">
        <v>2207</v>
      </c>
      <c r="E222" s="118">
        <v>7600567</v>
      </c>
      <c r="F222" s="168" t="s">
        <v>2205</v>
      </c>
      <c r="G222" s="169" t="s">
        <v>466</v>
      </c>
      <c r="H222" s="171" t="s">
        <v>2187</v>
      </c>
      <c r="I222" s="184" t="s">
        <v>2207</v>
      </c>
      <c r="J222" s="126">
        <v>2</v>
      </c>
      <c r="K222" s="124" t="s">
        <v>1784</v>
      </c>
      <c r="L222" s="124">
        <v>6</v>
      </c>
      <c r="M222" s="125" t="s">
        <v>1652</v>
      </c>
      <c r="N222" s="106" t="str">
        <f t="shared" si="8"/>
        <v>26</v>
      </c>
      <c r="O222" s="107"/>
      <c r="P222" s="108" t="s">
        <v>2206</v>
      </c>
      <c r="Q222" s="107"/>
      <c r="R222" s="109" t="s">
        <v>1656</v>
      </c>
      <c r="S222" s="92" t="s">
        <v>1582</v>
      </c>
      <c r="T222" s="110"/>
      <c r="U222" s="94" t="s">
        <v>1656</v>
      </c>
      <c r="V222" s="107"/>
      <c r="W222" s="111">
        <v>7600519</v>
      </c>
      <c r="X222" s="109" t="s">
        <v>1656</v>
      </c>
      <c r="Y222" s="74"/>
      <c r="Z222" s="155"/>
      <c r="AA222" s="129"/>
      <c r="AB222" s="74"/>
      <c r="AC222" s="74"/>
      <c r="AD222" s="74"/>
      <c r="AE222" s="88" t="s">
        <v>1778</v>
      </c>
      <c r="AF222" s="88" t="s">
        <v>1779</v>
      </c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</row>
    <row r="223" spans="1:52" s="86" customFormat="1" ht="17.45" customHeight="1">
      <c r="A223" s="56"/>
      <c r="B223" s="96" t="e">
        <f t="shared" si="9"/>
        <v>#REF!</v>
      </c>
      <c r="C223" s="185">
        <v>40905</v>
      </c>
      <c r="D223" s="186" t="s">
        <v>2210</v>
      </c>
      <c r="E223" s="118">
        <v>7600614</v>
      </c>
      <c r="F223" s="187" t="s">
        <v>2205</v>
      </c>
      <c r="G223" s="169" t="s">
        <v>471</v>
      </c>
      <c r="H223" s="188" t="s">
        <v>2187</v>
      </c>
      <c r="I223" s="186" t="s">
        <v>2210</v>
      </c>
      <c r="J223" s="126">
        <v>2</v>
      </c>
      <c r="K223" s="124" t="s">
        <v>1784</v>
      </c>
      <c r="L223" s="124">
        <v>6</v>
      </c>
      <c r="M223" s="125" t="s">
        <v>1652</v>
      </c>
      <c r="N223" s="106" t="str">
        <f t="shared" si="8"/>
        <v>26</v>
      </c>
      <c r="O223" s="107"/>
      <c r="P223" s="108" t="s">
        <v>2206</v>
      </c>
      <c r="Q223" s="107"/>
      <c r="R223" s="109" t="s">
        <v>1656</v>
      </c>
      <c r="S223" s="92" t="s">
        <v>1582</v>
      </c>
      <c r="T223" s="110"/>
      <c r="U223" s="94" t="s">
        <v>1656</v>
      </c>
      <c r="V223" s="107"/>
      <c r="W223" s="111">
        <v>7600519</v>
      </c>
      <c r="X223" s="109" t="s">
        <v>1656</v>
      </c>
      <c r="Y223" s="74"/>
      <c r="Z223" s="155"/>
      <c r="AA223" s="129"/>
      <c r="AB223" s="74"/>
      <c r="AC223" s="74"/>
      <c r="AD223" s="74"/>
      <c r="AE223" s="88" t="s">
        <v>1778</v>
      </c>
      <c r="AF223" s="88" t="s">
        <v>1779</v>
      </c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</row>
    <row r="224" spans="1:52" s="86" customFormat="1" ht="17.45" customHeight="1">
      <c r="A224" s="56"/>
      <c r="B224" s="96" t="e">
        <f t="shared" si="9"/>
        <v>#REF!</v>
      </c>
      <c r="C224" s="146">
        <v>40189</v>
      </c>
      <c r="D224" s="98" t="s">
        <v>2206</v>
      </c>
      <c r="E224" s="118">
        <v>7600519</v>
      </c>
      <c r="F224" s="168" t="s">
        <v>2205</v>
      </c>
      <c r="G224" s="169" t="s">
        <v>425</v>
      </c>
      <c r="H224" s="170" t="s">
        <v>2187</v>
      </c>
      <c r="I224" s="98" t="s">
        <v>2206</v>
      </c>
      <c r="J224" s="234">
        <v>2</v>
      </c>
      <c r="K224" s="130" t="s">
        <v>1784</v>
      </c>
      <c r="L224" s="124">
        <v>6</v>
      </c>
      <c r="M224" s="125" t="s">
        <v>1652</v>
      </c>
      <c r="N224" s="106" t="str">
        <f t="shared" si="8"/>
        <v>26</v>
      </c>
      <c r="O224" s="107"/>
      <c r="P224" s="108" t="s">
        <v>2206</v>
      </c>
      <c r="Q224" s="107"/>
      <c r="R224" s="109" t="s">
        <v>1656</v>
      </c>
      <c r="S224" s="92" t="s">
        <v>1582</v>
      </c>
      <c r="T224" s="110"/>
      <c r="U224" s="94" t="s">
        <v>1656</v>
      </c>
      <c r="V224" s="107"/>
      <c r="W224" s="111">
        <v>7600519</v>
      </c>
      <c r="X224" s="109" t="s">
        <v>1656</v>
      </c>
      <c r="Y224" s="74"/>
      <c r="Z224" s="155"/>
      <c r="AA224" s="129"/>
      <c r="AB224" s="74"/>
      <c r="AC224" s="74"/>
      <c r="AD224" s="74"/>
      <c r="AE224" s="88" t="s">
        <v>1778</v>
      </c>
      <c r="AF224" s="88" t="s">
        <v>1779</v>
      </c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</row>
    <row r="225" spans="2:32" ht="17.45" customHeight="1">
      <c r="B225" s="96" t="e">
        <f t="shared" si="9"/>
        <v>#REF!</v>
      </c>
      <c r="C225" s="148">
        <v>44182</v>
      </c>
      <c r="D225" s="98" t="s">
        <v>2304</v>
      </c>
      <c r="E225" s="118">
        <v>7601125</v>
      </c>
      <c r="F225" s="164" t="s">
        <v>2305</v>
      </c>
      <c r="G225" s="165" t="s">
        <v>371</v>
      </c>
      <c r="H225" s="171" t="s">
        <v>2306</v>
      </c>
      <c r="I225" s="98" t="s">
        <v>2304</v>
      </c>
      <c r="J225" s="172">
        <v>2</v>
      </c>
      <c r="K225" s="130" t="s">
        <v>1784</v>
      </c>
      <c r="L225" s="124">
        <v>5</v>
      </c>
      <c r="M225" s="125" t="s">
        <v>1648</v>
      </c>
      <c r="N225" s="106" t="str">
        <f t="shared" si="8"/>
        <v>25</v>
      </c>
      <c r="O225" s="107"/>
      <c r="P225" s="108" t="s">
        <v>2304</v>
      </c>
      <c r="Q225" s="107"/>
      <c r="R225" s="115" t="s">
        <v>1651</v>
      </c>
      <c r="S225" s="92" t="s">
        <v>1577</v>
      </c>
      <c r="T225" s="110"/>
      <c r="U225" s="94" t="s">
        <v>1651</v>
      </c>
      <c r="V225" s="107"/>
      <c r="W225" s="111">
        <v>7601125</v>
      </c>
      <c r="X225" s="115" t="s">
        <v>1651</v>
      </c>
      <c r="Z225" s="155"/>
      <c r="AE225" s="88" t="s">
        <v>1778</v>
      </c>
      <c r="AF225" s="88" t="s">
        <v>1779</v>
      </c>
    </row>
    <row r="226" spans="2:32" ht="17.45" customHeight="1">
      <c r="B226" s="96" t="e">
        <f t="shared" si="9"/>
        <v>#REF!</v>
      </c>
      <c r="C226" s="148">
        <v>35770</v>
      </c>
      <c r="D226" s="98" t="s">
        <v>1841</v>
      </c>
      <c r="E226" s="98">
        <v>7600922</v>
      </c>
      <c r="F226" s="113" t="s">
        <v>1835</v>
      </c>
      <c r="G226" s="165" t="s">
        <v>430</v>
      </c>
      <c r="H226" s="101" t="s">
        <v>2197</v>
      </c>
      <c r="I226" s="98" t="s">
        <v>1841</v>
      </c>
      <c r="J226" s="181">
        <v>2</v>
      </c>
      <c r="K226" s="131" t="s">
        <v>1784</v>
      </c>
      <c r="L226" s="124">
        <v>7</v>
      </c>
      <c r="M226" s="125" t="s">
        <v>1657</v>
      </c>
      <c r="N226" s="106" t="str">
        <f t="shared" si="8"/>
        <v>27</v>
      </c>
      <c r="O226" s="107"/>
      <c r="P226" s="114" t="s">
        <v>1836</v>
      </c>
      <c r="Q226" s="107"/>
      <c r="R226" s="115" t="s">
        <v>1659</v>
      </c>
      <c r="S226" s="92" t="s">
        <v>1577</v>
      </c>
      <c r="T226" s="110"/>
      <c r="U226" s="94" t="s">
        <v>1659</v>
      </c>
      <c r="V226" s="107"/>
      <c r="W226" s="117">
        <v>7600549</v>
      </c>
      <c r="X226" s="115" t="s">
        <v>1659</v>
      </c>
      <c r="Z226" s="110" t="s">
        <v>1614</v>
      </c>
      <c r="AE226" s="88" t="s">
        <v>1778</v>
      </c>
      <c r="AF226" s="88" t="s">
        <v>1779</v>
      </c>
    </row>
    <row r="227" spans="2:32" ht="17.45" customHeight="1">
      <c r="B227" s="96" t="e">
        <f t="shared" si="9"/>
        <v>#REF!</v>
      </c>
      <c r="C227" s="148">
        <v>35934</v>
      </c>
      <c r="D227" s="98" t="s">
        <v>1844</v>
      </c>
      <c r="E227" s="118">
        <v>7600929</v>
      </c>
      <c r="F227" s="164" t="s">
        <v>1835</v>
      </c>
      <c r="G227" s="165" t="s">
        <v>433</v>
      </c>
      <c r="H227" s="171" t="s">
        <v>2197</v>
      </c>
      <c r="I227" s="98" t="s">
        <v>1844</v>
      </c>
      <c r="J227" s="181">
        <v>2</v>
      </c>
      <c r="K227" s="131" t="s">
        <v>1784</v>
      </c>
      <c r="L227" s="124">
        <v>7</v>
      </c>
      <c r="M227" s="125" t="s">
        <v>1657</v>
      </c>
      <c r="N227" s="106" t="str">
        <f t="shared" si="8"/>
        <v>27</v>
      </c>
      <c r="O227" s="107"/>
      <c r="P227" s="108" t="s">
        <v>1836</v>
      </c>
      <c r="Q227" s="107"/>
      <c r="R227" s="115" t="s">
        <v>1659</v>
      </c>
      <c r="S227" s="92" t="s">
        <v>1577</v>
      </c>
      <c r="T227" s="110"/>
      <c r="U227" s="94" t="s">
        <v>1659</v>
      </c>
      <c r="V227" s="107"/>
      <c r="W227" s="117">
        <v>7600549</v>
      </c>
      <c r="X227" s="115" t="s">
        <v>1659</v>
      </c>
      <c r="Z227" s="110" t="s">
        <v>1741</v>
      </c>
      <c r="AE227" s="88" t="s">
        <v>1778</v>
      </c>
      <c r="AF227" s="88" t="s">
        <v>1779</v>
      </c>
    </row>
    <row r="228" spans="2:32" ht="17.45" customHeight="1">
      <c r="B228" s="96" t="e">
        <f t="shared" si="9"/>
        <v>#REF!</v>
      </c>
      <c r="C228" s="148">
        <v>40455</v>
      </c>
      <c r="D228" s="98" t="s">
        <v>1836</v>
      </c>
      <c r="E228" s="118">
        <v>7600549</v>
      </c>
      <c r="F228" s="164" t="s">
        <v>1835</v>
      </c>
      <c r="G228" s="165" t="s">
        <v>410</v>
      </c>
      <c r="H228" s="171" t="s">
        <v>2194</v>
      </c>
      <c r="I228" s="98" t="s">
        <v>1836</v>
      </c>
      <c r="J228" s="181">
        <v>2</v>
      </c>
      <c r="K228" s="131" t="s">
        <v>1784</v>
      </c>
      <c r="L228" s="124">
        <v>7</v>
      </c>
      <c r="M228" s="125" t="s">
        <v>1657</v>
      </c>
      <c r="N228" s="106" t="str">
        <f t="shared" si="8"/>
        <v>27</v>
      </c>
      <c r="O228" s="107"/>
      <c r="P228" s="108" t="s">
        <v>1836</v>
      </c>
      <c r="Q228" s="107"/>
      <c r="R228" s="115" t="s">
        <v>1659</v>
      </c>
      <c r="S228" s="92" t="s">
        <v>1577</v>
      </c>
      <c r="T228" s="110"/>
      <c r="U228" s="94" t="s">
        <v>1659</v>
      </c>
      <c r="V228" s="107"/>
      <c r="W228" s="117">
        <v>7600549</v>
      </c>
      <c r="X228" s="115" t="s">
        <v>1659</v>
      </c>
      <c r="Z228" s="110" t="s">
        <v>1717</v>
      </c>
      <c r="AE228" s="88" t="s">
        <v>1778</v>
      </c>
      <c r="AF228" s="88" t="s">
        <v>1779</v>
      </c>
    </row>
    <row r="229" spans="2:32" ht="17.45" customHeight="1">
      <c r="B229" s="96" t="e">
        <f t="shared" si="9"/>
        <v>#REF!</v>
      </c>
      <c r="C229" s="148">
        <v>36648</v>
      </c>
      <c r="D229" s="98" t="s">
        <v>1842</v>
      </c>
      <c r="E229" s="118">
        <v>7600939</v>
      </c>
      <c r="F229" s="164" t="s">
        <v>1835</v>
      </c>
      <c r="G229" s="165" t="s">
        <v>435</v>
      </c>
      <c r="H229" s="171" t="s">
        <v>2197</v>
      </c>
      <c r="I229" s="98" t="s">
        <v>1842</v>
      </c>
      <c r="J229" s="181">
        <v>2</v>
      </c>
      <c r="K229" s="131" t="s">
        <v>1784</v>
      </c>
      <c r="L229" s="124">
        <v>7</v>
      </c>
      <c r="M229" s="125" t="s">
        <v>1657</v>
      </c>
      <c r="N229" s="106" t="str">
        <f t="shared" si="8"/>
        <v>27</v>
      </c>
      <c r="O229" s="107"/>
      <c r="P229" s="108" t="s">
        <v>1836</v>
      </c>
      <c r="Q229" s="107"/>
      <c r="R229" s="115" t="s">
        <v>1659</v>
      </c>
      <c r="S229" s="92" t="s">
        <v>1577</v>
      </c>
      <c r="T229" s="110"/>
      <c r="U229" s="94" t="s">
        <v>1659</v>
      </c>
      <c r="V229" s="107"/>
      <c r="W229" s="111">
        <v>7600549</v>
      </c>
      <c r="X229" s="115" t="s">
        <v>1659</v>
      </c>
      <c r="Z229" s="110" t="s">
        <v>1739</v>
      </c>
      <c r="AE229" s="88" t="s">
        <v>1778</v>
      </c>
      <c r="AF229" s="88" t="s">
        <v>1779</v>
      </c>
    </row>
    <row r="230" spans="2:32" ht="17.45" customHeight="1">
      <c r="B230" s="96" t="e">
        <f t="shared" si="9"/>
        <v>#REF!</v>
      </c>
      <c r="C230" s="193" t="s">
        <v>2192</v>
      </c>
      <c r="D230" s="98" t="s">
        <v>1840</v>
      </c>
      <c r="E230" s="98">
        <v>7600819</v>
      </c>
      <c r="F230" s="113" t="s">
        <v>1835</v>
      </c>
      <c r="G230" s="100" t="s">
        <v>416</v>
      </c>
      <c r="H230" s="101" t="s">
        <v>2194</v>
      </c>
      <c r="I230" s="98" t="s">
        <v>1840</v>
      </c>
      <c r="J230" s="102">
        <v>2</v>
      </c>
      <c r="K230" s="103" t="s">
        <v>1784</v>
      </c>
      <c r="L230" s="124">
        <v>7</v>
      </c>
      <c r="M230" s="125" t="s">
        <v>1657</v>
      </c>
      <c r="N230" s="106" t="str">
        <f t="shared" si="8"/>
        <v>27</v>
      </c>
      <c r="O230" s="107"/>
      <c r="P230" s="108" t="s">
        <v>1836</v>
      </c>
      <c r="Q230" s="107"/>
      <c r="R230" s="115" t="s">
        <v>1659</v>
      </c>
      <c r="S230" s="92" t="s">
        <v>1577</v>
      </c>
      <c r="T230" s="110"/>
      <c r="U230" s="94" t="s">
        <v>1659</v>
      </c>
      <c r="V230" s="107"/>
      <c r="W230" s="111">
        <v>7600549</v>
      </c>
      <c r="X230" s="115" t="s">
        <v>1659</v>
      </c>
      <c r="Z230" s="110" t="s">
        <v>1681</v>
      </c>
      <c r="AE230" s="88" t="s">
        <v>1778</v>
      </c>
      <c r="AF230" s="88" t="s">
        <v>1779</v>
      </c>
    </row>
    <row r="231" spans="2:32" ht="17.45" customHeight="1">
      <c r="B231" s="96" t="e">
        <f t="shared" si="9"/>
        <v>#REF!</v>
      </c>
      <c r="C231" s="148" t="s">
        <v>2203</v>
      </c>
      <c r="D231" s="98" t="s">
        <v>1838</v>
      </c>
      <c r="E231" s="118">
        <v>7600817</v>
      </c>
      <c r="F231" s="164" t="s">
        <v>1835</v>
      </c>
      <c r="G231" s="165" t="s">
        <v>419</v>
      </c>
      <c r="H231" s="171" t="s">
        <v>2194</v>
      </c>
      <c r="I231" s="98" t="s">
        <v>1838</v>
      </c>
      <c r="J231" s="181">
        <v>2</v>
      </c>
      <c r="K231" s="131" t="s">
        <v>1784</v>
      </c>
      <c r="L231" s="124">
        <v>7</v>
      </c>
      <c r="M231" s="125" t="s">
        <v>1657</v>
      </c>
      <c r="N231" s="106" t="str">
        <f t="shared" si="8"/>
        <v>27</v>
      </c>
      <c r="O231" s="107"/>
      <c r="P231" s="108" t="s">
        <v>1836</v>
      </c>
      <c r="Q231" s="107"/>
      <c r="R231" s="115" t="s">
        <v>1659</v>
      </c>
      <c r="S231" s="92" t="s">
        <v>1577</v>
      </c>
      <c r="T231" s="110"/>
      <c r="U231" s="94" t="s">
        <v>1659</v>
      </c>
      <c r="V231" s="107"/>
      <c r="W231" s="117">
        <v>7600549</v>
      </c>
      <c r="X231" s="115" t="s">
        <v>1659</v>
      </c>
      <c r="Z231" s="93" t="s">
        <v>1597</v>
      </c>
      <c r="AE231" s="88" t="s">
        <v>1778</v>
      </c>
      <c r="AF231" s="88" t="s">
        <v>1779</v>
      </c>
    </row>
    <row r="232" spans="2:32" ht="17.45" customHeight="1">
      <c r="B232" s="96" t="e">
        <f t="shared" si="9"/>
        <v>#REF!</v>
      </c>
      <c r="C232" s="148">
        <v>40999</v>
      </c>
      <c r="D232" s="98" t="s">
        <v>1837</v>
      </c>
      <c r="E232" s="118">
        <v>7600618</v>
      </c>
      <c r="F232" s="164" t="s">
        <v>1835</v>
      </c>
      <c r="G232" s="165" t="s">
        <v>422</v>
      </c>
      <c r="H232" s="171" t="s">
        <v>2194</v>
      </c>
      <c r="I232" s="98" t="s">
        <v>1837</v>
      </c>
      <c r="J232" s="181">
        <v>2</v>
      </c>
      <c r="K232" s="131" t="s">
        <v>1784</v>
      </c>
      <c r="L232" s="124">
        <v>7</v>
      </c>
      <c r="M232" s="125" t="s">
        <v>1657</v>
      </c>
      <c r="N232" s="106" t="str">
        <f t="shared" si="8"/>
        <v>27</v>
      </c>
      <c r="O232" s="107"/>
      <c r="P232" s="108" t="s">
        <v>1836</v>
      </c>
      <c r="Q232" s="107"/>
      <c r="R232" s="115" t="s">
        <v>1659</v>
      </c>
      <c r="S232" s="92" t="s">
        <v>1577</v>
      </c>
      <c r="T232" s="110"/>
      <c r="U232" s="94" t="s">
        <v>1659</v>
      </c>
      <c r="V232" s="107"/>
      <c r="W232" s="117">
        <v>7600549</v>
      </c>
      <c r="X232" s="115" t="s">
        <v>1659</v>
      </c>
      <c r="Z232" s="110" t="s">
        <v>1623</v>
      </c>
      <c r="AE232" s="88" t="s">
        <v>1778</v>
      </c>
      <c r="AF232" s="88" t="s">
        <v>1779</v>
      </c>
    </row>
    <row r="233" spans="2:32" ht="17.45" customHeight="1">
      <c r="B233" s="96" t="e">
        <f t="shared" si="9"/>
        <v>#REF!</v>
      </c>
      <c r="C233" s="148">
        <v>41351</v>
      </c>
      <c r="D233" s="98" t="s">
        <v>2293</v>
      </c>
      <c r="E233" s="118">
        <v>7600931</v>
      </c>
      <c r="F233" s="164" t="s">
        <v>1835</v>
      </c>
      <c r="G233" s="165" t="s">
        <v>438</v>
      </c>
      <c r="H233" s="171" t="s">
        <v>2194</v>
      </c>
      <c r="I233" s="98" t="s">
        <v>2293</v>
      </c>
      <c r="J233" s="271">
        <v>2</v>
      </c>
      <c r="K233" s="273" t="s">
        <v>1784</v>
      </c>
      <c r="L233" s="124">
        <v>7</v>
      </c>
      <c r="M233" s="125" t="s">
        <v>1657</v>
      </c>
      <c r="N233" s="106" t="str">
        <f t="shared" si="8"/>
        <v>27</v>
      </c>
      <c r="O233" s="107"/>
      <c r="P233" s="111" t="s">
        <v>1836</v>
      </c>
      <c r="Q233" s="107"/>
      <c r="R233" s="115" t="s">
        <v>1659</v>
      </c>
      <c r="S233" s="92" t="s">
        <v>1577</v>
      </c>
      <c r="T233" s="110"/>
      <c r="U233" s="94" t="s">
        <v>1659</v>
      </c>
      <c r="V233" s="107"/>
      <c r="W233" s="111">
        <v>7600549</v>
      </c>
      <c r="X233" s="115" t="s">
        <v>1659</v>
      </c>
      <c r="Z233" s="110" t="s">
        <v>2208</v>
      </c>
      <c r="AE233" s="88" t="s">
        <v>1778</v>
      </c>
      <c r="AF233" s="88" t="s">
        <v>1779</v>
      </c>
    </row>
    <row r="234" spans="2:32" ht="17.45" customHeight="1">
      <c r="B234" s="96" t="e">
        <f t="shared" si="9"/>
        <v>#REF!</v>
      </c>
      <c r="C234" s="112">
        <v>45077</v>
      </c>
      <c r="D234" s="98" t="s">
        <v>2214</v>
      </c>
      <c r="E234" s="98">
        <v>7601219</v>
      </c>
      <c r="F234" s="113" t="s">
        <v>2211</v>
      </c>
      <c r="G234" s="101" t="s">
        <v>2213</v>
      </c>
      <c r="H234" s="101" t="s">
        <v>2209</v>
      </c>
      <c r="I234" s="98" t="s">
        <v>2214</v>
      </c>
      <c r="J234" s="126">
        <v>2</v>
      </c>
      <c r="K234" s="124" t="s">
        <v>1784</v>
      </c>
      <c r="L234" s="124">
        <v>3</v>
      </c>
      <c r="M234" s="125" t="s">
        <v>1638</v>
      </c>
      <c r="N234" s="106" t="str">
        <f t="shared" si="8"/>
        <v>23</v>
      </c>
      <c r="O234" s="107"/>
      <c r="P234" s="114" t="s">
        <v>2212</v>
      </c>
      <c r="Q234" s="107"/>
      <c r="R234" s="115" t="s">
        <v>1643</v>
      </c>
      <c r="S234" s="92" t="s">
        <v>1579</v>
      </c>
      <c r="T234" s="110"/>
      <c r="U234" s="94" t="s">
        <v>1643</v>
      </c>
      <c r="V234" s="107"/>
      <c r="W234" s="117">
        <v>7600932</v>
      </c>
      <c r="X234" s="115" t="s">
        <v>1643</v>
      </c>
      <c r="Z234" s="155"/>
      <c r="AE234" s="88" t="s">
        <v>1778</v>
      </c>
      <c r="AF234" s="88" t="s">
        <v>1779</v>
      </c>
    </row>
    <row r="235" spans="2:32" ht="17.45" customHeight="1">
      <c r="B235" s="96" t="e">
        <f t="shared" si="9"/>
        <v>#REF!</v>
      </c>
      <c r="C235" s="148">
        <v>44356</v>
      </c>
      <c r="D235" s="98" t="s">
        <v>2216</v>
      </c>
      <c r="E235" s="118">
        <v>7601151</v>
      </c>
      <c r="F235" s="164" t="s">
        <v>2211</v>
      </c>
      <c r="G235" s="165" t="s">
        <v>487</v>
      </c>
      <c r="H235" s="171" t="s">
        <v>2209</v>
      </c>
      <c r="I235" s="98" t="s">
        <v>2216</v>
      </c>
      <c r="J235" s="172">
        <v>2</v>
      </c>
      <c r="K235" s="130" t="s">
        <v>1784</v>
      </c>
      <c r="L235" s="124">
        <v>3</v>
      </c>
      <c r="M235" s="125" t="s">
        <v>1638</v>
      </c>
      <c r="N235" s="106" t="str">
        <f t="shared" si="8"/>
        <v>23</v>
      </c>
      <c r="O235" s="107"/>
      <c r="P235" s="114" t="s">
        <v>2212</v>
      </c>
      <c r="Q235" s="107"/>
      <c r="R235" s="115" t="s">
        <v>1643</v>
      </c>
      <c r="S235" s="92" t="s">
        <v>1579</v>
      </c>
      <c r="T235" s="110"/>
      <c r="U235" s="94" t="s">
        <v>1643</v>
      </c>
      <c r="V235" s="107"/>
      <c r="W235" s="117">
        <v>7600932</v>
      </c>
      <c r="X235" s="115" t="s">
        <v>1643</v>
      </c>
      <c r="Z235" s="155"/>
      <c r="AE235" s="88" t="s">
        <v>1778</v>
      </c>
      <c r="AF235" s="88" t="s">
        <v>1779</v>
      </c>
    </row>
    <row r="236" spans="2:32" ht="17.45" customHeight="1">
      <c r="B236" s="96" t="e">
        <f t="shared" si="9"/>
        <v>#REF!</v>
      </c>
      <c r="C236" s="148">
        <v>42887</v>
      </c>
      <c r="D236" s="98" t="s">
        <v>2212</v>
      </c>
      <c r="E236" s="118">
        <v>7600932</v>
      </c>
      <c r="F236" s="164" t="s">
        <v>2211</v>
      </c>
      <c r="G236" s="165" t="s">
        <v>494</v>
      </c>
      <c r="H236" s="171" t="s">
        <v>2209</v>
      </c>
      <c r="I236" s="98" t="s">
        <v>2212</v>
      </c>
      <c r="J236" s="172">
        <v>2</v>
      </c>
      <c r="K236" s="130" t="s">
        <v>1784</v>
      </c>
      <c r="L236" s="124">
        <v>3</v>
      </c>
      <c r="M236" s="125" t="s">
        <v>1638</v>
      </c>
      <c r="N236" s="106" t="str">
        <f t="shared" si="8"/>
        <v>23</v>
      </c>
      <c r="O236" s="107"/>
      <c r="P236" s="108" t="s">
        <v>2212</v>
      </c>
      <c r="Q236" s="107"/>
      <c r="R236" s="115" t="s">
        <v>1643</v>
      </c>
      <c r="S236" s="92" t="s">
        <v>1579</v>
      </c>
      <c r="T236" s="110"/>
      <c r="U236" s="94" t="s">
        <v>1643</v>
      </c>
      <c r="V236" s="107"/>
      <c r="W236" s="111">
        <v>7600932</v>
      </c>
      <c r="X236" s="115" t="s">
        <v>1643</v>
      </c>
      <c r="Z236" s="155"/>
      <c r="AE236" s="88" t="s">
        <v>1778</v>
      </c>
      <c r="AF236" s="88" t="s">
        <v>1779</v>
      </c>
    </row>
    <row r="237" spans="2:32" ht="17.45" customHeight="1">
      <c r="B237" s="96" t="e">
        <f t="shared" si="9"/>
        <v>#REF!</v>
      </c>
      <c r="C237" s="148">
        <v>37153</v>
      </c>
      <c r="D237" s="98" t="s">
        <v>2221</v>
      </c>
      <c r="E237" s="118">
        <v>7600249</v>
      </c>
      <c r="F237" s="164" t="s">
        <v>2219</v>
      </c>
      <c r="G237" s="100" t="s">
        <v>640</v>
      </c>
      <c r="H237" s="171" t="s">
        <v>2215</v>
      </c>
      <c r="I237" s="98" t="s">
        <v>2221</v>
      </c>
      <c r="J237" s="181">
        <v>3</v>
      </c>
      <c r="K237" s="131" t="s">
        <v>1802</v>
      </c>
      <c r="L237" s="124">
        <v>4</v>
      </c>
      <c r="M237" s="125" t="s">
        <v>1682</v>
      </c>
      <c r="N237" s="106" t="str">
        <f t="shared" si="8"/>
        <v>34</v>
      </c>
      <c r="O237" s="107"/>
      <c r="P237" s="108" t="s">
        <v>2221</v>
      </c>
      <c r="Q237" s="107"/>
      <c r="R237" s="115" t="s">
        <v>1675</v>
      </c>
      <c r="S237" s="92" t="s">
        <v>1584</v>
      </c>
      <c r="T237" s="110"/>
      <c r="U237" s="94" t="s">
        <v>1675</v>
      </c>
      <c r="V237" s="107"/>
      <c r="W237" s="111">
        <v>7600249</v>
      </c>
      <c r="X237" s="115" t="s">
        <v>1675</v>
      </c>
      <c r="Z237" s="155"/>
      <c r="AE237" s="88" t="s">
        <v>1778</v>
      </c>
      <c r="AF237" s="88" t="s">
        <v>1779</v>
      </c>
    </row>
    <row r="238" spans="2:32" ht="17.45" customHeight="1">
      <c r="B238" s="96" t="e">
        <f t="shared" si="9"/>
        <v>#REF!</v>
      </c>
      <c r="C238" s="148">
        <v>40087</v>
      </c>
      <c r="D238" s="98" t="s">
        <v>2223</v>
      </c>
      <c r="E238" s="118">
        <v>7600520</v>
      </c>
      <c r="F238" s="164" t="s">
        <v>2219</v>
      </c>
      <c r="G238" s="165" t="s">
        <v>601</v>
      </c>
      <c r="H238" s="171" t="s">
        <v>2215</v>
      </c>
      <c r="I238" s="98" t="s">
        <v>2223</v>
      </c>
      <c r="J238" s="181">
        <v>3</v>
      </c>
      <c r="K238" s="131" t="s">
        <v>1802</v>
      </c>
      <c r="L238" s="124">
        <v>1</v>
      </c>
      <c r="M238" s="125" t="s">
        <v>1661</v>
      </c>
      <c r="N238" s="106" t="str">
        <f t="shared" si="8"/>
        <v>31</v>
      </c>
      <c r="O238" s="107"/>
      <c r="P238" s="108" t="s">
        <v>2221</v>
      </c>
      <c r="Q238" s="107"/>
      <c r="R238" s="115" t="s">
        <v>1666</v>
      </c>
      <c r="S238" s="92" t="s">
        <v>1663</v>
      </c>
      <c r="T238" s="110"/>
      <c r="U238" s="94" t="s">
        <v>1666</v>
      </c>
      <c r="V238" s="107"/>
      <c r="W238" s="111">
        <v>7600520</v>
      </c>
      <c r="X238" s="115" t="s">
        <v>1666</v>
      </c>
      <c r="Z238" s="155"/>
      <c r="AE238" s="88" t="s">
        <v>1778</v>
      </c>
      <c r="AF238" s="88" t="s">
        <v>1779</v>
      </c>
    </row>
    <row r="239" spans="2:32" ht="17.45" customHeight="1">
      <c r="B239" s="96" t="e">
        <f t="shared" si="9"/>
        <v>#REF!</v>
      </c>
      <c r="C239" s="146">
        <v>44148</v>
      </c>
      <c r="D239" s="98" t="s">
        <v>2225</v>
      </c>
      <c r="E239" s="118">
        <v>7601136</v>
      </c>
      <c r="F239" s="267" t="s">
        <v>2224</v>
      </c>
      <c r="G239" s="170" t="s">
        <v>1017</v>
      </c>
      <c r="H239" s="175" t="s">
        <v>2220</v>
      </c>
      <c r="I239" s="98" t="s">
        <v>2225</v>
      </c>
      <c r="J239" s="172">
        <v>4</v>
      </c>
      <c r="K239" s="130" t="s">
        <v>1774</v>
      </c>
      <c r="L239" s="124">
        <v>5</v>
      </c>
      <c r="M239" s="125" t="s">
        <v>1728</v>
      </c>
      <c r="N239" s="106" t="str">
        <f t="shared" si="8"/>
        <v>45</v>
      </c>
      <c r="O239" s="107"/>
      <c r="P239" s="108" t="s">
        <v>2225</v>
      </c>
      <c r="Q239" s="107"/>
      <c r="R239" s="115" t="s">
        <v>1733</v>
      </c>
      <c r="S239" s="92" t="s">
        <v>1591</v>
      </c>
      <c r="T239" s="110"/>
      <c r="U239" s="94" t="s">
        <v>1733</v>
      </c>
      <c r="V239" s="107"/>
      <c r="W239" s="214">
        <v>7601136</v>
      </c>
      <c r="X239" s="115" t="s">
        <v>1733</v>
      </c>
      <c r="Z239" s="155"/>
      <c r="AA239" s="107"/>
      <c r="AE239" s="88" t="s">
        <v>1778</v>
      </c>
      <c r="AF239" s="88" t="s">
        <v>1779</v>
      </c>
    </row>
    <row r="240" spans="2:32" ht="17.45" customHeight="1">
      <c r="B240" s="96" t="e">
        <f t="shared" si="9"/>
        <v>#REF!</v>
      </c>
      <c r="C240" s="146">
        <v>40661</v>
      </c>
      <c r="D240" s="98" t="s">
        <v>2103</v>
      </c>
      <c r="E240" s="118">
        <v>7600954</v>
      </c>
      <c r="F240" s="168" t="s">
        <v>2100</v>
      </c>
      <c r="G240" s="169" t="s">
        <v>401</v>
      </c>
      <c r="H240" s="171" t="s">
        <v>2222</v>
      </c>
      <c r="I240" s="98" t="s">
        <v>2103</v>
      </c>
      <c r="J240" s="172">
        <v>2</v>
      </c>
      <c r="K240" s="130" t="s">
        <v>1784</v>
      </c>
      <c r="L240" s="124">
        <v>1</v>
      </c>
      <c r="M240" s="125" t="s">
        <v>1628</v>
      </c>
      <c r="N240" s="106" t="str">
        <f t="shared" si="8"/>
        <v>21</v>
      </c>
      <c r="O240" s="107"/>
      <c r="P240" s="108" t="s">
        <v>2102</v>
      </c>
      <c r="Q240" s="61"/>
      <c r="R240" s="109" t="s">
        <v>1632</v>
      </c>
      <c r="S240" s="92" t="s">
        <v>1630</v>
      </c>
      <c r="T240" s="110"/>
      <c r="U240" s="94" t="s">
        <v>1632</v>
      </c>
      <c r="V240" s="61"/>
      <c r="W240" s="111">
        <v>7600953</v>
      </c>
      <c r="X240" s="109" t="s">
        <v>1632</v>
      </c>
      <c r="Z240" s="155"/>
      <c r="AE240" s="88" t="s">
        <v>1778</v>
      </c>
      <c r="AF240" s="88" t="s">
        <v>1779</v>
      </c>
    </row>
    <row r="241" spans="1:52" ht="17.45" customHeight="1">
      <c r="B241" s="96" t="e">
        <f t="shared" si="9"/>
        <v>#REF!</v>
      </c>
      <c r="C241" s="146">
        <v>42751</v>
      </c>
      <c r="D241" s="98" t="s">
        <v>2102</v>
      </c>
      <c r="E241" s="118">
        <v>7600953</v>
      </c>
      <c r="F241" s="164" t="s">
        <v>2100</v>
      </c>
      <c r="G241" s="165" t="s">
        <v>407</v>
      </c>
      <c r="H241" s="171" t="s">
        <v>2222</v>
      </c>
      <c r="I241" s="98" t="s">
        <v>2102</v>
      </c>
      <c r="J241" s="172">
        <v>2</v>
      </c>
      <c r="K241" s="130" t="s">
        <v>1784</v>
      </c>
      <c r="L241" s="124">
        <v>1</v>
      </c>
      <c r="M241" s="125" t="s">
        <v>1628</v>
      </c>
      <c r="N241" s="106" t="str">
        <f t="shared" si="8"/>
        <v>21</v>
      </c>
      <c r="O241" s="107"/>
      <c r="P241" s="108" t="s">
        <v>2102</v>
      </c>
      <c r="Q241" s="61"/>
      <c r="R241" s="115" t="s">
        <v>1632</v>
      </c>
      <c r="S241" s="92" t="s">
        <v>1630</v>
      </c>
      <c r="T241" s="110"/>
      <c r="U241" s="94" t="s">
        <v>1632</v>
      </c>
      <c r="V241" s="61"/>
      <c r="W241" s="111">
        <v>7600953</v>
      </c>
      <c r="X241" s="115" t="s">
        <v>1632</v>
      </c>
      <c r="Z241" s="155"/>
      <c r="AE241" s="88" t="s">
        <v>1778</v>
      </c>
      <c r="AF241" s="88" t="s">
        <v>1779</v>
      </c>
    </row>
    <row r="242" spans="1:52" ht="17.45" customHeight="1">
      <c r="B242" s="96" t="e">
        <f t="shared" si="9"/>
        <v>#REF!</v>
      </c>
      <c r="C242" s="148">
        <v>45135</v>
      </c>
      <c r="D242" s="98" t="s">
        <v>2296</v>
      </c>
      <c r="E242" s="98">
        <v>7601203</v>
      </c>
      <c r="F242" s="224" t="s">
        <v>2226</v>
      </c>
      <c r="G242" s="101" t="s">
        <v>805</v>
      </c>
      <c r="H242" s="154" t="s">
        <v>2227</v>
      </c>
      <c r="I242" s="98" t="s">
        <v>2296</v>
      </c>
      <c r="J242" s="126">
        <v>3</v>
      </c>
      <c r="K242" s="124" t="s">
        <v>1802</v>
      </c>
      <c r="L242" s="103">
        <v>6</v>
      </c>
      <c r="M242" s="173" t="s">
        <v>1689</v>
      </c>
      <c r="N242" s="106" t="str">
        <f t="shared" si="8"/>
        <v>36</v>
      </c>
      <c r="O242" s="107"/>
      <c r="P242" s="114" t="s">
        <v>2228</v>
      </c>
      <c r="Q242" s="107"/>
      <c r="R242" s="115" t="s">
        <v>1698</v>
      </c>
      <c r="S242" s="92" t="s">
        <v>1586</v>
      </c>
      <c r="T242" s="110"/>
      <c r="U242" s="94" t="s">
        <v>1698</v>
      </c>
      <c r="V242" s="107"/>
      <c r="W242" s="211">
        <v>7601175</v>
      </c>
      <c r="X242" s="115" t="s">
        <v>1698</v>
      </c>
      <c r="AE242" s="88" t="s">
        <v>1778</v>
      </c>
      <c r="AF242" s="88" t="s">
        <v>1779</v>
      </c>
    </row>
    <row r="243" spans="1:52" ht="17.45" customHeight="1">
      <c r="B243" s="96" t="e">
        <f t="shared" si="9"/>
        <v>#REF!</v>
      </c>
      <c r="C243" s="112">
        <v>44162</v>
      </c>
      <c r="D243" s="98" t="s">
        <v>2229</v>
      </c>
      <c r="E243" s="98">
        <v>7601176</v>
      </c>
      <c r="F243" s="113" t="s">
        <v>2226</v>
      </c>
      <c r="G243" s="100" t="s">
        <v>810</v>
      </c>
      <c r="H243" s="154" t="s">
        <v>2227</v>
      </c>
      <c r="I243" s="98" t="s">
        <v>2229</v>
      </c>
      <c r="J243" s="126">
        <v>3</v>
      </c>
      <c r="K243" s="126" t="s">
        <v>1802</v>
      </c>
      <c r="L243" s="102">
        <v>6</v>
      </c>
      <c r="M243" s="173" t="s">
        <v>1689</v>
      </c>
      <c r="N243" s="106" t="str">
        <f t="shared" si="8"/>
        <v>36</v>
      </c>
      <c r="O243" s="107"/>
      <c r="P243" s="114" t="s">
        <v>2228</v>
      </c>
      <c r="Q243" s="107"/>
      <c r="R243" s="115" t="s">
        <v>1698</v>
      </c>
      <c r="S243" s="92" t="s">
        <v>1586</v>
      </c>
      <c r="T243" s="110"/>
      <c r="U243" s="94" t="s">
        <v>1698</v>
      </c>
      <c r="V243" s="107"/>
      <c r="W243" s="214">
        <v>7601175</v>
      </c>
      <c r="X243" s="115" t="s">
        <v>1698</v>
      </c>
      <c r="AE243" s="88" t="s">
        <v>1778</v>
      </c>
      <c r="AF243" s="88" t="s">
        <v>1779</v>
      </c>
    </row>
    <row r="244" spans="1:52" ht="17.45" customHeight="1">
      <c r="B244" s="96" t="e">
        <f t="shared" si="9"/>
        <v>#REF!</v>
      </c>
      <c r="C244" s="112">
        <v>41635</v>
      </c>
      <c r="D244" s="98" t="s">
        <v>2228</v>
      </c>
      <c r="E244" s="98">
        <v>7601175</v>
      </c>
      <c r="F244" s="113" t="s">
        <v>2226</v>
      </c>
      <c r="G244" s="100" t="s">
        <v>815</v>
      </c>
      <c r="H244" s="154" t="s">
        <v>2227</v>
      </c>
      <c r="I244" s="98" t="s">
        <v>2228</v>
      </c>
      <c r="J244" s="126">
        <v>3</v>
      </c>
      <c r="K244" s="126" t="s">
        <v>1802</v>
      </c>
      <c r="L244" s="102">
        <v>6</v>
      </c>
      <c r="M244" s="173" t="s">
        <v>1689</v>
      </c>
      <c r="N244" s="106" t="str">
        <f t="shared" si="8"/>
        <v>36</v>
      </c>
      <c r="O244" s="107"/>
      <c r="P244" s="114" t="s">
        <v>2228</v>
      </c>
      <c r="Q244" s="107"/>
      <c r="R244" s="115" t="s">
        <v>1698</v>
      </c>
      <c r="S244" s="92" t="s">
        <v>1586</v>
      </c>
      <c r="T244" s="110"/>
      <c r="U244" s="94" t="s">
        <v>1698</v>
      </c>
      <c r="V244" s="107"/>
      <c r="W244" s="214">
        <v>7601175</v>
      </c>
      <c r="X244" s="115" t="s">
        <v>1698</v>
      </c>
      <c r="AE244" s="88" t="s">
        <v>1778</v>
      </c>
      <c r="AF244" s="88" t="s">
        <v>1779</v>
      </c>
    </row>
    <row r="245" spans="1:52" ht="17.45" customHeight="1">
      <c r="B245" s="96" t="e">
        <f t="shared" si="9"/>
        <v>#REF!</v>
      </c>
      <c r="C245" s="264">
        <v>39157</v>
      </c>
      <c r="D245" s="265" t="s">
        <v>2232</v>
      </c>
      <c r="E245" s="89">
        <v>7601097</v>
      </c>
      <c r="F245" s="268" t="s">
        <v>2230</v>
      </c>
      <c r="G245" s="157" t="s">
        <v>579</v>
      </c>
      <c r="H245" s="158" t="s">
        <v>2090</v>
      </c>
      <c r="I245" s="265" t="s">
        <v>2232</v>
      </c>
      <c r="J245" s="159">
        <v>2</v>
      </c>
      <c r="K245" s="159" t="s">
        <v>1784</v>
      </c>
      <c r="L245" s="126">
        <v>6</v>
      </c>
      <c r="M245" s="125" t="s">
        <v>1652</v>
      </c>
      <c r="N245" s="160" t="str">
        <f t="shared" si="8"/>
        <v>26</v>
      </c>
      <c r="O245" s="91"/>
      <c r="P245" s="161" t="s">
        <v>2232</v>
      </c>
      <c r="Q245" s="91"/>
      <c r="R245" s="162" t="s">
        <v>1655</v>
      </c>
      <c r="S245" s="92" t="s">
        <v>1582</v>
      </c>
      <c r="T245" s="93"/>
      <c r="U245" s="94" t="s">
        <v>1655</v>
      </c>
      <c r="V245" s="91"/>
      <c r="W245" s="276">
        <v>7601097</v>
      </c>
      <c r="X245" s="162" t="s">
        <v>1655</v>
      </c>
      <c r="Y245" s="88"/>
      <c r="Z245" s="155"/>
      <c r="AE245" s="88" t="s">
        <v>1778</v>
      </c>
      <c r="AF245" s="88" t="s">
        <v>1779</v>
      </c>
    </row>
    <row r="246" spans="1:52" s="88" customFormat="1" ht="17.45" customHeight="1">
      <c r="A246" s="56"/>
      <c r="B246" s="96" t="e">
        <f t="shared" si="9"/>
        <v>#REF!</v>
      </c>
      <c r="C246" s="148">
        <v>44197</v>
      </c>
      <c r="D246" s="98" t="s">
        <v>2240</v>
      </c>
      <c r="E246" s="98">
        <v>7601141</v>
      </c>
      <c r="F246" s="99" t="s">
        <v>2238</v>
      </c>
      <c r="G246" s="100" t="s">
        <v>549</v>
      </c>
      <c r="H246" s="101" t="s">
        <v>2231</v>
      </c>
      <c r="I246" s="98" t="s">
        <v>2240</v>
      </c>
      <c r="J246" s="126">
        <v>2</v>
      </c>
      <c r="K246" s="124" t="s">
        <v>1784</v>
      </c>
      <c r="L246" s="124">
        <v>4</v>
      </c>
      <c r="M246" s="125" t="s">
        <v>1644</v>
      </c>
      <c r="N246" s="106" t="str">
        <f t="shared" si="8"/>
        <v>24</v>
      </c>
      <c r="O246" s="107"/>
      <c r="P246" s="117" t="s">
        <v>2234</v>
      </c>
      <c r="Q246" s="107"/>
      <c r="R246" s="115" t="s">
        <v>1645</v>
      </c>
      <c r="S246" s="92" t="s">
        <v>1580</v>
      </c>
      <c r="T246" s="110"/>
      <c r="U246" s="94" t="s">
        <v>1645</v>
      </c>
      <c r="V246" s="107"/>
      <c r="W246" s="211">
        <v>7600075</v>
      </c>
      <c r="X246" s="115" t="s">
        <v>1645</v>
      </c>
      <c r="Y246" s="74"/>
      <c r="Z246" s="155"/>
      <c r="AA246" s="129"/>
      <c r="AB246" s="74"/>
      <c r="AC246" s="74"/>
      <c r="AD246" s="74"/>
      <c r="AE246" s="88" t="s">
        <v>1778</v>
      </c>
      <c r="AF246" s="88" t="s">
        <v>1779</v>
      </c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</row>
    <row r="247" spans="1:52" ht="17.45" customHeight="1">
      <c r="B247" s="96" t="e">
        <f t="shared" si="9"/>
        <v>#REF!</v>
      </c>
      <c r="C247" s="146">
        <v>35962</v>
      </c>
      <c r="D247" s="98" t="s">
        <v>2234</v>
      </c>
      <c r="E247" s="118">
        <v>7600075</v>
      </c>
      <c r="F247" s="164" t="s">
        <v>2233</v>
      </c>
      <c r="G247" s="165" t="s">
        <v>556</v>
      </c>
      <c r="H247" s="171" t="s">
        <v>2231</v>
      </c>
      <c r="I247" s="98" t="s">
        <v>2234</v>
      </c>
      <c r="J247" s="172">
        <v>2</v>
      </c>
      <c r="K247" s="130" t="s">
        <v>1784</v>
      </c>
      <c r="L247" s="124">
        <v>4</v>
      </c>
      <c r="M247" s="125" t="s">
        <v>1644</v>
      </c>
      <c r="N247" s="106" t="str">
        <f t="shared" si="8"/>
        <v>24</v>
      </c>
      <c r="O247" s="107"/>
      <c r="P247" s="108" t="s">
        <v>2234</v>
      </c>
      <c r="Q247" s="107"/>
      <c r="R247" s="115" t="s">
        <v>1645</v>
      </c>
      <c r="S247" s="92" t="s">
        <v>1580</v>
      </c>
      <c r="T247" s="110"/>
      <c r="U247" s="94" t="s">
        <v>1645</v>
      </c>
      <c r="V247" s="107"/>
      <c r="W247" s="111">
        <v>7600075</v>
      </c>
      <c r="X247" s="115" t="s">
        <v>1645</v>
      </c>
      <c r="Z247" s="155"/>
      <c r="AE247" s="88" t="s">
        <v>1778</v>
      </c>
      <c r="AF247" s="88" t="s">
        <v>1779</v>
      </c>
    </row>
    <row r="248" spans="1:52" ht="17.45" customHeight="1">
      <c r="B248" s="96" t="e">
        <f t="shared" si="9"/>
        <v>#REF!</v>
      </c>
      <c r="C248" s="148">
        <v>38433</v>
      </c>
      <c r="D248" s="98" t="s">
        <v>2236</v>
      </c>
      <c r="E248" s="118">
        <v>7600383</v>
      </c>
      <c r="F248" s="164" t="s">
        <v>2233</v>
      </c>
      <c r="G248" s="165" t="s">
        <v>559</v>
      </c>
      <c r="H248" s="171" t="s">
        <v>2231</v>
      </c>
      <c r="I248" s="98" t="s">
        <v>2236</v>
      </c>
      <c r="J248" s="172">
        <v>2</v>
      </c>
      <c r="K248" s="130" t="s">
        <v>1784</v>
      </c>
      <c r="L248" s="124">
        <v>4</v>
      </c>
      <c r="M248" s="125" t="s">
        <v>1644</v>
      </c>
      <c r="N248" s="106" t="str">
        <f t="shared" si="8"/>
        <v>24</v>
      </c>
      <c r="O248" s="107"/>
      <c r="P248" s="114" t="s">
        <v>2234</v>
      </c>
      <c r="Q248" s="107"/>
      <c r="R248" s="115" t="s">
        <v>1645</v>
      </c>
      <c r="S248" s="92" t="s">
        <v>1580</v>
      </c>
      <c r="T248" s="110"/>
      <c r="U248" s="94" t="s">
        <v>1645</v>
      </c>
      <c r="V248" s="107"/>
      <c r="W248" s="117">
        <v>7600075</v>
      </c>
      <c r="X248" s="115" t="s">
        <v>1645</v>
      </c>
      <c r="Z248" s="155"/>
      <c r="AE248" s="88" t="s">
        <v>1778</v>
      </c>
      <c r="AF248" s="88" t="s">
        <v>1779</v>
      </c>
    </row>
    <row r="249" spans="1:52" ht="17.45" customHeight="1">
      <c r="B249" s="96" t="e">
        <f t="shared" si="9"/>
        <v>#REF!</v>
      </c>
      <c r="C249" s="146">
        <v>36791</v>
      </c>
      <c r="D249" s="98" t="s">
        <v>2235</v>
      </c>
      <c r="E249" s="118">
        <v>7600156</v>
      </c>
      <c r="F249" s="164" t="s">
        <v>2233</v>
      </c>
      <c r="G249" s="165" t="s">
        <v>562</v>
      </c>
      <c r="H249" s="171" t="s">
        <v>2231</v>
      </c>
      <c r="I249" s="98" t="s">
        <v>2235</v>
      </c>
      <c r="J249" s="172">
        <v>2</v>
      </c>
      <c r="K249" s="130" t="s">
        <v>1784</v>
      </c>
      <c r="L249" s="124">
        <v>4</v>
      </c>
      <c r="M249" s="125" t="s">
        <v>1644</v>
      </c>
      <c r="N249" s="106" t="str">
        <f t="shared" si="8"/>
        <v>24</v>
      </c>
      <c r="O249" s="107"/>
      <c r="P249" s="108" t="s">
        <v>2234</v>
      </c>
      <c r="Q249" s="107"/>
      <c r="R249" s="115" t="s">
        <v>1645</v>
      </c>
      <c r="S249" s="92" t="s">
        <v>1580</v>
      </c>
      <c r="T249" s="110"/>
      <c r="U249" s="94" t="s">
        <v>1645</v>
      </c>
      <c r="V249" s="107"/>
      <c r="W249" s="111">
        <v>7600075</v>
      </c>
      <c r="X249" s="115" t="s">
        <v>1645</v>
      </c>
      <c r="Z249" s="155"/>
      <c r="AE249" s="88" t="s">
        <v>1778</v>
      </c>
      <c r="AF249" s="88" t="s">
        <v>1779</v>
      </c>
    </row>
    <row r="250" spans="1:52" ht="17.45" customHeight="1">
      <c r="B250" s="96" t="e">
        <f t="shared" si="9"/>
        <v>#REF!</v>
      </c>
      <c r="C250" s="112">
        <v>40864</v>
      </c>
      <c r="D250" s="98" t="s">
        <v>2237</v>
      </c>
      <c r="E250" s="98">
        <v>7600608</v>
      </c>
      <c r="F250" s="113" t="s">
        <v>2233</v>
      </c>
      <c r="G250" s="100" t="s">
        <v>565</v>
      </c>
      <c r="H250" s="101" t="s">
        <v>2231</v>
      </c>
      <c r="I250" s="98" t="s">
        <v>2237</v>
      </c>
      <c r="J250" s="126">
        <v>2</v>
      </c>
      <c r="K250" s="124" t="s">
        <v>1784</v>
      </c>
      <c r="L250" s="124">
        <v>4</v>
      </c>
      <c r="M250" s="125" t="s">
        <v>1644</v>
      </c>
      <c r="N250" s="106" t="str">
        <f t="shared" si="8"/>
        <v>24</v>
      </c>
      <c r="O250" s="107"/>
      <c r="P250" s="114" t="s">
        <v>2234</v>
      </c>
      <c r="Q250" s="107"/>
      <c r="R250" s="115" t="s">
        <v>1645</v>
      </c>
      <c r="S250" s="92" t="s">
        <v>1580</v>
      </c>
      <c r="T250" s="110"/>
      <c r="U250" s="94" t="s">
        <v>1645</v>
      </c>
      <c r="V250" s="107"/>
      <c r="W250" s="117">
        <v>7600075</v>
      </c>
      <c r="X250" s="115" t="s">
        <v>1645</v>
      </c>
      <c r="Z250" s="155"/>
      <c r="AE250" s="88" t="s">
        <v>1778</v>
      </c>
      <c r="AF250" s="88" t="s">
        <v>1779</v>
      </c>
    </row>
    <row r="251" spans="1:52" s="147" customFormat="1" ht="17.45" customHeight="1">
      <c r="A251" s="56"/>
      <c r="B251" s="96" t="e">
        <f t="shared" si="9"/>
        <v>#REF!</v>
      </c>
      <c r="C251" s="148">
        <v>44104</v>
      </c>
      <c r="D251" s="98" t="s">
        <v>1865</v>
      </c>
      <c r="E251" s="118">
        <v>7601094</v>
      </c>
      <c r="F251" s="242" t="s">
        <v>1863</v>
      </c>
      <c r="G251" s="171" t="s">
        <v>946</v>
      </c>
      <c r="H251" s="171" t="s">
        <v>2244</v>
      </c>
      <c r="I251" s="98" t="s">
        <v>1865</v>
      </c>
      <c r="J251" s="172">
        <v>4</v>
      </c>
      <c r="K251" s="130" t="s">
        <v>1774</v>
      </c>
      <c r="L251" s="124">
        <v>3</v>
      </c>
      <c r="M251" s="125" t="s">
        <v>1713</v>
      </c>
      <c r="N251" s="106" t="str">
        <f t="shared" si="8"/>
        <v>43</v>
      </c>
      <c r="O251" s="107"/>
      <c r="P251" s="114" t="s">
        <v>1865</v>
      </c>
      <c r="Q251" s="107"/>
      <c r="R251" s="115" t="s">
        <v>1714</v>
      </c>
      <c r="S251" s="92" t="s">
        <v>1589</v>
      </c>
      <c r="T251" s="110"/>
      <c r="U251" s="94" t="s">
        <v>1714</v>
      </c>
      <c r="V251" s="107"/>
      <c r="W251" s="117">
        <v>7601094</v>
      </c>
      <c r="X251" s="115" t="s">
        <v>1714</v>
      </c>
      <c r="Y251" s="74"/>
      <c r="Z251" s="110" t="s">
        <v>1669</v>
      </c>
      <c r="AA251" s="129"/>
      <c r="AB251" s="74"/>
      <c r="AC251" s="74"/>
      <c r="AD251" s="74"/>
      <c r="AE251" s="88" t="s">
        <v>1778</v>
      </c>
      <c r="AF251" s="88" t="s">
        <v>1779</v>
      </c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</row>
    <row r="252" spans="1:52" ht="17.45" customHeight="1">
      <c r="B252" s="96" t="e">
        <f t="shared" si="9"/>
        <v>#REF!</v>
      </c>
      <c r="C252" s="112">
        <v>41410</v>
      </c>
      <c r="D252" s="98" t="s">
        <v>2131</v>
      </c>
      <c r="E252" s="98">
        <v>7601067</v>
      </c>
      <c r="F252" s="99" t="s">
        <v>2130</v>
      </c>
      <c r="G252" s="100" t="s">
        <v>819</v>
      </c>
      <c r="H252" s="101" t="s">
        <v>2239</v>
      </c>
      <c r="I252" s="98" t="s">
        <v>2131</v>
      </c>
      <c r="J252" s="126">
        <v>3</v>
      </c>
      <c r="K252" s="126" t="s">
        <v>1802</v>
      </c>
      <c r="L252" s="126">
        <v>7</v>
      </c>
      <c r="M252" s="125" t="s">
        <v>1694</v>
      </c>
      <c r="N252" s="106" t="str">
        <f t="shared" si="8"/>
        <v>37</v>
      </c>
      <c r="O252" s="107"/>
      <c r="P252" s="114" t="s">
        <v>2131</v>
      </c>
      <c r="Q252" s="107"/>
      <c r="R252" s="115" t="s">
        <v>1695</v>
      </c>
      <c r="S252" s="92" t="s">
        <v>1577</v>
      </c>
      <c r="T252" s="110"/>
      <c r="U252" s="94" t="s">
        <v>1695</v>
      </c>
      <c r="V252" s="107"/>
      <c r="W252" s="117">
        <v>7601067</v>
      </c>
      <c r="X252" s="115" t="s">
        <v>2136</v>
      </c>
      <c r="AE252" s="88" t="s">
        <v>1778</v>
      </c>
      <c r="AF252" s="88" t="s">
        <v>1779</v>
      </c>
    </row>
    <row r="253" spans="1:52" ht="17.45" customHeight="1">
      <c r="B253" s="96" t="e">
        <f t="shared" si="9"/>
        <v>#REF!</v>
      </c>
      <c r="C253" s="112">
        <v>41618</v>
      </c>
      <c r="D253" s="98" t="s">
        <v>2204</v>
      </c>
      <c r="E253" s="98">
        <v>7600759</v>
      </c>
      <c r="F253" s="113" t="s">
        <v>2200</v>
      </c>
      <c r="G253" s="100" t="s">
        <v>825</v>
      </c>
      <c r="H253" s="101" t="s">
        <v>2246</v>
      </c>
      <c r="I253" s="98" t="s">
        <v>2204</v>
      </c>
      <c r="J253" s="126">
        <v>3</v>
      </c>
      <c r="K253" s="124" t="s">
        <v>1802</v>
      </c>
      <c r="L253" s="124">
        <v>6</v>
      </c>
      <c r="M253" s="125" t="s">
        <v>1689</v>
      </c>
      <c r="N253" s="106" t="str">
        <f t="shared" si="8"/>
        <v>36</v>
      </c>
      <c r="O253" s="107"/>
      <c r="P253" s="114" t="s">
        <v>2201</v>
      </c>
      <c r="Q253" s="107"/>
      <c r="R253" s="115" t="s">
        <v>1697</v>
      </c>
      <c r="S253" s="92" t="s">
        <v>1586</v>
      </c>
      <c r="T253" s="110"/>
      <c r="U253" s="94" t="s">
        <v>1697</v>
      </c>
      <c r="V253" s="107"/>
      <c r="W253" s="117">
        <v>7600554</v>
      </c>
      <c r="X253" s="115" t="s">
        <v>1697</v>
      </c>
      <c r="AE253" s="88" t="s">
        <v>1778</v>
      </c>
      <c r="AF253" s="88" t="s">
        <v>1779</v>
      </c>
    </row>
    <row r="254" spans="1:52" ht="17.45" customHeight="1">
      <c r="B254" s="96" t="e">
        <f t="shared" si="9"/>
        <v>#REF!</v>
      </c>
      <c r="C254" s="112">
        <v>41120</v>
      </c>
      <c r="D254" s="98" t="s">
        <v>2202</v>
      </c>
      <c r="E254" s="98">
        <v>7600667</v>
      </c>
      <c r="F254" s="113" t="s">
        <v>2200</v>
      </c>
      <c r="G254" s="100" t="s">
        <v>832</v>
      </c>
      <c r="H254" s="101" t="s">
        <v>2246</v>
      </c>
      <c r="I254" s="98" t="s">
        <v>2202</v>
      </c>
      <c r="J254" s="102">
        <v>3</v>
      </c>
      <c r="K254" s="103" t="s">
        <v>1802</v>
      </c>
      <c r="L254" s="124">
        <v>6</v>
      </c>
      <c r="M254" s="125" t="s">
        <v>1689</v>
      </c>
      <c r="N254" s="106" t="str">
        <f t="shared" si="8"/>
        <v>36</v>
      </c>
      <c r="O254" s="107"/>
      <c r="P254" s="114" t="s">
        <v>2201</v>
      </c>
      <c r="Q254" s="107"/>
      <c r="R254" s="115" t="s">
        <v>1697</v>
      </c>
      <c r="S254" s="92" t="s">
        <v>1586</v>
      </c>
      <c r="T254" s="110"/>
      <c r="U254" s="94" t="s">
        <v>1697</v>
      </c>
      <c r="V254" s="107"/>
      <c r="W254" s="117">
        <v>7600554</v>
      </c>
      <c r="X254" s="115" t="s">
        <v>1697</v>
      </c>
      <c r="AE254" s="88" t="s">
        <v>1778</v>
      </c>
      <c r="AF254" s="88" t="s">
        <v>1779</v>
      </c>
    </row>
    <row r="255" spans="1:52" ht="17.45" customHeight="1">
      <c r="B255" s="96" t="e">
        <f t="shared" si="9"/>
        <v>#REF!</v>
      </c>
      <c r="C255" s="112">
        <v>40542</v>
      </c>
      <c r="D255" s="98" t="s">
        <v>2201</v>
      </c>
      <c r="E255" s="98">
        <v>7600554</v>
      </c>
      <c r="F255" s="113" t="s">
        <v>2200</v>
      </c>
      <c r="G255" s="100" t="s">
        <v>837</v>
      </c>
      <c r="H255" s="101" t="s">
        <v>2246</v>
      </c>
      <c r="I255" s="98" t="s">
        <v>2201</v>
      </c>
      <c r="J255" s="102">
        <v>3</v>
      </c>
      <c r="K255" s="103" t="s">
        <v>1802</v>
      </c>
      <c r="L255" s="124">
        <v>6</v>
      </c>
      <c r="M255" s="125" t="s">
        <v>1689</v>
      </c>
      <c r="N255" s="106" t="str">
        <f t="shared" si="8"/>
        <v>36</v>
      </c>
      <c r="O255" s="107"/>
      <c r="P255" s="114" t="s">
        <v>2201</v>
      </c>
      <c r="Q255" s="107"/>
      <c r="R255" s="115" t="s">
        <v>1697</v>
      </c>
      <c r="S255" s="92" t="s">
        <v>1586</v>
      </c>
      <c r="T255" s="110"/>
      <c r="U255" s="94" t="s">
        <v>1697</v>
      </c>
      <c r="V255" s="107"/>
      <c r="W255" s="117">
        <v>7600554</v>
      </c>
      <c r="X255" s="115" t="s">
        <v>1697</v>
      </c>
      <c r="AE255" s="88" t="s">
        <v>1778</v>
      </c>
      <c r="AF255" s="88" t="s">
        <v>1779</v>
      </c>
    </row>
    <row r="256" spans="1:52" ht="17.45" customHeight="1">
      <c r="B256" s="96" t="e">
        <f t="shared" si="9"/>
        <v>#REF!</v>
      </c>
      <c r="C256" s="112">
        <v>36804</v>
      </c>
      <c r="D256" s="98" t="s">
        <v>2249</v>
      </c>
      <c r="E256" s="98">
        <v>7600164</v>
      </c>
      <c r="F256" s="113" t="s">
        <v>2248</v>
      </c>
      <c r="G256" s="100" t="s">
        <v>1023</v>
      </c>
      <c r="H256" s="101" t="s">
        <v>2251</v>
      </c>
      <c r="I256" s="98" t="s">
        <v>2249</v>
      </c>
      <c r="J256" s="102">
        <v>4</v>
      </c>
      <c r="K256" s="103" t="s">
        <v>1774</v>
      </c>
      <c r="L256" s="124">
        <v>5</v>
      </c>
      <c r="M256" s="125" t="s">
        <v>1728</v>
      </c>
      <c r="N256" s="106" t="str">
        <f t="shared" si="8"/>
        <v>45</v>
      </c>
      <c r="O256" s="107"/>
      <c r="P256" s="114" t="s">
        <v>2249</v>
      </c>
      <c r="Q256" s="107"/>
      <c r="R256" s="115" t="s">
        <v>1734</v>
      </c>
      <c r="S256" s="92" t="s">
        <v>1591</v>
      </c>
      <c r="T256" s="110"/>
      <c r="U256" s="94" t="s">
        <v>1734</v>
      </c>
      <c r="V256" s="107"/>
      <c r="W256" s="117">
        <v>7600164</v>
      </c>
      <c r="X256" s="115" t="s">
        <v>1734</v>
      </c>
      <c r="Z256" s="155"/>
      <c r="AA256" s="107"/>
      <c r="AE256" s="88" t="s">
        <v>1778</v>
      </c>
      <c r="AF256" s="88" t="s">
        <v>1779</v>
      </c>
    </row>
    <row r="257" spans="1:52" ht="17.45" customHeight="1">
      <c r="B257" s="96" t="e">
        <f t="shared" si="9"/>
        <v>#REF!</v>
      </c>
      <c r="C257" s="112">
        <v>41516</v>
      </c>
      <c r="D257" s="98" t="s">
        <v>2250</v>
      </c>
      <c r="E257" s="98">
        <v>7600755</v>
      </c>
      <c r="F257" s="113" t="s">
        <v>2248</v>
      </c>
      <c r="G257" s="100" t="s">
        <v>1029</v>
      </c>
      <c r="H257" s="101" t="s">
        <v>2251</v>
      </c>
      <c r="I257" s="98" t="s">
        <v>2250</v>
      </c>
      <c r="J257" s="102">
        <v>4</v>
      </c>
      <c r="K257" s="103" t="s">
        <v>1774</v>
      </c>
      <c r="L257" s="124">
        <v>5</v>
      </c>
      <c r="M257" s="125" t="s">
        <v>1728</v>
      </c>
      <c r="N257" s="106" t="str">
        <f t="shared" si="8"/>
        <v>45</v>
      </c>
      <c r="O257" s="107"/>
      <c r="P257" s="114" t="s">
        <v>2249</v>
      </c>
      <c r="Q257" s="107"/>
      <c r="R257" s="115" t="s">
        <v>1734</v>
      </c>
      <c r="S257" s="92" t="s">
        <v>1591</v>
      </c>
      <c r="T257" s="110"/>
      <c r="U257" s="94" t="s">
        <v>1734</v>
      </c>
      <c r="V257" s="107"/>
      <c r="W257" s="117">
        <v>7600164</v>
      </c>
      <c r="X257" s="115" t="s">
        <v>1734</v>
      </c>
      <c r="Z257" s="155"/>
      <c r="AA257" s="107"/>
      <c r="AE257" s="88" t="s">
        <v>1778</v>
      </c>
      <c r="AF257" s="88" t="s">
        <v>1779</v>
      </c>
    </row>
    <row r="258" spans="1:52" ht="17.45" customHeight="1">
      <c r="A258" s="88"/>
      <c r="B258" s="96" t="e">
        <f t="shared" si="9"/>
        <v>#REF!</v>
      </c>
      <c r="C258" s="112">
        <v>41631</v>
      </c>
      <c r="D258" s="98" t="s">
        <v>2252</v>
      </c>
      <c r="E258" s="98">
        <v>7600779</v>
      </c>
      <c r="F258" s="113" t="s">
        <v>2248</v>
      </c>
      <c r="G258" s="100" t="s">
        <v>1031</v>
      </c>
      <c r="H258" s="101" t="s">
        <v>2251</v>
      </c>
      <c r="I258" s="98" t="s">
        <v>2252</v>
      </c>
      <c r="J258" s="126">
        <v>4</v>
      </c>
      <c r="K258" s="124" t="s">
        <v>1774</v>
      </c>
      <c r="L258" s="124">
        <v>5</v>
      </c>
      <c r="M258" s="125" t="s">
        <v>1728</v>
      </c>
      <c r="N258" s="106" t="str">
        <f t="shared" si="8"/>
        <v>45</v>
      </c>
      <c r="O258" s="107"/>
      <c r="P258" s="114" t="s">
        <v>2249</v>
      </c>
      <c r="Q258" s="107"/>
      <c r="R258" s="115" t="s">
        <v>1734</v>
      </c>
      <c r="S258" s="92" t="s">
        <v>1591</v>
      </c>
      <c r="T258" s="110"/>
      <c r="U258" s="94" t="s">
        <v>1734</v>
      </c>
      <c r="V258" s="107"/>
      <c r="W258" s="117">
        <v>7600164</v>
      </c>
      <c r="X258" s="115" t="s">
        <v>1734</v>
      </c>
      <c r="Z258" s="155"/>
      <c r="AA258" s="107"/>
      <c r="AE258" s="88" t="s">
        <v>1778</v>
      </c>
      <c r="AF258" s="88" t="s">
        <v>1779</v>
      </c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  <c r="AR258" s="88"/>
      <c r="AS258" s="88"/>
      <c r="AT258" s="88"/>
      <c r="AU258" s="88"/>
      <c r="AV258" s="88"/>
      <c r="AW258" s="88"/>
      <c r="AX258" s="88"/>
      <c r="AY258" s="88"/>
      <c r="AZ258" s="88"/>
    </row>
    <row r="259" spans="1:52" ht="17.45" customHeight="1">
      <c r="B259" s="96" t="e">
        <f t="shared" si="9"/>
        <v>#REF!</v>
      </c>
      <c r="C259" s="112">
        <v>38881</v>
      </c>
      <c r="D259" s="98" t="s">
        <v>2255</v>
      </c>
      <c r="E259" s="98">
        <v>7600446</v>
      </c>
      <c r="F259" s="113" t="s">
        <v>2253</v>
      </c>
      <c r="G259" s="100" t="s">
        <v>352</v>
      </c>
      <c r="H259" s="101" t="s">
        <v>2256</v>
      </c>
      <c r="I259" s="98" t="s">
        <v>2255</v>
      </c>
      <c r="J259" s="126">
        <v>2</v>
      </c>
      <c r="K259" s="124" t="s">
        <v>1784</v>
      </c>
      <c r="L259" s="124">
        <v>2</v>
      </c>
      <c r="M259" s="125" t="s">
        <v>1634</v>
      </c>
      <c r="N259" s="106" t="str">
        <f t="shared" si="8"/>
        <v>22</v>
      </c>
      <c r="O259" s="107"/>
      <c r="P259" s="114" t="s">
        <v>2254</v>
      </c>
      <c r="Q259" s="107"/>
      <c r="R259" s="115" t="s">
        <v>1637</v>
      </c>
      <c r="S259" s="92" t="s">
        <v>1578</v>
      </c>
      <c r="T259" s="110"/>
      <c r="U259" s="94" t="s">
        <v>1637</v>
      </c>
      <c r="V259" s="107"/>
      <c r="W259" s="117">
        <v>7600440</v>
      </c>
      <c r="X259" s="115" t="s">
        <v>1637</v>
      </c>
      <c r="Z259" s="155"/>
      <c r="AE259" s="88" t="s">
        <v>1778</v>
      </c>
      <c r="AF259" s="88" t="s">
        <v>1779</v>
      </c>
    </row>
    <row r="260" spans="1:52" ht="17.45" customHeight="1">
      <c r="B260" s="96" t="e">
        <f t="shared" si="9"/>
        <v>#REF!</v>
      </c>
      <c r="C260" s="112">
        <v>41272</v>
      </c>
      <c r="D260" s="98" t="s">
        <v>2258</v>
      </c>
      <c r="E260" s="98">
        <v>7600691</v>
      </c>
      <c r="F260" s="113" t="s">
        <v>2253</v>
      </c>
      <c r="G260" s="100" t="s">
        <v>359</v>
      </c>
      <c r="H260" s="101" t="s">
        <v>2256</v>
      </c>
      <c r="I260" s="98" t="s">
        <v>2258</v>
      </c>
      <c r="J260" s="126">
        <v>2</v>
      </c>
      <c r="K260" s="124" t="s">
        <v>1784</v>
      </c>
      <c r="L260" s="124">
        <v>2</v>
      </c>
      <c r="M260" s="125" t="s">
        <v>1634</v>
      </c>
      <c r="N260" s="106" t="str">
        <f t="shared" si="8"/>
        <v>22</v>
      </c>
      <c r="O260" s="107"/>
      <c r="P260" s="114" t="s">
        <v>2254</v>
      </c>
      <c r="Q260" s="107"/>
      <c r="R260" s="115" t="s">
        <v>1637</v>
      </c>
      <c r="S260" s="92" t="s">
        <v>1578</v>
      </c>
      <c r="T260" s="110"/>
      <c r="U260" s="94" t="s">
        <v>1637</v>
      </c>
      <c r="V260" s="107"/>
      <c r="W260" s="117">
        <v>7600440</v>
      </c>
      <c r="X260" s="115" t="s">
        <v>1637</v>
      </c>
      <c r="Z260" s="155"/>
      <c r="AE260" s="88" t="s">
        <v>1778</v>
      </c>
      <c r="AF260" s="88" t="s">
        <v>1779</v>
      </c>
    </row>
    <row r="261" spans="1:52" ht="17.45" customHeight="1">
      <c r="B261" s="96" t="e">
        <f t="shared" si="9"/>
        <v>#REF!</v>
      </c>
      <c r="C261" s="112">
        <v>38792</v>
      </c>
      <c r="D261" s="98" t="s">
        <v>2254</v>
      </c>
      <c r="E261" s="98">
        <v>7600440</v>
      </c>
      <c r="F261" s="113" t="s">
        <v>2253</v>
      </c>
      <c r="G261" s="100" t="s">
        <v>363</v>
      </c>
      <c r="H261" s="101" t="s">
        <v>2256</v>
      </c>
      <c r="I261" s="98" t="s">
        <v>2254</v>
      </c>
      <c r="J261" s="126">
        <v>2</v>
      </c>
      <c r="K261" s="124" t="s">
        <v>1784</v>
      </c>
      <c r="L261" s="124">
        <v>2</v>
      </c>
      <c r="M261" s="125" t="s">
        <v>1634</v>
      </c>
      <c r="N261" s="106" t="str">
        <f t="shared" ref="N261:N267" si="10">J261&amp;L261</f>
        <v>22</v>
      </c>
      <c r="O261" s="107"/>
      <c r="P261" s="114" t="s">
        <v>2254</v>
      </c>
      <c r="Q261" s="107"/>
      <c r="R261" s="115" t="s">
        <v>1637</v>
      </c>
      <c r="S261" s="92" t="s">
        <v>1578</v>
      </c>
      <c r="T261" s="110"/>
      <c r="U261" s="94" t="s">
        <v>1637</v>
      </c>
      <c r="V261" s="107"/>
      <c r="W261" s="117">
        <v>7600440</v>
      </c>
      <c r="X261" s="115" t="s">
        <v>1637</v>
      </c>
      <c r="Z261" s="155"/>
      <c r="AE261" s="88" t="s">
        <v>1778</v>
      </c>
      <c r="AF261" s="88" t="s">
        <v>1779</v>
      </c>
    </row>
    <row r="262" spans="1:52" ht="17.45" customHeight="1">
      <c r="B262" s="96" t="e">
        <f t="shared" si="9"/>
        <v>#REF!</v>
      </c>
      <c r="C262" s="112">
        <v>40827</v>
      </c>
      <c r="D262" s="98" t="s">
        <v>2257</v>
      </c>
      <c r="E262" s="98">
        <v>7600598</v>
      </c>
      <c r="F262" s="113" t="s">
        <v>2253</v>
      </c>
      <c r="G262" s="100" t="s">
        <v>367</v>
      </c>
      <c r="H262" s="101" t="s">
        <v>2256</v>
      </c>
      <c r="I262" s="98" t="s">
        <v>2257</v>
      </c>
      <c r="J262" s="126">
        <v>2</v>
      </c>
      <c r="K262" s="124" t="s">
        <v>1784</v>
      </c>
      <c r="L262" s="124">
        <v>2</v>
      </c>
      <c r="M262" s="125" t="s">
        <v>1634</v>
      </c>
      <c r="N262" s="106" t="str">
        <f t="shared" si="10"/>
        <v>22</v>
      </c>
      <c r="O262" s="107"/>
      <c r="P262" s="114" t="s">
        <v>2254</v>
      </c>
      <c r="Q262" s="107"/>
      <c r="R262" s="115" t="s">
        <v>1637</v>
      </c>
      <c r="S262" s="92" t="s">
        <v>1578</v>
      </c>
      <c r="T262" s="110"/>
      <c r="U262" s="94" t="s">
        <v>1637</v>
      </c>
      <c r="V262" s="107"/>
      <c r="W262" s="117">
        <v>7600440</v>
      </c>
      <c r="X262" s="115" t="s">
        <v>1637</v>
      </c>
      <c r="Z262" s="155"/>
      <c r="AE262" s="88" t="s">
        <v>1778</v>
      </c>
      <c r="AF262" s="88" t="s">
        <v>1779</v>
      </c>
    </row>
    <row r="263" spans="1:52" ht="17.45" customHeight="1">
      <c r="B263" s="96" t="e">
        <f t="shared" si="9"/>
        <v>#REF!</v>
      </c>
      <c r="C263" s="112">
        <v>40057</v>
      </c>
      <c r="D263" s="98" t="s">
        <v>2299</v>
      </c>
      <c r="E263" s="98">
        <v>7600515</v>
      </c>
      <c r="F263" s="113" t="s">
        <v>2287</v>
      </c>
      <c r="G263" s="100" t="s">
        <v>268</v>
      </c>
      <c r="H263" s="101" t="s">
        <v>2288</v>
      </c>
      <c r="I263" s="98" t="s">
        <v>2299</v>
      </c>
      <c r="J263" s="102">
        <v>1</v>
      </c>
      <c r="K263" s="103" t="s">
        <v>1810</v>
      </c>
      <c r="L263" s="124">
        <v>6</v>
      </c>
      <c r="M263" s="125" t="s">
        <v>1618</v>
      </c>
      <c r="N263" s="106" t="str">
        <f t="shared" si="10"/>
        <v>16</v>
      </c>
      <c r="O263" s="107"/>
      <c r="P263" s="114" t="s">
        <v>2289</v>
      </c>
      <c r="Q263" s="107"/>
      <c r="R263" s="115" t="s">
        <v>1621</v>
      </c>
      <c r="S263" s="92" t="s">
        <v>1575</v>
      </c>
      <c r="T263" s="110"/>
      <c r="U263" s="94" t="s">
        <v>1621</v>
      </c>
      <c r="V263" s="107"/>
      <c r="W263" s="117">
        <v>7600403</v>
      </c>
      <c r="X263" s="115" t="s">
        <v>1621</v>
      </c>
      <c r="Z263" s="155"/>
      <c r="AE263" s="88" t="s">
        <v>1778</v>
      </c>
      <c r="AF263" s="88" t="s">
        <v>1779</v>
      </c>
    </row>
    <row r="264" spans="1:52" ht="17.45" customHeight="1">
      <c r="B264" s="96" t="e">
        <f t="shared" si="9"/>
        <v>#REF!</v>
      </c>
      <c r="C264" s="112">
        <v>38595</v>
      </c>
      <c r="D264" s="98" t="s">
        <v>2289</v>
      </c>
      <c r="E264" s="98">
        <v>7600403</v>
      </c>
      <c r="F264" s="113" t="s">
        <v>2287</v>
      </c>
      <c r="G264" s="100" t="s">
        <v>275</v>
      </c>
      <c r="H264" s="101" t="s">
        <v>2288</v>
      </c>
      <c r="I264" s="98" t="s">
        <v>2289</v>
      </c>
      <c r="J264" s="102">
        <v>1</v>
      </c>
      <c r="K264" s="103" t="s">
        <v>1810</v>
      </c>
      <c r="L264" s="124">
        <v>6</v>
      </c>
      <c r="M264" s="125" t="s">
        <v>1618</v>
      </c>
      <c r="N264" s="106" t="str">
        <f t="shared" si="10"/>
        <v>16</v>
      </c>
      <c r="O264" s="107"/>
      <c r="P264" s="114" t="s">
        <v>2289</v>
      </c>
      <c r="Q264" s="107"/>
      <c r="R264" s="115" t="s">
        <v>1621</v>
      </c>
      <c r="S264" s="92" t="s">
        <v>1575</v>
      </c>
      <c r="T264" s="110"/>
      <c r="U264" s="94" t="s">
        <v>1621</v>
      </c>
      <c r="V264" s="107"/>
      <c r="W264" s="117">
        <v>7600403</v>
      </c>
      <c r="X264" s="115" t="s">
        <v>1621</v>
      </c>
      <c r="Z264" s="155"/>
      <c r="AE264" s="88" t="s">
        <v>1778</v>
      </c>
      <c r="AF264" s="88" t="s">
        <v>1779</v>
      </c>
    </row>
    <row r="265" spans="1:52" ht="17.45" customHeight="1">
      <c r="B265" s="96" t="e">
        <f t="shared" si="9"/>
        <v>#REF!</v>
      </c>
      <c r="C265" s="112">
        <v>39384</v>
      </c>
      <c r="D265" s="98" t="s">
        <v>2300</v>
      </c>
      <c r="E265" s="98">
        <v>7600470</v>
      </c>
      <c r="F265" s="113" t="s">
        <v>2287</v>
      </c>
      <c r="G265" s="100" t="s">
        <v>279</v>
      </c>
      <c r="H265" s="101" t="s">
        <v>2288</v>
      </c>
      <c r="I265" s="98" t="s">
        <v>2300</v>
      </c>
      <c r="J265" s="102">
        <v>1</v>
      </c>
      <c r="K265" s="103" t="s">
        <v>1810</v>
      </c>
      <c r="L265" s="124">
        <v>6</v>
      </c>
      <c r="M265" s="125" t="s">
        <v>1618</v>
      </c>
      <c r="N265" s="106" t="str">
        <f t="shared" si="10"/>
        <v>16</v>
      </c>
      <c r="O265" s="107"/>
      <c r="P265" s="114" t="s">
        <v>2289</v>
      </c>
      <c r="Q265" s="107"/>
      <c r="R265" s="115" t="s">
        <v>1621</v>
      </c>
      <c r="S265" s="92" t="s">
        <v>1575</v>
      </c>
      <c r="T265" s="110"/>
      <c r="U265" s="94" t="s">
        <v>1621</v>
      </c>
      <c r="V265" s="107"/>
      <c r="W265" s="117">
        <v>7600403</v>
      </c>
      <c r="X265" s="115" t="s">
        <v>1621</v>
      </c>
      <c r="Z265" s="155"/>
      <c r="AE265" s="88" t="s">
        <v>1778</v>
      </c>
      <c r="AF265" s="88" t="s">
        <v>1779</v>
      </c>
    </row>
    <row r="266" spans="1:52" ht="17.45" customHeight="1">
      <c r="B266" s="96" t="e">
        <f t="shared" ref="B266:B267" si="11">B265+1</f>
        <v>#REF!</v>
      </c>
      <c r="C266" s="183">
        <v>38617</v>
      </c>
      <c r="D266" s="98" t="s">
        <v>2286</v>
      </c>
      <c r="E266" s="98">
        <v>7600405</v>
      </c>
      <c r="F266" s="99" t="s">
        <v>2287</v>
      </c>
      <c r="G266" s="100" t="s">
        <v>283</v>
      </c>
      <c r="H266" s="101" t="s">
        <v>2288</v>
      </c>
      <c r="I266" s="98" t="s">
        <v>2286</v>
      </c>
      <c r="J266" s="102">
        <v>1</v>
      </c>
      <c r="K266" s="103" t="s">
        <v>1810</v>
      </c>
      <c r="L266" s="124">
        <v>6</v>
      </c>
      <c r="M266" s="125" t="s">
        <v>1618</v>
      </c>
      <c r="N266" s="106" t="str">
        <f t="shared" si="10"/>
        <v>16</v>
      </c>
      <c r="O266" s="107"/>
      <c r="P266" s="195" t="s">
        <v>2289</v>
      </c>
      <c r="Q266" s="107"/>
      <c r="R266" s="196" t="s">
        <v>1621</v>
      </c>
      <c r="S266" s="92" t="s">
        <v>1575</v>
      </c>
      <c r="T266" s="110"/>
      <c r="U266" s="94" t="s">
        <v>1621</v>
      </c>
      <c r="V266" s="107"/>
      <c r="W266" s="215">
        <v>7600403</v>
      </c>
      <c r="X266" s="196" t="s">
        <v>1621</v>
      </c>
      <c r="Z266" s="155"/>
      <c r="AE266" s="88" t="s">
        <v>1778</v>
      </c>
      <c r="AF266" s="88" t="s">
        <v>1779</v>
      </c>
    </row>
    <row r="267" spans="1:52" ht="17.45" customHeight="1" thickBot="1">
      <c r="B267" s="96" t="e">
        <f t="shared" si="11"/>
        <v>#REF!</v>
      </c>
      <c r="C267" s="197">
        <v>43702</v>
      </c>
      <c r="D267" s="198" t="s">
        <v>2260</v>
      </c>
      <c r="E267" s="198">
        <v>7601086</v>
      </c>
      <c r="F267" s="266" t="s">
        <v>2259</v>
      </c>
      <c r="G267" s="199" t="s">
        <v>953</v>
      </c>
      <c r="H267" s="269" t="s">
        <v>2297</v>
      </c>
      <c r="I267" s="198" t="s">
        <v>2260</v>
      </c>
      <c r="J267" s="200">
        <v>4</v>
      </c>
      <c r="K267" s="200" t="s">
        <v>1774</v>
      </c>
      <c r="L267" s="200">
        <v>3</v>
      </c>
      <c r="M267" s="201" t="s">
        <v>1713</v>
      </c>
      <c r="N267" s="202" t="str">
        <f t="shared" si="10"/>
        <v>43</v>
      </c>
      <c r="O267" s="107"/>
      <c r="P267" s="203" t="s">
        <v>2260</v>
      </c>
      <c r="Q267" s="107"/>
      <c r="R267" s="204" t="s">
        <v>1720</v>
      </c>
      <c r="S267" s="92" t="s">
        <v>1589</v>
      </c>
      <c r="T267" s="110"/>
      <c r="U267" s="94" t="s">
        <v>1720</v>
      </c>
      <c r="V267" s="107"/>
      <c r="W267" s="216">
        <v>7601086</v>
      </c>
      <c r="X267" s="204" t="s">
        <v>1720</v>
      </c>
      <c r="Z267" s="155"/>
      <c r="AE267" s="88" t="s">
        <v>1778</v>
      </c>
      <c r="AF267" s="88" t="s">
        <v>1779</v>
      </c>
    </row>
  </sheetData>
  <dataConsolidate/>
  <pageMargins left="0.19" right="0.17" top="0.39370078740157483" bottom="0.32" header="0.19685039370078741" footer="0.19685039370078741"/>
  <pageSetup paperSize="9" scale="48" orientation="landscape" horizontalDpi="409" verticalDpi="409" r:id="rId1"/>
  <headerFooter alignWithMargins="0">
    <oddFooter>&amp;L&amp;D&amp;CPágina &amp;P&amp;R_x000D_&amp;1#&amp;"Arial"&amp;10&amp;K000000 Confidential C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8b13bb-c1b1-476e-8e99-78ff78fce0d7">
      <Terms xmlns="http://schemas.microsoft.com/office/infopath/2007/PartnerControls"/>
    </lcf76f155ced4ddcb4097134ff3c332f>
    <TaxCatchAll xmlns="ff974093-bc83-4780-9929-10446f2de1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4CC11DE61D864DA0C8467408F59824" ma:contentTypeVersion="13" ma:contentTypeDescription="Crie um novo documento." ma:contentTypeScope="" ma:versionID="945e00af9d92c19a417aa5dc40975595">
  <xsd:schema xmlns:xsd="http://www.w3.org/2001/XMLSchema" xmlns:xs="http://www.w3.org/2001/XMLSchema" xmlns:p="http://schemas.microsoft.com/office/2006/metadata/properties" xmlns:ns2="198b13bb-c1b1-476e-8e99-78ff78fce0d7" xmlns:ns3="ff974093-bc83-4780-9929-10446f2de15f" targetNamespace="http://schemas.microsoft.com/office/2006/metadata/properties" ma:root="true" ma:fieldsID="d7814189b57cd068a3ff2f05eacc2b7e" ns2:_="" ns3:_="">
    <xsd:import namespace="198b13bb-c1b1-476e-8e99-78ff78fce0d7"/>
    <xsd:import namespace="ff974093-bc83-4780-9929-10446f2de1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8b13bb-c1b1-476e-8e99-78ff78fce0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2bbfa71a-d75e-4d15-90e8-ced09d00e4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974093-bc83-4780-9929-10446f2de15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f309c7e-a048-4d6e-8b50-e203625cb53a}" ma:internalName="TaxCatchAll" ma:showField="CatchAllData" ma:web="ff974093-bc83-4780-9929-10446f2de1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232277-F30D-443C-9CB5-B3150C3E8CD8}"/>
</file>

<file path=customXml/itemProps2.xml><?xml version="1.0" encoding="utf-8"?>
<ds:datastoreItem xmlns:ds="http://schemas.openxmlformats.org/officeDocument/2006/customXml" ds:itemID="{DE8CEF6E-876D-40F8-91F4-9A918876A24E}"/>
</file>

<file path=customXml/itemProps3.xml><?xml version="1.0" encoding="utf-8"?>
<ds:datastoreItem xmlns:ds="http://schemas.openxmlformats.org/officeDocument/2006/customXml" ds:itemID="{3D52D6AF-99E3-4322-88BF-0583515CA313}"/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ZACCARIA Julia (renexter)</dc:creator>
  <cp:keywords/>
  <dc:description/>
  <cp:lastModifiedBy/>
  <cp:revision/>
  <dcterms:created xsi:type="dcterms:W3CDTF">2024-12-30T18:05:28Z</dcterms:created>
  <dcterms:modified xsi:type="dcterms:W3CDTF">2026-01-26T14:23:43Z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0x010100EA4CC11DE61D864DA0C8467408F59824</vt:lpwstr>
  </property>
  <property fmtid="{D5CDD505-2E9C-101B-9397-08002B2CF9AE}" pid="3" name="MediaServiceImageTags">
    <vt:lpwstr/>
  </property>
</Properties>
</file>